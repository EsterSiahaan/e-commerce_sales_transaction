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Ester Siahaan\Downloads\"/>
    </mc:Choice>
  </mc:AlternateContent>
  <xr:revisionPtr revIDLastSave="0" documentId="13_ncr:1_{BCCD5514-4EBD-4426-86D3-3EC00987CAEE}" xr6:coauthVersionLast="47" xr6:coauthVersionMax="47" xr10:uidLastSave="{00000000-0000-0000-0000-000000000000}"/>
  <bookViews>
    <workbookView xWindow="-108" yWindow="-108" windowWidth="23256" windowHeight="12456" firstSheet="2" activeTab="4" xr2:uid="{69C8173E-B33C-4573-80D1-795BD9C18C88}"/>
  </bookViews>
  <sheets>
    <sheet name="dataset_e-commerce_sales_total" sheetId="7" r:id="rId1"/>
    <sheet name="dataset_e-commerce_sales_transa" sheetId="1" r:id="rId2"/>
    <sheet name="dataset_e-commerce_sales_tr _ta" sheetId="3" r:id="rId3"/>
    <sheet name="Pivot Table" sheetId="5" r:id="rId4"/>
    <sheet name="Dashboard" sheetId="6" r:id="rId5"/>
  </sheets>
  <definedNames>
    <definedName name="Slicer_Month_Name">#N/A</definedName>
    <definedName name="Slicer_Region">#N/A</definedName>
    <definedName name="Slicer_Year">#N/A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2" i="5" l="1"/>
  <c r="P23" i="5" s="1"/>
  <c r="P24" i="5" s="1"/>
  <c r="P20" i="5"/>
  <c r="N1502" i="7"/>
  <c r="L1502" i="7"/>
  <c r="M1502" i="7"/>
  <c r="E1501" i="7"/>
  <c r="E1500" i="7"/>
  <c r="E1499" i="7"/>
  <c r="E1498" i="7"/>
  <c r="E1497" i="7"/>
  <c r="E1496" i="7"/>
  <c r="E1495" i="7"/>
  <c r="E1494" i="7"/>
  <c r="E1493" i="7"/>
  <c r="E1492" i="7"/>
  <c r="E1491" i="7"/>
  <c r="E1490" i="7"/>
  <c r="E1489" i="7"/>
  <c r="E1488" i="7"/>
  <c r="E1487" i="7"/>
  <c r="E1486" i="7"/>
  <c r="E1485" i="7"/>
  <c r="E1484" i="7"/>
  <c r="E1483" i="7"/>
  <c r="E1482" i="7"/>
  <c r="E1481" i="7"/>
  <c r="E1480" i="7"/>
  <c r="E1479" i="7"/>
  <c r="E1478" i="7"/>
  <c r="E1477" i="7"/>
  <c r="E1476" i="7"/>
  <c r="E1475" i="7"/>
  <c r="E1474" i="7"/>
  <c r="E1473" i="7"/>
  <c r="E1472" i="7"/>
  <c r="E1471" i="7"/>
  <c r="E1470" i="7"/>
  <c r="E1469" i="7"/>
  <c r="E1468" i="7"/>
  <c r="E1467" i="7"/>
  <c r="E1466" i="7"/>
  <c r="E1465" i="7"/>
  <c r="E1464" i="7"/>
  <c r="E1463" i="7"/>
  <c r="E1462" i="7"/>
  <c r="E1461" i="7"/>
  <c r="E1460" i="7"/>
  <c r="E1459" i="7"/>
  <c r="E1458" i="7"/>
  <c r="E1457" i="7"/>
  <c r="E1456" i="7"/>
  <c r="E1455" i="7"/>
  <c r="E1454" i="7"/>
  <c r="E1453" i="7"/>
  <c r="E1452" i="7"/>
  <c r="E1451" i="7"/>
  <c r="E1450" i="7"/>
  <c r="E1449" i="7"/>
  <c r="E1448" i="7"/>
  <c r="E1447" i="7"/>
  <c r="E1446" i="7"/>
  <c r="E1445" i="7"/>
  <c r="E1444" i="7"/>
  <c r="E1443" i="7"/>
  <c r="E1442" i="7"/>
  <c r="E1441" i="7"/>
  <c r="E1440" i="7"/>
  <c r="E1439" i="7"/>
  <c r="E1438" i="7"/>
  <c r="E1437" i="7"/>
  <c r="E1436" i="7"/>
  <c r="E1435" i="7"/>
  <c r="E1434" i="7"/>
  <c r="E1433" i="7"/>
  <c r="E1432" i="7"/>
  <c r="E1431" i="7"/>
  <c r="E1430" i="7"/>
  <c r="E1429" i="7"/>
  <c r="E1428" i="7"/>
  <c r="E1427" i="7"/>
  <c r="E1426" i="7"/>
  <c r="E1425" i="7"/>
  <c r="E1424" i="7"/>
  <c r="E1423" i="7"/>
  <c r="E1422" i="7"/>
  <c r="E1421" i="7"/>
  <c r="E1420" i="7"/>
  <c r="E1419" i="7"/>
  <c r="E1418" i="7"/>
  <c r="E1417" i="7"/>
  <c r="E1416" i="7"/>
  <c r="E1415" i="7"/>
  <c r="E1414" i="7"/>
  <c r="E1413" i="7"/>
  <c r="E1412" i="7"/>
  <c r="E1411" i="7"/>
  <c r="E1410" i="7"/>
  <c r="E1409" i="7"/>
  <c r="E1408" i="7"/>
  <c r="E1407" i="7"/>
  <c r="E1406" i="7"/>
  <c r="E1405" i="7"/>
  <c r="E1404" i="7"/>
  <c r="E1403" i="7"/>
  <c r="E1402" i="7"/>
  <c r="E1401" i="7"/>
  <c r="E1400" i="7"/>
  <c r="E1399" i="7"/>
  <c r="E1398" i="7"/>
  <c r="E1397" i="7"/>
  <c r="E1396" i="7"/>
  <c r="E1395" i="7"/>
  <c r="E1394" i="7"/>
  <c r="E1393" i="7"/>
  <c r="E1392" i="7"/>
  <c r="E1391" i="7"/>
  <c r="E1390" i="7"/>
  <c r="E1389" i="7"/>
  <c r="E1388" i="7"/>
  <c r="E1387" i="7"/>
  <c r="E1386" i="7"/>
  <c r="E1385" i="7"/>
  <c r="E1384" i="7"/>
  <c r="E1383" i="7"/>
  <c r="E1382" i="7"/>
  <c r="E1381" i="7"/>
  <c r="E1380" i="7"/>
  <c r="E1379" i="7"/>
  <c r="E1378" i="7"/>
  <c r="E1377" i="7"/>
  <c r="E1376" i="7"/>
  <c r="E1375" i="7"/>
  <c r="E1374" i="7"/>
  <c r="E1373" i="7"/>
  <c r="E1372" i="7"/>
  <c r="E1371" i="7"/>
  <c r="E1370" i="7"/>
  <c r="E1369" i="7"/>
  <c r="E1368" i="7"/>
  <c r="E1367" i="7"/>
  <c r="E1366" i="7"/>
  <c r="E1365" i="7"/>
  <c r="E1364" i="7"/>
  <c r="E1363" i="7"/>
  <c r="E1362" i="7"/>
  <c r="E1361" i="7"/>
  <c r="E1360" i="7"/>
  <c r="E1359" i="7"/>
  <c r="E1358" i="7"/>
  <c r="E1357" i="7"/>
  <c r="E1356" i="7"/>
  <c r="E1355" i="7"/>
  <c r="E1354" i="7"/>
  <c r="E1353" i="7"/>
  <c r="E1352" i="7"/>
  <c r="E1351" i="7"/>
  <c r="E1350" i="7"/>
  <c r="E1349" i="7"/>
  <c r="E1348" i="7"/>
  <c r="E1347" i="7"/>
  <c r="E1346" i="7"/>
  <c r="E1345" i="7"/>
  <c r="E1344" i="7"/>
  <c r="E1343" i="7"/>
  <c r="E1342" i="7"/>
  <c r="E1341" i="7"/>
  <c r="E1340" i="7"/>
  <c r="E1339" i="7"/>
  <c r="E1338" i="7"/>
  <c r="E1337" i="7"/>
  <c r="E1336" i="7"/>
  <c r="E1335" i="7"/>
  <c r="E1334" i="7"/>
  <c r="E1333" i="7"/>
  <c r="E1332" i="7"/>
  <c r="E1331" i="7"/>
  <c r="E1330" i="7"/>
  <c r="E1329" i="7"/>
  <c r="E1328" i="7"/>
  <c r="E1327" i="7"/>
  <c r="E1326" i="7"/>
  <c r="E1325" i="7"/>
  <c r="E1324" i="7"/>
  <c r="E1323" i="7"/>
  <c r="E1322" i="7"/>
  <c r="E1321" i="7"/>
  <c r="E1320" i="7"/>
  <c r="E1319" i="7"/>
  <c r="E1318" i="7"/>
  <c r="E1317" i="7"/>
  <c r="E1316" i="7"/>
  <c r="E1315" i="7"/>
  <c r="E1314" i="7"/>
  <c r="E1313" i="7"/>
  <c r="E1312" i="7"/>
  <c r="E1311" i="7"/>
  <c r="E1310" i="7"/>
  <c r="E1309" i="7"/>
  <c r="E1308" i="7"/>
  <c r="E1307" i="7"/>
  <c r="E1306" i="7"/>
  <c r="E1305" i="7"/>
  <c r="E1304" i="7"/>
  <c r="E1303" i="7"/>
  <c r="E1302" i="7"/>
  <c r="E1301" i="7"/>
  <c r="E1300" i="7"/>
  <c r="E1299" i="7"/>
  <c r="E1298" i="7"/>
  <c r="E1297" i="7"/>
  <c r="E1296" i="7"/>
  <c r="E1295" i="7"/>
  <c r="E1294" i="7"/>
  <c r="E1293" i="7"/>
  <c r="E1292" i="7"/>
  <c r="E1291" i="7"/>
  <c r="E1290" i="7"/>
  <c r="E1289" i="7"/>
  <c r="E1288" i="7"/>
  <c r="E1287" i="7"/>
  <c r="E1286" i="7"/>
  <c r="E1285" i="7"/>
  <c r="E1284" i="7"/>
  <c r="E1283" i="7"/>
  <c r="E1282" i="7"/>
  <c r="E1281" i="7"/>
  <c r="E1280" i="7"/>
  <c r="E1279" i="7"/>
  <c r="E1278" i="7"/>
  <c r="E1277" i="7"/>
  <c r="E1276" i="7"/>
  <c r="E1275" i="7"/>
  <c r="E1274" i="7"/>
  <c r="E1273" i="7"/>
  <c r="E1272" i="7"/>
  <c r="E1271" i="7"/>
  <c r="E1270" i="7"/>
  <c r="E1269" i="7"/>
  <c r="E1268" i="7"/>
  <c r="E1267" i="7"/>
  <c r="E1266" i="7"/>
  <c r="E1265" i="7"/>
  <c r="E1264" i="7"/>
  <c r="E1263" i="7"/>
  <c r="E1262" i="7"/>
  <c r="E1261" i="7"/>
  <c r="E1260" i="7"/>
  <c r="E1259" i="7"/>
  <c r="E1258" i="7"/>
  <c r="E1257" i="7"/>
  <c r="E1256" i="7"/>
  <c r="E1255" i="7"/>
  <c r="E1254" i="7"/>
  <c r="E1253" i="7"/>
  <c r="E1252" i="7"/>
  <c r="E1251" i="7"/>
  <c r="E1250" i="7"/>
  <c r="E1249" i="7"/>
  <c r="E1248" i="7"/>
  <c r="E1247" i="7"/>
  <c r="E1246" i="7"/>
  <c r="E1245" i="7"/>
  <c r="E1244" i="7"/>
  <c r="E1243" i="7"/>
  <c r="E1242" i="7"/>
  <c r="E1241" i="7"/>
  <c r="E1240" i="7"/>
  <c r="E1239" i="7"/>
  <c r="E1238" i="7"/>
  <c r="E1237" i="7"/>
  <c r="E1236" i="7"/>
  <c r="E1235" i="7"/>
  <c r="E1234" i="7"/>
  <c r="E1233" i="7"/>
  <c r="E1232" i="7"/>
  <c r="E1231" i="7"/>
  <c r="E1230" i="7"/>
  <c r="E1229" i="7"/>
  <c r="E1228" i="7"/>
  <c r="E1227" i="7"/>
  <c r="E1226" i="7"/>
  <c r="E1225" i="7"/>
  <c r="E1224" i="7"/>
  <c r="E1223" i="7"/>
  <c r="E1222" i="7"/>
  <c r="E1221" i="7"/>
  <c r="E1220" i="7"/>
  <c r="E1219" i="7"/>
  <c r="E1218" i="7"/>
  <c r="E1217" i="7"/>
  <c r="E1216" i="7"/>
  <c r="E1215" i="7"/>
  <c r="E1214" i="7"/>
  <c r="E1213" i="7"/>
  <c r="E1212" i="7"/>
  <c r="E1211" i="7"/>
  <c r="E1210" i="7"/>
  <c r="E1209" i="7"/>
  <c r="E1208" i="7"/>
  <c r="E1207" i="7"/>
  <c r="E1206" i="7"/>
  <c r="E1205" i="7"/>
  <c r="E1204" i="7"/>
  <c r="E1203" i="7"/>
  <c r="E1202" i="7"/>
  <c r="E1201" i="7"/>
  <c r="E1200" i="7"/>
  <c r="E1199" i="7"/>
  <c r="E1198" i="7"/>
  <c r="E1197" i="7"/>
  <c r="E1196" i="7"/>
  <c r="E1195" i="7"/>
  <c r="E1194" i="7"/>
  <c r="E1193" i="7"/>
  <c r="E1192" i="7"/>
  <c r="E1191" i="7"/>
  <c r="E1190" i="7"/>
  <c r="E1189" i="7"/>
  <c r="E1188" i="7"/>
  <c r="E1187" i="7"/>
  <c r="E1186" i="7"/>
  <c r="E1185" i="7"/>
  <c r="E1184" i="7"/>
  <c r="E1183" i="7"/>
  <c r="E1182" i="7"/>
  <c r="E1181" i="7"/>
  <c r="E1180" i="7"/>
  <c r="E1179" i="7"/>
  <c r="E1178" i="7"/>
  <c r="E1177" i="7"/>
  <c r="E1176" i="7"/>
  <c r="E1175" i="7"/>
  <c r="E1174" i="7"/>
  <c r="E1173" i="7"/>
  <c r="E1172" i="7"/>
  <c r="E1171" i="7"/>
  <c r="E1170" i="7"/>
  <c r="E1169" i="7"/>
  <c r="E1168" i="7"/>
  <c r="E1167" i="7"/>
  <c r="E1166" i="7"/>
  <c r="E1165" i="7"/>
  <c r="E1164" i="7"/>
  <c r="E1163" i="7"/>
  <c r="E1162" i="7"/>
  <c r="E1161" i="7"/>
  <c r="E1160" i="7"/>
  <c r="E1159" i="7"/>
  <c r="E1158" i="7"/>
  <c r="E1157" i="7"/>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P42" i="5"/>
  <c r="P41" i="5"/>
  <c r="P40" i="5"/>
  <c r="P39" i="5"/>
  <c r="P38" i="5"/>
  <c r="P37" i="5"/>
  <c r="P36" i="5"/>
  <c r="P35" i="5"/>
  <c r="P34" i="5"/>
  <c r="P33" i="5"/>
  <c r="O35" i="5"/>
  <c r="O36" i="5" s="1"/>
  <c r="O37" i="5" s="1"/>
  <c r="O38" i="5" s="1"/>
  <c r="O39" i="5" s="1"/>
  <c r="O40" i="5" s="1"/>
  <c r="O41" i="5" s="1"/>
  <c r="O42" i="5" s="1"/>
  <c r="O34" i="5"/>
  <c r="O33" i="5"/>
  <c r="Q20" i="5"/>
  <c r="P21" i="5"/>
  <c r="Q21" i="5"/>
  <c r="Q22" i="5"/>
  <c r="Q23" i="5"/>
  <c r="Q24" i="5"/>
  <c r="Q25" i="5"/>
  <c r="Q26" i="5"/>
  <c r="Q27" i="5"/>
  <c r="Q28" i="5"/>
  <c r="Q29" i="5"/>
  <c r="P8" i="5"/>
  <c r="P9" i="5"/>
  <c r="P10" i="5"/>
  <c r="P11" i="5"/>
  <c r="P12" i="5"/>
  <c r="P13" i="5"/>
  <c r="P14" i="5"/>
  <c r="P15" i="5"/>
  <c r="P16" i="5"/>
  <c r="P7" i="5"/>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2" i="3"/>
  <c r="B32" i="5"/>
  <c r="A32" i="5"/>
  <c r="A42" i="5"/>
  <c r="P25" i="5" l="1"/>
  <c r="P26" i="5" s="1"/>
  <c r="P27" i="5" s="1"/>
  <c r="P28" i="5" s="1"/>
  <c r="P29"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572F6E-0CA8-4038-93D8-7A8CF7DE76AB}" keepAlive="1" name="Query - dataset_e-commerce_sales_tr (2)" description="Connection to the 'dataset_e-commerce_sales_tr (2)' query in the workbook." type="5" refreshedVersion="8" background="1" saveData="1">
    <dbPr connection="Provider=Microsoft.Mashup.OleDb.1;Data Source=$Workbook$;Location=&quot;dataset_e-commerce_sales_tr (2)&quot;;Extended Properties=&quot;&quot;" command="SELECT * FROM [dataset_e-commerce_sales_tr (2)]"/>
  </connection>
  <connection id="2" xr16:uid="{C82E79C6-CE5C-4009-AA70-8C37A9F85987}" keepAlive="1" name="Query - dataset_e-commerce_sales_transaction csv" description="Connection to the 'dataset_e-commerce_sales_transaction csv' query in the workbook." type="5" refreshedVersion="8" background="1" saveData="1">
    <dbPr connection="Provider=Microsoft.Mashup.OleDb.1;Data Source=$Workbook$;Location=&quot;dataset_e-commerce_sales_transaction csv&quot;;Extended Properties=&quot;&quot;" command="SELECT * FROM [dataset_e-commerce_sales_transaction csv]"/>
  </connection>
</connections>
</file>

<file path=xl/sharedStrings.xml><?xml version="1.0" encoding="utf-8"?>
<sst xmlns="http://schemas.openxmlformats.org/spreadsheetml/2006/main" count="16721" uniqueCount="1579">
  <si>
    <t>Order_ID,Order_Date,Year,Month,Quarter,Product_Name,Category,Region,Customer_Type,Payment_Method,Quantity,Unit_Price,Total_Sales</t>
  </si>
  <si>
    <t>1001,2023-08-06,2023,8,3,Laptop,Electronics,Chennai,Premimum,Card,2,50353,100706</t>
  </si>
  <si>
    <t>1002,2022-06-06,2022,6,2,Headphones,Electronics,Delhi,New,UPI,2,2008,4016</t>
  </si>
  <si>
    <t>1004,2023-06-20,2023,6,2,Watch,Other,Pune,Premimum,Card,2,10072,20144</t>
  </si>
  <si>
    <t>1005,2024-11-03,2024,11,4,Mobile Case,Other,Pune,New,UPI,2,920,1840</t>
  </si>
  <si>
    <t>1005,2023-01-13,2023,1,1,Mobile Case,Other,Pune,New,UPI,2,920,1840</t>
  </si>
  <si>
    <t>1005,2023-04-06,2023,4,2,Mobile Case,Other,Pune,New,UPI,2,920,1840</t>
  </si>
  <si>
    <t>1006,2022-06-23,2022,6,2,Tablet,Electronics,Delhi,Returning,COD,1,13225,13225</t>
  </si>
  <si>
    <t>1006,2023-03-11,2023,3,1,Tablet,Electronics,Delhi,Returning,COD,1,13225,13225</t>
  </si>
  <si>
    <t>1006,2024-10-13,2024,10,4,Tablet,Electronics,Delhi,Returning,COD,1,13225,13225</t>
  </si>
  <si>
    <t>1006,2023-12-18,2023,12,4,Tablet,Electronics,Delhi,Returning,COD,1,13225,13225</t>
  </si>
  <si>
    <t>1007,2023-01-21,2023,1,1,Book,Books,Hyderabad,Premimum,UPI,3,621,1863</t>
  </si>
  <si>
    <t>1008,2023-08-06,2023,8,3,Backpack,Fashion,Bangalore,New,COD,2,905,1810</t>
  </si>
  <si>
    <t>1008,2023-05-29,2023,5,2,Backpack,Fashion,Bangalore,New,COD,2,905,1810</t>
  </si>
  <si>
    <t>1008,2023-12-14,2023,12,4,Backpack,Fashion,Bangalore,New,COD,2,905,1810</t>
  </si>
  <si>
    <t>1008,2024-10-16,2024,10,4,Backpack,Fashion,Bangalore,New,COD,2,905,1810</t>
  </si>
  <si>
    <t>1009,2022-05-05,2022,5,2,Smartwatch,Electronics,Hyderabad,Returning,Card,1,8563,8563</t>
  </si>
  <si>
    <t>1009,2023-01-18,2023,1,1,Smartwatch,Electronics,Hyderabad,Returning,Card,1,8563,8563</t>
  </si>
  <si>
    <t>1009,2022-12-19,2022,12,4,Smartwatch,Electronics,Hyderabad,Returning,Card,1,8563,8563</t>
  </si>
  <si>
    <t>1010,2023-07-23,2023,7,3,Water Bottle,Other,Chennai,New,UPI,1,268,268</t>
  </si>
  <si>
    <t>1010,2023-08-31,2023,8,3,Water Bottle,Other,Chennai,New,UPI,1,268,268</t>
  </si>
  <si>
    <t>1010,2023-04-22,2023,4,2,Water Bottle,Other,Chennai,New,UPI,1,268,268</t>
  </si>
  <si>
    <t>1010,2023-08-13,2023,8,3,Water Bottle,Other,Chennai,New,UPI,1,268,268</t>
  </si>
  <si>
    <t>1011,2022-08-23,2022,8,3,Laptop,Electronics,Hyderabad,Returning,Card,2,54018,108036</t>
  </si>
  <si>
    <t>1011,2022-04-21,2022,4,2,Laptop,Electronics,Hyderabad,Returning,Card,2,54018,108036</t>
  </si>
  <si>
    <t>1011,2023-03-05,2023,3,1,Laptop,Electronics,Hyderabad,Returning,Card,2,54018,108036</t>
  </si>
  <si>
    <t>1011,2022-04-03,2022,4,2,Laptop,Electronics,Hyderabad,Returning,Card,2,54018,108036</t>
  </si>
  <si>
    <t>1012,2022-07-30,2022,7,3,Headphones,Electronics,Delhi,Returning,UPI,3,4762,14286</t>
  </si>
  <si>
    <t>1013,2023-09-02,2023,9,3,Shoes,Fashion,Pune,Returning,COD,2,4880,9760</t>
  </si>
  <si>
    <t>1013,2023-09-03,2023,9,3,Shoes,Fashion,Pune,Returning,COD,2,4880,9760</t>
  </si>
  <si>
    <t>1013,2023-03-11,2023,3,1,Shoes,Fashion,Pune,Returning,COD,2,4880,9760</t>
  </si>
  <si>
    <t>1014,2022-09-04,2022,9,3,Watch,Other,Chennai,Returning,Card,1,8508,8508</t>
  </si>
  <si>
    <t>1014,2024-12-02,2024,12,4,Watch,Other,Chennai,Returning,Card,1,8508,8508</t>
  </si>
  <si>
    <t>1014,2023-02-22,2023,2,1,Watch,Other,Chennai,Returning,Card,1,8508,8508</t>
  </si>
  <si>
    <t>1015,2022-11-14,2022,11,4,Mobile Case,Other,Chennai,New,UPI,4,119,476</t>
  </si>
  <si>
    <t>1015,2023-12-09,2023,12,4,Mobile Case,Other,Chennai,New,UPI,4,119,476</t>
  </si>
  <si>
    <t>1015,2022-05-28,2022,5,2,Mobile Case,Other,Chennai,New,UPI,4,119,476</t>
  </si>
  <si>
    <t>1015,2024-06-14,2024,6,2,Mobile Case,Other,Chennai,New,UPI,4,119,476</t>
  </si>
  <si>
    <t>1016,2022-04-18,2022,4,2,Tablet,Electronics,Mumbai,New,COD,1,37589,37589</t>
  </si>
  <si>
    <t>1016,2024-01-05,2024,1,1,Tablet,Electronics,Mumbai,New,COD,1,37589,37589</t>
  </si>
  <si>
    <t>1016,2024-06-25,2024,6,2,Tablet,Electronics,Mumbai,New,COD,1,37589,37589</t>
  </si>
  <si>
    <t>1017,2023-03-25,2023,3,1,Book,Books,Delhi,Premimum,UPI,1,781,781</t>
  </si>
  <si>
    <t>1018,2024-06-15,2024,6,2,Backpack,Fashion,Mumbai,Premimum,UPI,5,809,4045</t>
  </si>
  <si>
    <t>1018,2023-11-17,2023,11,4,Backpack,Fashion,Mumbai,Premimum,UPI,5,809,4045</t>
  </si>
  <si>
    <t>1018,2023-04-15,2023,4,2,Backpack,Fashion,Mumbai,Premimum,UPI,5,809,4045</t>
  </si>
  <si>
    <t>1018,2023-06-23,2023,6,2,Backpack,Fashion,Mumbai,Premimum,UPI,5,809,4045</t>
  </si>
  <si>
    <t>1019,2023-10-23,2023,10,4,Smartwatch,Electronics,Pune,Premimum,UPI,2,4129,8258</t>
  </si>
  <si>
    <t>1019,2024-08-20,2024,8,3,Smartwatch,Electronics,Pune,Premimum,UPI,2,4129,8258</t>
  </si>
  <si>
    <t>1019,2022-09-04,2022,9,3,Smartwatch,Electronics,Pune,Premimum,UPI,2,4129,8258</t>
  </si>
  <si>
    <t>1019,2024-03-01,2024,3,1,Smartwatch,Electronics,Pune,Premimum,UPI,2,4129,8258</t>
  </si>
  <si>
    <t>1019,2022-05-22,2022,5,2,Smartwatch,Electronics,Pune,Premimum,UPI,2,4129,8258</t>
  </si>
  <si>
    <t>1021,2023-09-26,2023,9,3,Laptop,Electronics,Pune,Premimum,COD,2,68516,137032</t>
  </si>
  <si>
    <t>1021,2024-05-08,2024,5,2,Laptop,Electronics,Pune,Premimum,COD,2,68516,137032</t>
  </si>
  <si>
    <t>1021,2024-10-30,2024,10,4,Laptop,Electronics,Pune,Premimum,COD,2,68516,137032</t>
  </si>
  <si>
    <t>1021,2023-01-22,2023,1,1,Laptop,Electronics,Pune,Premimum,COD,2,68516,137032</t>
  </si>
  <si>
    <t>1022,2023-08-04,2023,8,3,Headphones,Electronics,Mumbai,New,Card,1,3985,3985</t>
  </si>
  <si>
    <t>1022,2023-01-18,2023,1,1,Headphones,Electronics,Mumbai,New,Card,1,3985,3985</t>
  </si>
  <si>
    <t>1023,2024-07-24,2024,7,3,Shoes,Fashion,Mumbai,Returning,UPI,1,2380,2380</t>
  </si>
  <si>
    <t>1023,2023-09-20,2023,9,3,Shoes,Fashion,Mumbai,Returning,UPI,1,2380,2380</t>
  </si>
  <si>
    <t>1024,2022-03-27,2022,3,1,Watch,Other,Bangalore,New,UPI,3,13522,40566</t>
  </si>
  <si>
    <t>1024,2022-12-19,2022,12,4,Watch,Other,Bangalore,New,UPI,3,13522,40566</t>
  </si>
  <si>
    <t>1024,2024-02-17,2024,2,1,Watch,Other,Bangalore,New,UPI,3,13522,40566</t>
  </si>
  <si>
    <t>1024,2022-07-15,2022,7,3,Watch,Other,Bangalore,New,UPI,3,13522,40566</t>
  </si>
  <si>
    <t>1024,2023-11-15,2023,11,4,Watch,Other,Bangalore,New,UPI,3,13522,40566</t>
  </si>
  <si>
    <t>1024,2024-04-12,2024,4,2,Watch,Other,Bangalore,New,UPI,3,13522,40566</t>
  </si>
  <si>
    <t>1024,2023-10-08,2023,10,4,Watch,Other,Bangalore,New,UPI,3,13522,40566</t>
  </si>
  <si>
    <t>1024,2023-04-30,2023,4,2,Watch,Other,Bangalore,New,UPI,3,13522,40566</t>
  </si>
  <si>
    <t>1025,2023-09-24,2023,9,3,Mobile Case,Other,Pune,Premimum,COD,1,340,340</t>
  </si>
  <si>
    <t>1025,2022-02-28,2022,2,1,Mobile Case,Other,Pune,Premimum,COD,1,340,340</t>
  </si>
  <si>
    <t>1025,2023-05-24,2023,5,2,Mobile Case,Other,Pune,Premimum,COD,1,340,340</t>
  </si>
  <si>
    <t>1025,2024-11-12,2024,11,4,Mobile Case,Other,Pune,Premimum,COD,1,340,340</t>
  </si>
  <si>
    <t>1025,2023-08-02,2023,8,3,Mobile Case,Other,Pune,Premimum,COD,1,340,340</t>
  </si>
  <si>
    <t>1026,2023-11-13,2023,11,4,Tablet,Electronics,Bangalore,Returning,UPI,1,34153,34153</t>
  </si>
  <si>
    <t>1026,2022-10-26,2022,10,4,Tablet,Electronics,Bangalore,Returning,UPI,1,34153,34153</t>
  </si>
  <si>
    <t>1027,2022-05-10,2022,5,2,Book,Books,Delhi,Returning,UPI,1,884,884</t>
  </si>
  <si>
    <t>1027,2023-10-20,2023,10,4,Book,Books,Delhi,Returning,UPI,1,884,884</t>
  </si>
  <si>
    <t>1027,2022-09-29,2022,9,3,Book,Books,Delhi,Returning,UPI,1,884,884</t>
  </si>
  <si>
    <t>1028,2023-01-16,2023,1,1,Backpack,Fashion,Pune,New,COD,1,1961,1961</t>
  </si>
  <si>
    <t>1029,2023-03-12,2023,3,1,Smartwatch,Electronics,Pune,Premimum,UPI,1,7608,7608</t>
  </si>
  <si>
    <t>1029,2023-04-05,2023,4,2,Smartwatch,Electronics,Pune,Premimum,UPI,1,7608,7608</t>
  </si>
  <si>
    <t>1030,2023-12-11,2023,12,4,Water Bottle,Other,Hyderabad,Premimum,COD,5,126,630</t>
  </si>
  <si>
    <t>1031,2022-11-02,2022,11,4,Laptop,Electronics,Hyderabad,New,COD,1,68088,68088</t>
  </si>
  <si>
    <t>1031,2024-10-09,2024,10,4,Laptop,Electronics,Hyderabad,New,COD,1,68088,68088</t>
  </si>
  <si>
    <t>1031,2024-06-23,2024,6,2,Laptop,Electronics,Hyderabad,New,COD,1,68088,68088</t>
  </si>
  <si>
    <t>1032,2022-05-01,2022,5,2,Headphones,Electronics,Delhi,New,UPI,3,2723,8169</t>
  </si>
  <si>
    <t>1032,2023-08-23,2023,8,3,Headphones,Electronics,Delhi,New,UPI,3,2723,8169</t>
  </si>
  <si>
    <t>1032,2023-05-28,2023,5,2,Headphones,Electronics,Delhi,New,UPI,3,2723,8169</t>
  </si>
  <si>
    <t>1033,2023-01-09,2023,1,1,Shoes,Fashion,Mumbai,New,COD,1,4157,4157</t>
  </si>
  <si>
    <t>1033,2024-01-27,2024,1,1,Shoes,Fashion,Mumbai,New,COD,1,4157,4157</t>
  </si>
  <si>
    <t>1033,2024-01-31,2024,1,1,Shoes,Fashion,Mumbai,New,COD,1,4157,4157</t>
  </si>
  <si>
    <t>1033,2022-02-10,2022,2,1,Shoes,Fashion,Mumbai,New,COD,1,4157,4157</t>
  </si>
  <si>
    <t>1035,2022-02-28,2022,2,1,Mobile Case,Other,Delhi,Returning,UPI,3,414,1242</t>
  </si>
  <si>
    <t>1035,2022-03-13,2022,3,1,Mobile Case,Other,Delhi,Returning,UPI,3,414,1242</t>
  </si>
  <si>
    <t>1035,2023-07-04,2023,7,3,Mobile Case,Other,Delhi,Returning,UPI,3,414,1242</t>
  </si>
  <si>
    <t>1036,2023-12-19,2023,12,4,Tablet,Electronics,Bangalore,Returning,Card,2,15134,30268</t>
  </si>
  <si>
    <t>1037,2024-01-13,2024,1,1,Book,Books,Hyderabad,Returning,Card,5,605,3025</t>
  </si>
  <si>
    <t>1038,2022-07-24,2022,7,3,Backpack,Fashion,Delhi,Returning,Card,3,1857,5571</t>
  </si>
  <si>
    <t>1038,2024-02-25,2024,2,1,Backpack,Fashion,Delhi,Returning,Card,3,1857,5571</t>
  </si>
  <si>
    <t>1039,2022-06-16,2022,6,2,Smartwatch,Electronics,Chennai,Returning,COD,1,5190,5190</t>
  </si>
  <si>
    <t>1039,2023-01-07,2023,1,1,Smartwatch,Electronics,Chennai,Returning,COD,1,5190,5190</t>
  </si>
  <si>
    <t>1039,2023-02-09,2023,2,1,Smartwatch,Electronics,Chennai,Returning,COD,1,5190,5190</t>
  </si>
  <si>
    <t>1039,2022-10-29,2022,10,4,Smartwatch,Electronics,Chennai,Returning,COD,1,5190,5190</t>
  </si>
  <si>
    <t>1040,2022-09-25,2022,9,3,Water Bottle,Other,Bangalore,Premimum,COD,4,338,1352</t>
  </si>
  <si>
    <t>1040,2022-01-19,2022,1,1,Water Bottle,Other,Bangalore,Premimum,COD,4,338,1352</t>
  </si>
  <si>
    <t>1041,2022-02-20,2022,2,1,Laptop,Electronics,Hyderabad,New,COD,1,52555,52555</t>
  </si>
  <si>
    <t>1041,2023-08-16,2023,8,3,Laptop,Electronics,Hyderabad,New,COD,1,52555,52555</t>
  </si>
  <si>
    <t>1041,2023-03-23,2023,3,1,Laptop,Electronics,Hyderabad,New,COD,1,52555,52555</t>
  </si>
  <si>
    <t>1042,2023-10-23,2023,10,4,Headphones,Electronics,Delhi,Returning,UPI,1,2478,2478</t>
  </si>
  <si>
    <t>1042,2023-08-23,2023,8,3,Headphones,Electronics,Delhi,Returning,UPI,1,2478,2478</t>
  </si>
  <si>
    <t>1042,2024-08-12,2024,8,3,Headphones,Electronics,Delhi,Returning,UPI,1,2478,2478</t>
  </si>
  <si>
    <t>1043,2022-04-20,2022,4,2,Shoes,Fashion,Chennai,Returning,COD,2,4368,8736</t>
  </si>
  <si>
    <t>1043,2023-01-13,2023,1,1,Shoes,Fashion,Chennai,Returning,COD,2,4368,8736</t>
  </si>
  <si>
    <t>1043,2023-08-16,2023,8,3,Shoes,Fashion,Chennai,Returning,COD,2,4368,8736</t>
  </si>
  <si>
    <t>1044,2024-12-17,2024,12,4,Watch,Other,Pune,Returning,UPI,5,4294,21470</t>
  </si>
  <si>
    <t>1044,2024-07-28,2024,7,3,Watch,Other,Pune,Returning,UPI,5,4294,21470</t>
  </si>
  <si>
    <t>1045,2023-06-21,2023,6,2,Mobile Case,Other,Chennai,Premimum,Card,5,877,4385</t>
  </si>
  <si>
    <t>1046,2024-10-25,2024,10,4,Tablet,Electronics,Hyderabad,Premimum,UPI,2,35059,70118</t>
  </si>
  <si>
    <t>1046,2022-06-07,2022,6,2,Tablet,Electronics,Hyderabad,Premimum,UPI,2,35059,70118</t>
  </si>
  <si>
    <t>1047,2023-08-25,2023,8,3,Book,Books,Chennai,New,UPI,3,935,2805</t>
  </si>
  <si>
    <t>1047,2022-02-24,2022,2,1,Book,Books,Chennai,New,UPI,3,935,2805</t>
  </si>
  <si>
    <t>1048,2022-07-31,2022,7,3,Backpack,Fashion,Chennai,New,Card,1,1978,1978</t>
  </si>
  <si>
    <t>1048,2024-06-18,2024,6,2,Backpack,Fashion,Chennai,New,Card,1,1978,1978</t>
  </si>
  <si>
    <t>1048,2022-02-03,2022,2,1,Backpack,Fashion,Chennai,New,Card,1,1978,1978</t>
  </si>
  <si>
    <t>1048,2022-03-12,2022,3,1,Backpack,Fashion,Chennai,New,Card,1,1978,1978</t>
  </si>
  <si>
    <t>1049,2024-04-16,2024,4,2,Smartwatch,Electronics,Mumbai,Premimum,Card,2,14326,28652</t>
  </si>
  <si>
    <t>1049,2024-05-11,2024,5,2,Smartwatch,Electronics,Mumbai,Premimum,Card,2,14326,28652</t>
  </si>
  <si>
    <t>1049,2023-12-30,2023,12,4,Smartwatch,Electronics,Mumbai,Premimum,Card,2,14326,28652</t>
  </si>
  <si>
    <t>1050,2023-03-04,2023,3,1,Water Bottle,Other,Mumbai,New,Card,3,100,300</t>
  </si>
  <si>
    <t>1050,2022-01-10,2022,1,1,Water Bottle,Other,Mumbai,New,Card,3,100,300</t>
  </si>
  <si>
    <t>1050,2023-03-20,2023,3,1,Water Bottle,Other,Mumbai,New,Card,3,100,300</t>
  </si>
  <si>
    <t>1050,2023-05-11,2023,5,2,Water Bottle,Other,Mumbai,New,Card,3,100,300</t>
  </si>
  <si>
    <t>1050,2023-03-02,2023,3,1,Water Bottle,Other,Mumbai,New,Card,3,100,300</t>
  </si>
  <si>
    <t>1050,2023-04-24,2023,4,2,Water Bottle,Other,Mumbai,New,Card,3,100,300</t>
  </si>
  <si>
    <t>1050,2022-09-18,2022,9,3,Water Bottle,Other,Mumbai,New,Card,3,100,300</t>
  </si>
  <si>
    <t>1051,2022-05-31,2022,5,2,Laptop,Electronics,Chennai,New,COD,2,54846,109692</t>
  </si>
  <si>
    <t>1052,2023-07-16,2023,7,3,Headphones,Electronics,Chennai,New,Card,3,4855,14565</t>
  </si>
  <si>
    <t>1052,2022-05-12,2022,5,2,Headphones,Electronics,Chennai,New,Card,3,4855,14565</t>
  </si>
  <si>
    <t>1053,2023-08-27,2023,8,3,Shoes,Fashion,Hyderabad,Premimum,UPI,3,1718,5154</t>
  </si>
  <si>
    <t>1053,2024-09-13,2024,9,3,Shoes,Fashion,Hyderabad,Premimum,UPI,3,1718,5154</t>
  </si>
  <si>
    <t>1053,2023-08-14,2023,8,3,Shoes,Fashion,Hyderabad,Premimum,UPI,3,1718,5154</t>
  </si>
  <si>
    <t>1053,2023-08-24,2023,8,3,Shoes,Fashion,Hyderabad,Premimum,UPI,3,1718,5154</t>
  </si>
  <si>
    <t>1054,2023-02-15,2023,2,1,Watch,Other,Pune,New,COD,5,17415,87075</t>
  </si>
  <si>
    <t>1054,2024-05-23,2024,5,2,Watch,Other,Pune,New,COD,5,17415,87075</t>
  </si>
  <si>
    <t>1055,2023-12-07,2023,12,4,Mobile Case,Other,Mumbai,New,UPI,3,661,1983</t>
  </si>
  <si>
    <t>1055,2024-04-23,2024,4,2,Mobile Case,Other,Mumbai,New,UPI,3,661,1983</t>
  </si>
  <si>
    <t>1055,2023-02-21,2023,2,1,Mobile Case,Other,Mumbai,New,UPI,3,661,1983</t>
  </si>
  <si>
    <t>1055,2024-06-06,2024,6,2,Mobile Case,Other,Mumbai,New,UPI,3,661,1983</t>
  </si>
  <si>
    <t>1056,2023-10-27,2023,10,4,Tablet,Electronics,Pune,Returning,Card,2,30075,60150</t>
  </si>
  <si>
    <t>1056,2023-01-28,2023,1,1,Tablet,Electronics,Pune,Returning,Card,2,30075,60150</t>
  </si>
  <si>
    <t>1057,2023-08-09,2023,8,3,Book,Books,Hyderabad,Premimum,Card,3,387,1161</t>
  </si>
  <si>
    <t>1057,2022-06-24,2022,6,2,Book,Books,Hyderabad,Premimum,Card,3,387,1161</t>
  </si>
  <si>
    <t>1058,2024-12-27,2024,12,4,Backpack,Fashion,Mumbai,New,UPI,5,1084,5420</t>
  </si>
  <si>
    <t>1058,2022-06-28,2022,6,2,Backpack,Fashion,Mumbai,New,UPI,5,1084,5420</t>
  </si>
  <si>
    <t>1058,2023-08-14,2023,8,3,Backpack,Fashion,Mumbai,New,UPI,5,1084,5420</t>
  </si>
  <si>
    <t>1058,2024-10-04,2024,10,4,Backpack,Fashion,Mumbai,New,UPI,5,1084,5420</t>
  </si>
  <si>
    <t>1059,2024-05-15,2024,5,2,Smartwatch,Electronics,Mumbai,New,Card,1,11559,11559</t>
  </si>
  <si>
    <t>1059,2024-11-13,2024,11,4,Smartwatch,Electronics,Mumbai,New,Card,1,11559,11559</t>
  </si>
  <si>
    <t>1059,2022-12-29,2022,12,4,Smartwatch,Electronics,Mumbai,New,Card,1,11559,11559</t>
  </si>
  <si>
    <t>1059,2022-03-12,2022,3,1,Smartwatch,Electronics,Mumbai,New,Card,1,11559,11559</t>
  </si>
  <si>
    <t>1059,2023-09-24,2023,9,3,Smartwatch,Electronics,Mumbai,New,Card,1,11559,11559</t>
  </si>
  <si>
    <t>1059,2022-09-08,2022,9,3,Smartwatch,Electronics,Mumbai,New,Card,1,11559,11559</t>
  </si>
  <si>
    <t>1060,2023-11-01,2023,11,4,Water Bottle,Other,Delhi,Premimum,UPI,5,717,3585</t>
  </si>
  <si>
    <t>1061,2022-01-04,2022,1,1,Laptop,Electronics,Pune,Returning,COD,2,51590,103180</t>
  </si>
  <si>
    <t>1061,2022-10-02,2022,10,4,Laptop,Electronics,Pune,Returning,COD,2,51590,103180</t>
  </si>
  <si>
    <t>1061,2023-05-22,2023,5,2,Laptop,Electronics,Pune,Returning,COD,2,51590,103180</t>
  </si>
  <si>
    <t>1062,2022-02-28,2022,2,1,Headphones,Electronics,Bangalore,New,UPI,2,2555,5110</t>
  </si>
  <si>
    <t>1062,2024-03-07,2024,3,1,Headphones,Electronics,Bangalore,New,UPI,2,2555,5110</t>
  </si>
  <si>
    <t>1062,2022-08-21,2022,8,3,Headphones,Electronics,Bangalore,New,UPI,2,2555,5110</t>
  </si>
  <si>
    <t>1062,2023-09-12,2023,9,3,Headphones,Electronics,Bangalore,New,UPI,2,2555,5110</t>
  </si>
  <si>
    <t>1063,2023-02-14,2023,2,1,Shoes,Fashion,Pune,New,COD,3,3601,10803</t>
  </si>
  <si>
    <t>1063,2022-12-24,2022,12,4,Shoes,Fashion,Pune,New,COD,3,3601,10803</t>
  </si>
  <si>
    <t>1063,2022-03-28,2022,3,1,Shoes,Fashion,Pune,New,COD,3,3601,10803</t>
  </si>
  <si>
    <t>1064,2024-12-28,2024,12,4,Watch,Other,Chennai,Premimum,UPI,5,9924,49620</t>
  </si>
  <si>
    <t>1064,2023-02-15,2023,2,1,Watch,Other,Chennai,Premimum,UPI,5,9924,49620</t>
  </si>
  <si>
    <t>1064,2024-04-26,2024,4,2,Watch,Other,Chennai,Premimum,UPI,5,9924,49620</t>
  </si>
  <si>
    <t>1064,2023-11-21,2023,11,4,Watch,Other,Chennai,Premimum,UPI,5,9924,49620</t>
  </si>
  <si>
    <t>1065,2023-04-27,2023,4,2,Mobile Case,Other,Delhi,Returning,COD,5,511,2555</t>
  </si>
  <si>
    <t>1065,2022-11-30,2022,11,4,Mobile Case,Other,Delhi,Returning,COD,5,511,2555</t>
  </si>
  <si>
    <t>1065,2023-12-03,2023,12,4,Mobile Case,Other,Delhi,Returning,COD,5,511,2555</t>
  </si>
  <si>
    <t>1065,2023-11-27,2023,11,4,Mobile Case,Other,Delhi,Returning,COD,5,511,2555</t>
  </si>
  <si>
    <t>1066,2023-02-17,2023,2,1,Tablet,Electronics,Delhi,New,COD,1,29247,29247</t>
  </si>
  <si>
    <t>1066,2023-01-28,2023,1,1,Tablet,Electronics,Delhi,New,COD,1,29247,29247</t>
  </si>
  <si>
    <t>1066,2022-12-23,2022,12,4,Tablet,Electronics,Delhi,New,COD,1,29247,29247</t>
  </si>
  <si>
    <t>1067,2024-10-14,2024,10,4,Book,Books,Pune,Premimum,UPI,4,699,2796</t>
  </si>
  <si>
    <t>1068,2024-12-05,2024,12,4,Backpack,Fashion,Hyderabad,Returning,COD,5,566,2830</t>
  </si>
  <si>
    <t>1068,2023-07-24,2023,7,3,Backpack,Fashion,Hyderabad,Returning,COD,5,566,2830</t>
  </si>
  <si>
    <t>1068,2024-05-22,2024,5,2,Backpack,Fashion,Hyderabad,Returning,COD,5,566,2830</t>
  </si>
  <si>
    <t>1068,2022-04-04,2022,4,2,Backpack,Fashion,Hyderabad,Returning,COD,5,566,2830</t>
  </si>
  <si>
    <t>1069,2024-12-14,2024,12,4,Smartwatch,Electronics,Bangalore,Premimum,UPI,1,5629,5629</t>
  </si>
  <si>
    <t>1069,2023-07-02,2023,7,3,Smartwatch,Electronics,Bangalore,Premimum,UPI,1,5629,5629</t>
  </si>
  <si>
    <t>1069,2023-08-03,2023,8,3,Smartwatch,Electronics,Bangalore,Premimum,UPI,1,5629,5629</t>
  </si>
  <si>
    <t>1070,2022-11-16,2022,11,4,Water Bottle,Other,Delhi,Returning,Card,3,579,1737</t>
  </si>
  <si>
    <t>1070,2023-09-04,2023,9,3,Water Bottle,Other,Delhi,Returning,Card,3,579,1737</t>
  </si>
  <si>
    <t>1070,2022-01-27,2022,1,1,Water Bottle,Other,Delhi,Returning,Card,3,579,1737</t>
  </si>
  <si>
    <t>1071,2022-06-01,2022,6,2,Laptop,Electronics,Pune,New,Card,2,58940,117880</t>
  </si>
  <si>
    <t>1072,2023-07-11,2023,7,3,Headphones,Electronics,Pune,New,UPI,1,3615,3615</t>
  </si>
  <si>
    <t>1072,2023-03-13,2023,3,1,Headphones,Electronics,Pune,New,UPI,1,3615,3615</t>
  </si>
  <si>
    <t>1073,2023-09-22,2023,9,3,Shoes,Fashion,Delhi,Premimum,COD,3,3472,10416</t>
  </si>
  <si>
    <t>1074,2022-10-26,2022,10,4,Watch,Other,Delhi,Returning,Card,1,2976,2976</t>
  </si>
  <si>
    <t>1074,2023-12-26,2023,12,4,Watch,Other,Delhi,Returning,Card,1,2976,2976</t>
  </si>
  <si>
    <t>1075,2022-01-18,2022,1,1,Mobile Case,Other,Bangalore,Premimum,Card,3,359,1077</t>
  </si>
  <si>
    <t>1075,2024-08-21,2024,8,3,Mobile Case,Other,Bangalore,Premimum,Card,3,359,1077</t>
  </si>
  <si>
    <t>1075,2022-02-20,2022,2,1,Mobile Case,Other,Bangalore,Premimum,Card,3,359,1077</t>
  </si>
  <si>
    <t>1075,2023-04-15,2023,4,2,Mobile Case,Other,Bangalore,Premimum,Card,3,359,1077</t>
  </si>
  <si>
    <t>1076,2022-10-23,2022,10,4,Tablet,Electronics,Bangalore,New,COD,1,20775,20775</t>
  </si>
  <si>
    <t>1076,2023-01-23,2023,1,1,Tablet,Electronics,Bangalore,New,COD,1,20775,20775</t>
  </si>
  <si>
    <t>1076,2023-09-18,2023,9,3,Tablet,Electronics,Bangalore,New,COD,1,20775,20775</t>
  </si>
  <si>
    <t>1077,2023-03-14,2023,3,1,Book,Books,Delhi,New,Card,4,920,3680</t>
  </si>
  <si>
    <t>1078,2022-11-30,2022,11,4,Backpack,Fashion,Pune,Premimum,UPI,2,907,1814</t>
  </si>
  <si>
    <t>1078,2024-12-22,2024,12,4,Backpack,Fashion,Pune,Premimum,UPI,2,907,1814</t>
  </si>
  <si>
    <t>1079,2023-11-06,2023,11,4,Smartwatch,Electronics,Pune,Returning,COD,1,13388,13388</t>
  </si>
  <si>
    <t>1079,2024-08-16,2024,8,3,Smartwatch,Electronics,Pune,Returning,COD,1,13388,13388</t>
  </si>
  <si>
    <t>1079,2023-07-18,2023,7,3,Smartwatch,Electronics,Pune,Returning,COD,1,13388,13388</t>
  </si>
  <si>
    <t>1079,2023-06-27,2023,6,2,Smartwatch,Electronics,Pune,Returning,COD,1,13388,13388</t>
  </si>
  <si>
    <t>1079,2023-01-10,2023,1,1,Smartwatch,Electronics,Pune,Returning,COD,1,13388,13388</t>
  </si>
  <si>
    <t>1079,2023-04-17,2023,4,2,Smartwatch,Electronics,Pune,Returning,COD,1,13388,13388</t>
  </si>
  <si>
    <t>1080,2022-06-08,2022,6,2,Water Bottle,Other,Hyderabad,New,UPI,2,372,744</t>
  </si>
  <si>
    <t>1080,2022-11-24,2022,11,4,Water Bottle,Other,Hyderabad,New,UPI,2,372,744</t>
  </si>
  <si>
    <t>1080,2024-11-25,2024,11,4,Water Bottle,Other,Hyderabad,New,UPI,2,372,744</t>
  </si>
  <si>
    <t>1081,2024-04-15,2024,4,2,Laptop,Electronics,Delhi,Premimum,COD,1,44531,44531</t>
  </si>
  <si>
    <t>1081,2024-07-25,2024,7,3,Laptop,Electronics,Delhi,Premimum,COD,1,44531,44531</t>
  </si>
  <si>
    <t>1082,2022-04-11,2022,4,2,Headphones,Electronics,Hyderabad,Premimum,Card,2,1963,3926</t>
  </si>
  <si>
    <t>1082,2023-11-22,2023,11,4,Headphones,Electronics,Hyderabad,Premimum,Card,2,1963,3926</t>
  </si>
  <si>
    <t>1082,2022-09-25,2022,9,3,Headphones,Electronics,Hyderabad,Premimum,Card,2,1963,3926</t>
  </si>
  <si>
    <t>1082,2022-06-29,2022,6,2,Headphones,Electronics,Hyderabad,Premimum,Card,2,1963,3926</t>
  </si>
  <si>
    <t>1082,2022-05-11,2022,5,2,Headphones,Electronics,Hyderabad,Premimum,Card,2,1963,3926</t>
  </si>
  <si>
    <t>1083,2022-02-06,2022,2,1,Shoes,Fashion,Pune,New,Card,1,2483,2483</t>
  </si>
  <si>
    <t>1083,2024-08-08,2024,8,3,Shoes,Fashion,Pune,New,Card,1,2483,2483</t>
  </si>
  <si>
    <t>1083,2024-05-31,2024,5,2,Shoes,Fashion,Pune,New,Card,1,2483,2483</t>
  </si>
  <si>
    <t>1083,2022-09-25,2022,9,3,Shoes,Fashion,Pune,New,Card,1,2483,2483</t>
  </si>
  <si>
    <t>1083,2023-07-04,2023,7,3,Shoes,Fashion,Pune,New,Card,1,2483,2483</t>
  </si>
  <si>
    <t>1084,2022-10-23,2022,10,4,Watch,Other,Mumbai,New,COD,5,18677,93385</t>
  </si>
  <si>
    <t>1084,2023-08-31,2023,8,3,Watch,Other,Mumbai,New,COD,5,18677,93385</t>
  </si>
  <si>
    <t>1085,2023-06-28,2023,6,2,Mobile Case,Other,Pune,New,Card,1,583,583</t>
  </si>
  <si>
    <t>1085,2022-05-28,2022,5,2,Mobile Case,Other,Pune,New,Card,1,583,583</t>
  </si>
  <si>
    <t>1085,2022-09-21,2022,9,3,Mobile Case,Other,Pune,New,Card,1,583,583</t>
  </si>
  <si>
    <t>1086,2022-03-28,2022,3,1,Tablet,Electronics,Pune,Returning,Card,1,34775,34775</t>
  </si>
  <si>
    <t>1087,2022-03-09,2022,3,1,Book,Books,Pune,New,Card,3,635,1905</t>
  </si>
  <si>
    <t>1088,2024-09-10,2024,9,3,Backpack,Fashion,Pune,Returning,COD,5,527,2635</t>
  </si>
  <si>
    <t>1088,2023-02-03,2023,2,1,Backpack,Fashion,Pune,Returning,COD,5,527,2635</t>
  </si>
  <si>
    <t>1089,2022-11-23,2022,11,4,Smartwatch,Electronics,Mumbai,Returning,COD,2,3327,6654</t>
  </si>
  <si>
    <t>1089,2023-12-11,2023,12,4,Smartwatch,Electronics,Mumbai,Returning,COD,2,3327,6654</t>
  </si>
  <si>
    <t>1090,2022-09-13,2022,9,3,Water Bottle,Other,Hyderabad,New,UPI,1,383,383</t>
  </si>
  <si>
    <t>1090,2023-09-04,2023,9,3,Water Bottle,Other,Hyderabad,New,UPI,1,383,383</t>
  </si>
  <si>
    <t>1090,2024-05-07,2024,5,2,Water Bottle,Other,Hyderabad,New,UPI,1,383,383</t>
  </si>
  <si>
    <t>1090,2023-03-11,2023,3,1,Water Bottle,Other,Hyderabad,New,UPI,1,383,383</t>
  </si>
  <si>
    <t>1091,2024-05-12,2024,5,2,Laptop,Electronics,Chennai,Premimum,UPI,1,61156,61156</t>
  </si>
  <si>
    <t>1091,2022-06-11,2022,6,2,Laptop,Electronics,Chennai,Premimum,UPI,1,61156,61156</t>
  </si>
  <si>
    <t>1091,2024-03-08,2024,3,1,Laptop,Electronics,Chennai,Premimum,UPI,1,61156,61156</t>
  </si>
  <si>
    <t>1091,2023-01-31,2023,1,1,Laptop,Electronics,Chennai,Premimum,UPI,1,61156,61156</t>
  </si>
  <si>
    <t>1091,2022-01-05,2022,1,1,Laptop,Electronics,Chennai,Premimum,UPI,1,61156,61156</t>
  </si>
  <si>
    <t>1091,2024-11-29,2024,11,4,Laptop,Electronics,Chennai,Premimum,UPI,1,61156,61156</t>
  </si>
  <si>
    <t>1091,2024-05-03,2024,5,2,Laptop,Electronics,Chennai,Premimum,UPI,1,61156,61156</t>
  </si>
  <si>
    <t>1092,2022-06-04,2022,6,2,Headphones,Electronics,Delhi,Returning,COD,1,3607,3607</t>
  </si>
  <si>
    <t>1092,2023-06-21,2023,6,2,Headphones,Electronics,Delhi,Returning,COD,1,3607,3607</t>
  </si>
  <si>
    <t>1092,2023-01-02,2023,1,1,Headphones,Electronics,Delhi,Returning,COD,1,3607,3607</t>
  </si>
  <si>
    <t>1093,2022-10-12,2022,10,4,Shoes,Fashion,Pune,Premimum,COD,3,3055,9165</t>
  </si>
  <si>
    <t>1093,2023-06-27,2023,6,2,Shoes,Fashion,Pune,Premimum,COD,3,3055,9165</t>
  </si>
  <si>
    <t>1094,2023-03-19,2023,3,1,Watch,Other,Pune,New,COD,4,18106,72424</t>
  </si>
  <si>
    <t>1094,2023-12-16,2023,12,4,Watch,Other,Pune,New,COD,4,18106,72424</t>
  </si>
  <si>
    <t>1094,2024-07-10,2024,7,3,Watch,Other,Pune,New,COD,4,18106,72424</t>
  </si>
  <si>
    <t>1095,2022-06-11,2022,6,2,Mobile Case,Other,Delhi,Premimum,UPI,5,103,515</t>
  </si>
  <si>
    <t>1096,2022-10-19,2022,10,4,Tablet,Electronics,Pune,Returning,Card,1,13217,13217</t>
  </si>
  <si>
    <t>1096,2023-01-28,2023,1,1,Tablet,Electronics,Pune,Returning,Card,1,13217,13217</t>
  </si>
  <si>
    <t>1096,2023-02-17,2023,2,1,Tablet,Electronics,Pune,Returning,Card,1,13217,13217</t>
  </si>
  <si>
    <t>1097,2023-06-09,2023,6,2,Book,Books,Hyderabad,Premimum,COD,2,511,1022</t>
  </si>
  <si>
    <t>1097,2022-10-27,2022,10,4,Book,Books,Hyderabad,Premimum,COD,2,511,1022</t>
  </si>
  <si>
    <t>1097,2023-06-14,2023,6,2,Book,Books,Hyderabad,Premimum,COD,2,511,1022</t>
  </si>
  <si>
    <t>1098,2023-09-22,2023,9,3,Backpack,Fashion,Mumbai,Premimum,UPI,2,513,1026</t>
  </si>
  <si>
    <t>1098,2023-05-09,2023,5,2,Backpack,Fashion,Mumbai,Premimum,UPI,2,513,1026</t>
  </si>
  <si>
    <t>1099,2022-06-16,2022,6,2,Smartwatch,Electronics,Chennai,Premimum,UPI,2,6283,12566</t>
  </si>
  <si>
    <t>1099,2024-11-17,2024,11,4,Smartwatch,Electronics,Chennai,Premimum,UPI,2,6283,12566</t>
  </si>
  <si>
    <t>1099,2023-05-12,2023,5,2,Smartwatch,Electronics,Chennai,Premimum,UPI,2,6283,12566</t>
  </si>
  <si>
    <t>1100,2024-12-26,2024,12,4,Water Bottle,Other,Delhi,Premimum,COD,4,552,2208</t>
  </si>
  <si>
    <t>1100,2022-06-05,2022,6,2,Water Bottle,Other,Delhi,Premimum,COD,4,552,2208</t>
  </si>
  <si>
    <t>1100,2022-10-13,2022,10,4,Water Bottle,Other,Delhi,Premimum,COD,4,552,2208</t>
  </si>
  <si>
    <t>1100,2022-05-06,2022,5,2,Water Bottle,Other,Delhi,Premimum,COD,4,552,2208</t>
  </si>
  <si>
    <t>1100,2024-08-31,2024,8,3,Water Bottle,Other,Delhi,Premimum,COD,4,552,2208</t>
  </si>
  <si>
    <t>1101,2023-07-16,2023,7,3,Laptop,Electronics,Chennai,Returning,Card,1,56441,56441</t>
  </si>
  <si>
    <t>1101,2023-08-02,2023,8,3,Laptop,Electronics,Chennai,Returning,Card,1,56441,56441</t>
  </si>
  <si>
    <t>1102,2022-02-23,2022,2,1,Headphones,Electronics,Hyderabad,Premimum,UPI,2,4833,9666</t>
  </si>
  <si>
    <t>1102,2022-01-13,2022,1,1,Headphones,Electronics,Hyderabad,Premimum,UPI,2,4833,9666</t>
  </si>
  <si>
    <t>1102,2022-02-24,2022,2,1,Headphones,Electronics,Hyderabad,Premimum,UPI,2,4833,9666</t>
  </si>
  <si>
    <t>1103,2023-01-08,2023,1,1,Shoes,Fashion,Hyderabad,Premimum,Card,1,1314,1314</t>
  </si>
  <si>
    <t>1103,2022-03-27,2022,3,1,Shoes,Fashion,Hyderabad,Premimum,Card,1,1314,1314</t>
  </si>
  <si>
    <t>1103,2023-10-25,2023,10,4,Shoes,Fashion,Hyderabad,Premimum,Card,1,1314,1314</t>
  </si>
  <si>
    <t>1103,2023-08-07,2023,8,3,Shoes,Fashion,Hyderabad,Premimum,Card,1,1314,1314</t>
  </si>
  <si>
    <t>1103,2024-12-29,2024,12,4,Shoes,Fashion,Hyderabad,Premimum,Card,1,1314,1314</t>
  </si>
  <si>
    <t>1103,2022-07-12,2022,7,3,Shoes,Fashion,Hyderabad,Premimum,Card,1,1314,1314</t>
  </si>
  <si>
    <t>1103,2022-04-10,2022,4,2,Shoes,Fashion,Hyderabad,Premimum,Card,1,1314,1314</t>
  </si>
  <si>
    <t>1104,2023-03-23,2023,3,1,Watch,Other,Chennai,New,COD,1,5201,5201</t>
  </si>
  <si>
    <t>1105,2022-04-27,2022,4,2,Mobile Case,Other,Chennai,New,Card,2,469,938</t>
  </si>
  <si>
    <t>1105,2023-01-01,2023,1,1,Mobile Case,Other,Chennai,New,Card,2,469,938</t>
  </si>
  <si>
    <t>1105,2022-08-26,2022,8,3,Mobile Case,Other,Chennai,New,Card,2,469,938</t>
  </si>
  <si>
    <t>1105,2022-01-12,2022,1,1,Mobile Case,Other,Chennai,New,Card,2,469,938</t>
  </si>
  <si>
    <t>1105,2022-07-20,2022,7,3,Mobile Case,Other,Chennai,New,Card,2,469,938</t>
  </si>
  <si>
    <t>1106,2023-02-10,2023,2,1,Tablet,Electronics,Pune,New,UPI,2,24448,48896</t>
  </si>
  <si>
    <t>1106,2023-09-03,2023,9,3,Tablet,Electronics,Pune,New,UPI,2,24448,48896</t>
  </si>
  <si>
    <t>1106,2024-11-04,2024,11,4,Tablet,Electronics,Pune,New,UPI,2,24448,48896</t>
  </si>
  <si>
    <t>1106,2023-12-12,2023,12,4,Tablet,Electronics,Pune,New,UPI,2,24448,48896</t>
  </si>
  <si>
    <t>1107,2023-05-18,2023,5,2,Book,Books,Mumbai,New,UPI,3,378,1134</t>
  </si>
  <si>
    <t>1108,2024-01-01,2024,1,1,Backpack,Fashion,Mumbai,New,UPI,1,1310,1310</t>
  </si>
  <si>
    <t>1108,2022-05-03,2022,5,2,Backpack,Fashion,Mumbai,New,UPI,1,1310,1310</t>
  </si>
  <si>
    <t>1108,2023-11-15,2023,11,4,Backpack,Fashion,Mumbai,New,UPI,1,1310,1310</t>
  </si>
  <si>
    <t>1108,2022-06-04,2022,6,2,Backpack,Fashion,Mumbai,New,UPI,1,1310,1310</t>
  </si>
  <si>
    <t>1108,2024-07-29,2024,7,3,Backpack,Fashion,Mumbai,New,UPI,1,1310,1310</t>
  </si>
  <si>
    <t>1109,2023-03-18,2023,3,1,Smartwatch,Electronics,Mumbai,Returning,COD,1,5590,5590</t>
  </si>
  <si>
    <t>1109,2023-03-23,2023,3,1,Smartwatch,Electronics,Mumbai,Returning,COD,1,5590,5590</t>
  </si>
  <si>
    <t>1110,2023-05-23,2023,5,2,Water Bottle,Other,Delhi,Premimum,COD,3,405,1215</t>
  </si>
  <si>
    <t>1110,2023-01-28,2023,1,1,Water Bottle,Other,Delhi,Premimum,COD,3,405,1215</t>
  </si>
  <si>
    <t>1110,2022-03-28,2022,3,1,Water Bottle,Other,Delhi,Premimum,COD,3,405,1215</t>
  </si>
  <si>
    <t>1110,2023-11-21,2023,11,4,Water Bottle,Other,Delhi,Premimum,COD,3,405,1215</t>
  </si>
  <si>
    <t>1111,2024-06-24,2024,6,2,Laptop,Electronics,Bangalore,Premimum,COD,1,51984,51984</t>
  </si>
  <si>
    <t>1111,2023-02-15,2023,2,1,Laptop,Electronics,Bangalore,Premimum,COD,1,51984,51984</t>
  </si>
  <si>
    <t>1111,2022-03-12,2022,3,1,Laptop,Electronics,Bangalore,Premimum,COD,1,51984,51984</t>
  </si>
  <si>
    <t>1112,2023-10-08,2023,10,4,Headphones,Electronics,Chennai,Returning,COD,3,2766,8298</t>
  </si>
  <si>
    <t>1113,2023-01-06,2023,1,1,Shoes,Fashion,Mumbai,Premimum,UPI,3,2625,7875</t>
  </si>
  <si>
    <t>1113,2022-04-09,2022,4,2,Shoes,Fashion,Mumbai,Premimum,UPI,3,2625,7875</t>
  </si>
  <si>
    <t>1113,2024-08-08,2024,8,3,Shoes,Fashion,Mumbai,Premimum,UPI,3,2625,7875</t>
  </si>
  <si>
    <t>1114,2023-06-29,2023,6,2,Watch,Other,Pune,Returning,UPI,2,2573,5146</t>
  </si>
  <si>
    <t>1114,2022-12-17,2022,12,4,Watch,Other,Pune,Returning,UPI,2,2573,5146</t>
  </si>
  <si>
    <t>1114,2023-06-17,2023,6,2,Watch,Other,Pune,Returning,UPI,2,2573,5146</t>
  </si>
  <si>
    <t>1114,2022-05-26,2022,5,2,Watch,Other,Pune,Returning,UPI,2,2573,5146</t>
  </si>
  <si>
    <t>1115,2024-10-31,2024,10,4,Mobile Case,Other,Delhi,Premimum,COD,2,798,1596</t>
  </si>
  <si>
    <t>1116,2023-10-15,2023,10,4,Tablet,Electronics,Mumbai,Premimum,Card,2,31517,63034</t>
  </si>
  <si>
    <t>1117,2022-02-24,2022,2,1,Book,Books,Chennai,Returning,UPI,1,343,343</t>
  </si>
  <si>
    <t>1117,2022-04-17,2022,4,2,Book,Books,Chennai,Returning,UPI,1,343,343</t>
  </si>
  <si>
    <t>1117,2022-03-22,2022,3,1,Book,Books,Chennai,Returning,UPI,1,343,343</t>
  </si>
  <si>
    <t>1118,2022-05-01,2022,5,2,Backpack,Fashion,Chennai,Returning,COD,3,1021,3063</t>
  </si>
  <si>
    <t>1119,2023-08-04,2023,8,3,Smartwatch,Electronics,Mumbai,Premimum,Card,1,8543,8543</t>
  </si>
  <si>
    <t>1119,2024-04-22,2024,4,2,Smartwatch,Electronics,Mumbai,Premimum,Card,1,8543,8543</t>
  </si>
  <si>
    <t>1119,2023-10-21,2023,10,4,Smartwatch,Electronics,Mumbai,Premimum,Card,1,8543,8543</t>
  </si>
  <si>
    <t>1119,2022-06-04,2022,6,2,Smartwatch,Electronics,Mumbai,Premimum,Card,1,8543,8543</t>
  </si>
  <si>
    <t>1121,2022-03-21,2022,3,1,Laptop,Electronics,Delhi,Premimum,COD,1,51840,51840</t>
  </si>
  <si>
    <t>1121,2024-11-16,2024,11,4,Laptop,Electronics,Delhi,Premimum,COD,1,51840,51840</t>
  </si>
  <si>
    <t>1122,2023-01-02,2023,1,1,Headphones,Electronics,Chennai,Premimum,COD,2,4435,8870</t>
  </si>
  <si>
    <t>1122,2024-01-18,2024,1,1,Headphones,Electronics,Chennai,Premimum,COD,2,4435,8870</t>
  </si>
  <si>
    <t>1122,2022-04-20,2022,4,2,Headphones,Electronics,Chennai,Premimum,COD,2,4435,8870</t>
  </si>
  <si>
    <t>1122,2022-05-16,2022,5,2,Headphones,Electronics,Chennai,Premimum,COD,2,4435,8870</t>
  </si>
  <si>
    <t>1122,2023-10-08,2023,10,4,Headphones,Electronics,Chennai,Premimum,COD,2,4435,8870</t>
  </si>
  <si>
    <t>1123,2023-10-15,2023,10,4,Shoes,Fashion,Chennai,Premimum,Card,3,2138,6414</t>
  </si>
  <si>
    <t>1123,2022-11-05,2022,11,4,Shoes,Fashion,Chennai,Premimum,Card,3,2138,6414</t>
  </si>
  <si>
    <t>1124,2023-07-14,2023,7,3,Watch,Other,Hyderabad,Premimum,Card,5,5434,27170</t>
  </si>
  <si>
    <t>1124,2023-12-01,2023,12,4,Watch,Other,Hyderabad,Premimum,Card,5,5434,27170</t>
  </si>
  <si>
    <t>1125,2023-12-04,2023,12,4,Mobile Case,Other,Chennai,Premimum,UPI,1,961,961</t>
  </si>
  <si>
    <t>1125,2022-07-07,2022,7,3,Mobile Case,Other,Chennai,Premimum,UPI,1,961,961</t>
  </si>
  <si>
    <t>1125,2023-08-22,2023,8,3,Mobile Case,Other,Chennai,Premimum,UPI,1,961,961</t>
  </si>
  <si>
    <t>1125,2022-09-15,2022,9,3,Mobile Case,Other,Chennai,Premimum,UPI,1,961,961</t>
  </si>
  <si>
    <t>1126,2022-09-27,2022,9,3,Tablet,Electronics,Pune,New,Card,2,28891,57782</t>
  </si>
  <si>
    <t>1126,2023-07-11,2023,7,3,Tablet,Electronics,Pune,New,Card,2,28891,57782</t>
  </si>
  <si>
    <t>1126,2024-05-27,2024,5,2,Tablet,Electronics,Pune,New,Card,2,28891,57782</t>
  </si>
  <si>
    <t>1126,2022-02-22,2022,2,1,Tablet,Electronics,Pune,New,Card,2,28891,57782</t>
  </si>
  <si>
    <t>1127,2023-12-24,2023,12,4,Book,Books,Mumbai,Premimum,COD,3,433,1299</t>
  </si>
  <si>
    <t>1127,2023-09-09,2023,9,3,Book,Books,Mumbai,Premimum,COD,3,433,1299</t>
  </si>
  <si>
    <t>1127,2023-10-16,2023,10,4,Book,Books,Mumbai,Premimum,COD,3,433,1299</t>
  </si>
  <si>
    <t>1127,2023-09-25,2023,9,3,Book,Books,Mumbai,Premimum,COD,3,433,1299</t>
  </si>
  <si>
    <t>1128,2022-12-21,2022,12,4,Backpack,Fashion,Mumbai,Premimum,COD,2,912,1824</t>
  </si>
  <si>
    <t>1128,2023-03-30,2023,3,1,Backpack,Fashion,Mumbai,Premimum,COD,2,912,1824</t>
  </si>
  <si>
    <t>1129,2023-12-28,2023,12,4,Smartwatch,Electronics,Chennai,New,Card,2,12792,25584</t>
  </si>
  <si>
    <t>1130,2023-07-04,2023,7,3,Water Bottle,Other,Bangalore,New,COD,3,150,450</t>
  </si>
  <si>
    <t>1130,2022-09-17,2022,9,3,Water Bottle,Other,Bangalore,New,COD,3,150,450</t>
  </si>
  <si>
    <t>1131,2024-12-01,2024,12,4,Laptop,Electronics,Hyderabad,New,Card,1,61259,61259</t>
  </si>
  <si>
    <t>1132,2023-03-26,2023,3,1,Headphones,Electronics,Chennai,Premimum,Card,1,2998,2998</t>
  </si>
  <si>
    <t>1132,2023-02-21,2023,2,1,Headphones,Electronics,Chennai,Premimum,Card,1,2998,2998</t>
  </si>
  <si>
    <t>1133,2023-11-16,2023,11,4,Shoes,Fashion,Hyderabad,New,UPI,3,1682,5046</t>
  </si>
  <si>
    <t>1133,2024-05-04,2024,5,2,Shoes,Fashion,Hyderabad,New,UPI,3,1682,5046</t>
  </si>
  <si>
    <t>1133,2024-05-30,2024,5,2,Shoes,Fashion,Hyderabad,New,UPI,3,1682,5046</t>
  </si>
  <si>
    <t>1134,2022-12-12,2022,12,4,Watch,Other,Chennai,Premimum,UPI,1,12576,12576</t>
  </si>
  <si>
    <t>1134,2022-01-30,2022,1,1,Watch,Other,Chennai,Premimum,UPI,1,12576,12576</t>
  </si>
  <si>
    <t>1134,2023-04-29,2023,4,2,Watch,Other,Chennai,Premimum,UPI,1,12576,12576</t>
  </si>
  <si>
    <t>1135,2023-08-06,2023,8,3,Mobile Case,Other,Mumbai,Returning,COD,1,740,740</t>
  </si>
  <si>
    <t>1135,2023-12-07,2023,12,4,Mobile Case,Other,Mumbai,Returning,COD,1,740,740</t>
  </si>
  <si>
    <t>1135,2022-01-29,2022,1,1,Mobile Case,Other,Mumbai,Returning,COD,1,740,740</t>
  </si>
  <si>
    <t>1135,2024-05-20,2024,5,2,Mobile Case,Other,Mumbai,Returning,COD,1,740,740</t>
  </si>
  <si>
    <t>1136,2023-12-17,2023,12,4,Tablet,Electronics,Hyderabad,New,UPI,2,38690,77380</t>
  </si>
  <si>
    <t>1136,2024-12-21,2024,12,4,Tablet,Electronics,Hyderabad,New,UPI,2,38690,77380</t>
  </si>
  <si>
    <t>1136,2022-02-26,2022,2,1,Tablet,Electronics,Hyderabad,New,UPI,2,38690,77380</t>
  </si>
  <si>
    <t>1137,2022-10-28,2022,10,4,Book,Books,Mumbai,Returning,Card,1,309,309</t>
  </si>
  <si>
    <t>1137,2022-01-11,2022,1,1,Book,Books,Mumbai,Returning,Card,1,309,309</t>
  </si>
  <si>
    <t>1137,2023-09-23,2023,9,3,Book,Books,Mumbai,Returning,Card,1,309,309</t>
  </si>
  <si>
    <t>1138,2024-04-22,2024,4,2,Backpack,Fashion,Hyderabad,Returning,UPI,3,1670,5010</t>
  </si>
  <si>
    <t>1138,2023-05-11,2023,5,2,Backpack,Fashion,Hyderabad,Returning,UPI,3,1670,5010</t>
  </si>
  <si>
    <t>1138,2023-08-28,2023,8,3,Backpack,Fashion,Hyderabad,Returning,UPI,3,1670,5010</t>
  </si>
  <si>
    <t>1139,2022-02-08,2022,2,1,Smartwatch,Electronics,Pune,Premimum,Card,1,13908,13908</t>
  </si>
  <si>
    <t>1139,2022-05-20,2022,5,2,Smartwatch,Electronics,Pune,Premimum,Card,1,13908,13908</t>
  </si>
  <si>
    <t>1139,2022-01-24,2022,1,1,Smartwatch,Electronics,Pune,Premimum,Card,1,13908,13908</t>
  </si>
  <si>
    <t>1140,2023-10-08,2023,10,4,Water Bottle,Other,Pune,New,COD,1,619,619</t>
  </si>
  <si>
    <t>1140,2023-09-22,2023,9,3,Water Bottle,Other,Pune,New,COD,1,619,619</t>
  </si>
  <si>
    <t>1141,2022-01-09,2022,1,1,Laptop,Electronics,Delhi,Premimum,COD,1,58661,58661</t>
  </si>
  <si>
    <t>1142,2022-05-17,2022,5,2,Headphones,Electronics,Pune,New,COD,3,3441,10323</t>
  </si>
  <si>
    <t>1142,2022-12-22,2022,12,4,Headphones,Electronics,Pune,New,COD,3,3441,10323</t>
  </si>
  <si>
    <t>1142,2022-06-20,2022,6,2,Headphones,Electronics,Pune,New,COD,3,3441,10323</t>
  </si>
  <si>
    <t>1142,2024-07-11,2024,7,3,Headphones,Electronics,Pune,New,COD,3,3441,10323</t>
  </si>
  <si>
    <t>1143,2023-05-13,2023,5,2,Shoes,Fashion,Delhi,New,Card,2,4503,9006</t>
  </si>
  <si>
    <t>1143,2024-12-14,2024,12,4,Shoes,Fashion,Delhi,New,Card,2,4503,9006</t>
  </si>
  <si>
    <t>1143,2023-05-04,2023,5,2,Shoes,Fashion,Delhi,New,Card,2,4503,9006</t>
  </si>
  <si>
    <t>1143,2024-04-02,2024,4,2,Shoes,Fashion,Delhi,New,Card,2,4503,9006</t>
  </si>
  <si>
    <t>1144,2023-02-11,2023,2,1,Watch,Other,Chennai,Returning,UPI,5,10835,54175</t>
  </si>
  <si>
    <t>1145,2023-10-18,2023,10,4,Mobile Case,Other,Pune,Returning,UPI,2,334,668</t>
  </si>
  <si>
    <t>1145,2024-10-14,2024,10,4,Mobile Case,Other,Pune,Returning,UPI,2,334,668</t>
  </si>
  <si>
    <t>1145,2023-12-16,2023,12,4,Mobile Case,Other,Pune,Returning,UPI,2,334,668</t>
  </si>
  <si>
    <t>1146,2023-06-27,2023,6,2,Tablet,Electronics,Delhi,Premimum,COD,2,14992,29984</t>
  </si>
  <si>
    <t>1146,2023-04-02,2023,4,2,Tablet,Electronics,Delhi,Premimum,COD,2,14992,29984</t>
  </si>
  <si>
    <t>1147,2023-05-05,2023,5,2,Book,Books,Delhi,New,Card,3,385,1155</t>
  </si>
  <si>
    <t>1147,2022-04-07,2022,4,2,Book,Books,Delhi,New,Card,3,385,1155</t>
  </si>
  <si>
    <t>1147,2024-09-29,2024,9,3,Book,Books,Delhi,New,Card,3,385,1155</t>
  </si>
  <si>
    <t>1147,2022-10-17,2022,10,4,Book,Books,Delhi,New,Card,3,385,1155</t>
  </si>
  <si>
    <t>1147,2022-01-16,2022,1,1,Book,Books,Delhi,New,Card,3,385,1155</t>
  </si>
  <si>
    <t>1148,2023-12-25,2023,12,4,Backpack,Fashion,Mumbai,Returning,UPI,1,1196,1196</t>
  </si>
  <si>
    <t>1149,2024-09-18,2024,9,3,Smartwatch,Electronics,Bangalore,Returning,Card,2,4766,9532</t>
  </si>
  <si>
    <t>1149,2023-09-21,2023,9,3,Smartwatch,Electronics,Bangalore,Returning,Card,2,4766,9532</t>
  </si>
  <si>
    <t>1150,2022-03-07,2022,3,1,Water Bottle,Other,Chennai,Premimum,COD,4,317,1268</t>
  </si>
  <si>
    <t>1150,2023-05-01,2023,5,2,Water Bottle,Other,Chennai,Premimum,COD,4,317,1268</t>
  </si>
  <si>
    <t>1150,2022-05-06,2022,5,2,Water Bottle,Other,Chennai,Premimum,COD,4,317,1268</t>
  </si>
  <si>
    <t>1150,2023-07-04,2023,7,3,Water Bottle,Other,Chennai,Premimum,COD,4,317,1268</t>
  </si>
  <si>
    <t>1150,2023-02-26,2023,2,1,Water Bottle,Other,Chennai,Premimum,COD,4,317,1268</t>
  </si>
  <si>
    <t>1150,2022-12-14,2022,12,4,Water Bottle,Other,Chennai,Premimum,COD,4,317,1268</t>
  </si>
  <si>
    <t>1151,2023-04-03,2023,4,2,Laptop,Electronics,Delhi,Returning,UPI,2,59735,119470</t>
  </si>
  <si>
    <t>1151,2023-11-03,2023,11,4,Laptop,Electronics,Delhi,Returning,UPI,2,59735,119470</t>
  </si>
  <si>
    <t>1151,2023-11-11,2023,11,4,Laptop,Electronics,Delhi,Returning,UPI,2,59735,119470</t>
  </si>
  <si>
    <t>1151,2022-11-19,2022,11,4,Laptop,Electronics,Delhi,Returning,UPI,2,59735,119470</t>
  </si>
  <si>
    <t>1152,2024-07-05,2024,7,3,Headphones,Electronics,Pune,New,UPI,2,3950,7900</t>
  </si>
  <si>
    <t>1152,2022-07-30,2022,7,3,Headphones,Electronics,Pune,New,UPI,2,3950,7900</t>
  </si>
  <si>
    <t>1152,2024-08-13,2024,8,3,Headphones,Electronics,Pune,New,UPI,2,3950,7900</t>
  </si>
  <si>
    <t>1152,2022-05-18,2022,5,2,Headphones,Electronics,Pune,New,UPI,2,3950,7900</t>
  </si>
  <si>
    <t>1153,2023-12-02,2023,12,4,Shoes,Fashion,Chennai,New,UPI,2,3263,6526</t>
  </si>
  <si>
    <t>1154,2023-08-17,2023,8,3,Watch,Other,Delhi,New,COD,4,8514,34056</t>
  </si>
  <si>
    <t>1154,2023-06-18,2023,6,2,Watch,Other,Delhi,New,COD,4,8514,34056</t>
  </si>
  <si>
    <t>1154,2023-05-06,2023,5,2,Watch,Other,Delhi,New,COD,4,8514,34056</t>
  </si>
  <si>
    <t>1154,2023-03-18,2023,3,1,Watch,Other,Delhi,New,COD,4,8514,34056</t>
  </si>
  <si>
    <t>1155,2023-12-02,2023,12,4,Mobile Case,Other,Bangalore,Premimum,COD,2,172,344</t>
  </si>
  <si>
    <t>1155,2022-05-26,2022,5,2,Mobile Case,Other,Bangalore,Premimum,COD,2,172,344</t>
  </si>
  <si>
    <t>1155,2023-10-05,2023,10,4,Mobile Case,Other,Bangalore,Premimum,COD,2,172,344</t>
  </si>
  <si>
    <t>1155,2022-05-18,2022,5,2,Mobile Case,Other,Bangalore,Premimum,COD,2,172,344</t>
  </si>
  <si>
    <t>1156,2023-06-23,2023,6,2,Tablet,Electronics,Bangalore,New,UPI,1,21077,21077</t>
  </si>
  <si>
    <t>1156,2024-09-08,2024,9,3,Tablet,Electronics,Bangalore,New,UPI,1,21077,21077</t>
  </si>
  <si>
    <t>1156,2022-01-29,2022,1,1,Tablet,Electronics,Bangalore,New,UPI,1,21077,21077</t>
  </si>
  <si>
    <t>1157,2024-08-31,2024,8,3,Book,Books,Bangalore,Returning,COD,5,747,3735</t>
  </si>
  <si>
    <t>1157,2024-05-19,2024,5,2,Book,Books,Bangalore,Returning,COD,5,747,3735</t>
  </si>
  <si>
    <t>1157,2024-01-31,2024,1,1,Book,Books,Bangalore,Returning,COD,5,747,3735</t>
  </si>
  <si>
    <t>1157,2024-06-12,2024,6,2,Book,Books,Bangalore,Returning,COD,5,747,3735</t>
  </si>
  <si>
    <t>1158,2023-06-29,2023,6,2,Backpack,Fashion,Pune,Premimum,Card,2,850,1700</t>
  </si>
  <si>
    <t>1158,2023-02-09,2023,2,1,Backpack,Fashion,Pune,Premimum,Card,2,850,1700</t>
  </si>
  <si>
    <t>1158,2022-07-18,2022,7,3,Backpack,Fashion,Pune,Premimum,Card,2,850,1700</t>
  </si>
  <si>
    <t>1158,2022-05-10,2022,5,2,Backpack,Fashion,Pune,Premimum,Card,2,850,1700</t>
  </si>
  <si>
    <t>1158,2024-09-12,2024,9,3,Backpack,Fashion,Pune,Premimum,Card,2,850,1700</t>
  </si>
  <si>
    <t>1158,2023-02-11,2023,2,1,Backpack,Fashion,Pune,Premimum,Card,2,850,1700</t>
  </si>
  <si>
    <t>1158,2022-03-09,2022,3,1,Backpack,Fashion,Pune,Premimum,Card,2,850,1700</t>
  </si>
  <si>
    <t>1159,2024-08-12,2024,8,3,Smartwatch,Electronics,Chennai,Premimum,Card,2,13771,27542</t>
  </si>
  <si>
    <t>1159,2024-06-17,2024,6,2,Smartwatch,Electronics,Chennai,Premimum,Card,2,13771,27542</t>
  </si>
  <si>
    <t>1159,2023-07-19,2023,7,3,Smartwatch,Electronics,Chennai,Premimum,Card,2,13771,27542</t>
  </si>
  <si>
    <t>1159,2023-10-01,2023,10,4,Smartwatch,Electronics,Chennai,Premimum,Card,2,13771,27542</t>
  </si>
  <si>
    <t>1160,2022-05-13,2022,5,2,Water Bottle,Other,Bangalore,New,UPI,4,258,1032</t>
  </si>
  <si>
    <t>1160,2022-10-27,2022,10,4,Water Bottle,Other,Bangalore,New,UPI,4,258,1032</t>
  </si>
  <si>
    <t>1160,2024-11-28,2024,11,4,Water Bottle,Other,Bangalore,New,UPI,4,258,1032</t>
  </si>
  <si>
    <t>1161,2023-12-27,2023,12,4,Laptop,Electronics,Mumbai,New,COD,2,44856,89712</t>
  </si>
  <si>
    <t>1161,2023-12-23,2023,12,4,Laptop,Electronics,Mumbai,New,COD,2,44856,89712</t>
  </si>
  <si>
    <t>1161,2022-10-05,2022,10,4,Laptop,Electronics,Mumbai,New,COD,2,44856,89712</t>
  </si>
  <si>
    <t>1162,2023-01-12,2023,1,1,Headphones,Electronics,Chennai,New,COD,3,3161,9483</t>
  </si>
  <si>
    <t>1162,2023-07-02,2023,7,3,Headphones,Electronics,Chennai,New,COD,3,3161,9483</t>
  </si>
  <si>
    <t>1162,2024-10-15,2024,10,4,Headphones,Electronics,Chennai,New,COD,3,3161,9483</t>
  </si>
  <si>
    <t>1163,2024-11-20,2024,11,4,Shoes,Fashion,Chennai,Returning,COD,1,4464,4464</t>
  </si>
  <si>
    <t>1163,2023-03-31,2023,3,1,Shoes,Fashion,Chennai,Returning,COD,1,4464,4464</t>
  </si>
  <si>
    <t>1163,2023-11-12,2023,11,4,Shoes,Fashion,Chennai,Returning,COD,1,4464,4464</t>
  </si>
  <si>
    <t>1163,2024-05-13,2024,5,2,Shoes,Fashion,Chennai,Returning,COD,1,4464,4464</t>
  </si>
  <si>
    <t>1164,2022-10-31,2022,10,4,Watch,Other,Delhi,Returning,COD,1,4758,4758</t>
  </si>
  <si>
    <t>1164,2023-06-28,2023,6,2,Watch,Other,Delhi,Returning,COD,1,4758,4758</t>
  </si>
  <si>
    <t>1164,2023-04-04,2023,4,2,Watch,Other,Delhi,Returning,COD,1,4758,4758</t>
  </si>
  <si>
    <t>1164,2022-01-24,2022,1,1,Watch,Other,Delhi,Returning,COD,1,4758,4758</t>
  </si>
  <si>
    <t>1164,2023-05-02,2023,5,2,Watch,Other,Delhi,Returning,COD,1,4758,4758</t>
  </si>
  <si>
    <t>1165,2024-05-30,2024,5,2,Mobile Case,Other,Chennai,Returning,UPI,4,490,1960</t>
  </si>
  <si>
    <t>1165,2022-12-19,2022,12,4,Mobile Case,Other,Chennai,Returning,UPI,4,490,1960</t>
  </si>
  <si>
    <t>1165,2024-01-24,2024,1,1,Mobile Case,Other,Chennai,Returning,UPI,4,490,1960</t>
  </si>
  <si>
    <t>1165,2022-06-28,2022,6,2,Mobile Case,Other,Chennai,Returning,UPI,4,490,1960</t>
  </si>
  <si>
    <t>1165,2022-12-07,2022,12,4,Mobile Case,Other,Chennai,Returning,UPI,4,490,1960</t>
  </si>
  <si>
    <t>1165,2023-06-15,2023,6,2,Mobile Case,Other,Chennai,Returning,UPI,4,490,1960</t>
  </si>
  <si>
    <t>1165,2024-04-19,2024,4,2,Mobile Case,Other,Chennai,Returning,UPI,4,490,1960</t>
  </si>
  <si>
    <t>1166,2023-10-17,2023,10,4,Tablet,Electronics,Bangalore,Premimum,UPI,1,38739,38739</t>
  </si>
  <si>
    <t>1166,2024-02-13,2024,2,1,Tablet,Electronics,Bangalore,Premimum,UPI,1,38739,38739</t>
  </si>
  <si>
    <t>1166,2022-11-29,2022,11,4,Tablet,Electronics,Bangalore,Premimum,UPI,1,38739,38739</t>
  </si>
  <si>
    <t>1167,2022-12-06,2022,12,4,Book,Books,Chennai,New,COD,3,368,1104</t>
  </si>
  <si>
    <t>1167,2023-01-03,2023,1,1,Book,Books,Chennai,New,COD,3,368,1104</t>
  </si>
  <si>
    <t>1167,2024-03-06,2024,3,1,Book,Books,Chennai,New,COD,3,368,1104</t>
  </si>
  <si>
    <t>1168,2022-01-26,2022,1,1,Backpack,Fashion,Pune,New,Card,1,1931,1931</t>
  </si>
  <si>
    <t>1169,2022-06-29,2022,6,2,Smartwatch,Electronics,Mumbai,New,UPI,2,14370,28740</t>
  </si>
  <si>
    <t>1169,2023-07-03,2023,7,3,Smartwatch,Electronics,Mumbai,New,UPI,2,14370,28740</t>
  </si>
  <si>
    <t>1169,2022-06-24,2022,6,2,Smartwatch,Electronics,Mumbai,New,UPI,2,14370,28740</t>
  </si>
  <si>
    <t>1169,2023-10-12,2023,10,4,Smartwatch,Electronics,Mumbai,New,UPI,2,14370,28740</t>
  </si>
  <si>
    <t>1169,2022-09-13,2022,9,3,Smartwatch,Electronics,Mumbai,New,UPI,2,14370,28740</t>
  </si>
  <si>
    <t>1170,2023-08-26,2023,8,3,Water Bottle,Other,Chennai,Returning,COD,2,780,1560</t>
  </si>
  <si>
    <t>1170,2023-11-10,2023,11,4,Water Bottle,Other,Chennai,Returning,COD,2,780,1560</t>
  </si>
  <si>
    <t>1170,2024-12-07,2024,12,4,Water Bottle,Other,Chennai,Returning,COD,2,780,1560</t>
  </si>
  <si>
    <t>1171,2022-02-21,2022,2,1,Laptop,Electronics,Bangalore,Premimum,UPI,2,54865,109730</t>
  </si>
  <si>
    <t>1172,2024-12-15,2024,12,4,Headphones,Electronics,Hyderabad,Premimum,UPI,2,4481,8962</t>
  </si>
  <si>
    <t>1172,2024-10-02,2024,10,4,Headphones,Electronics,Hyderabad,Premimum,UPI,2,4481,8962</t>
  </si>
  <si>
    <t>1173,2023-04-19,2023,4,2,Shoes,Fashion,Pune,Premimum,Card,2,1972,3944</t>
  </si>
  <si>
    <t>1173,2022-03-03,2022,3,1,Shoes,Fashion,Pune,Premimum,Card,2,1972,3944</t>
  </si>
  <si>
    <t>1173,2023-09-16,2023,9,3,Shoes,Fashion,Pune,Premimum,Card,2,1972,3944</t>
  </si>
  <si>
    <t>1173,2022-08-16,2022,8,3,Shoes,Fashion,Pune,Premimum,Card,2,1972,3944</t>
  </si>
  <si>
    <t>1174,2024-04-17,2024,4,2,Watch,Other,Bangalore,Premimum,Card,1,9837,9837</t>
  </si>
  <si>
    <t>1174,2022-04-04,2022,4,2,Watch,Other,Bangalore,Premimum,Card,1,9837,9837</t>
  </si>
  <si>
    <t>1174,2022-03-19,2022,3,1,Watch,Other,Bangalore,Premimum,Card,1,9837,9837</t>
  </si>
  <si>
    <t>1175,2022-09-20,2022,9,3,Mobile Case,Other,Chennai,New,Card,5,857,4285</t>
  </si>
  <si>
    <t>1176,2023-05-06,2023,5,2,Tablet,Electronics,Chennai,Premimum,Card,1,20323,20323</t>
  </si>
  <si>
    <t>1176,2022-06-26,2022,6,2,Tablet,Electronics,Chennai,Premimum,Card,1,20323,20323</t>
  </si>
  <si>
    <t>1176,2023-01-30,2023,1,1,Tablet,Electronics,Chennai,Premimum,Card,1,20323,20323</t>
  </si>
  <si>
    <t>1177,2024-02-06,2024,2,1,Book,Books,Bangalore,New,COD,5,1000,5000</t>
  </si>
  <si>
    <t>1177,2024-02-20,2024,2,1,Book,Books,Bangalore,New,COD,5,1000,5000</t>
  </si>
  <si>
    <t>1177,2023-09-17,2023,9,3,Book,Books,Bangalore,New,COD,5,1000,5000</t>
  </si>
  <si>
    <t>1178,2024-12-03,2024,12,4,Backpack,Fashion,Chennai,Returning,COD,5,1359,6795</t>
  </si>
  <si>
    <t>1178,2022-02-23,2022,2,1,Backpack,Fashion,Chennai,Returning,COD,5,1359,6795</t>
  </si>
  <si>
    <t>1179,2023-12-29,2023,12,4,Smartwatch,Electronics,Pune,Returning,Card,1,14026,14026</t>
  </si>
  <si>
    <t>1180,2022-06-11,2022,6,2,Water Bottle,Other,Bangalore,New,UPI,2,685,1370</t>
  </si>
  <si>
    <t>1180,2024-04-08,2024,4,2,Water Bottle,Other,Bangalore,New,UPI,2,685,1370</t>
  </si>
  <si>
    <t>1180,2023-10-22,2023,10,4,Water Bottle,Other,Bangalore,New,UPI,2,685,1370</t>
  </si>
  <si>
    <t>1181,2024-10-09,2024,10,4,Laptop,Electronics,Delhi,Returning,UPI,1,54311,54311</t>
  </si>
  <si>
    <t>1181,2024-12-17,2024,12,4,Laptop,Electronics,Delhi,Returning,UPI,1,54311,54311</t>
  </si>
  <si>
    <t>1181,2023-09-14,2023,9,3,Laptop,Electronics,Delhi,Returning,UPI,1,54311,54311</t>
  </si>
  <si>
    <t>1181,2022-08-14,2022,8,3,Laptop,Electronics,Delhi,Returning,UPI,1,54311,54311</t>
  </si>
  <si>
    <t>1182,2022-06-28,2022,6,2,Headphones,Electronics,Pune,Premimum,Card,2,1713,3426</t>
  </si>
  <si>
    <t>1182,2023-07-02,2023,7,3,Headphones,Electronics,Pune,Premimum,Card,2,1713,3426</t>
  </si>
  <si>
    <t>1182,2024-07-01,2024,7,3,Headphones,Electronics,Pune,Premimum,Card,2,1713,3426</t>
  </si>
  <si>
    <t>1183,2022-04-02,2022,4,2,Shoes,Fashion,Bangalore,Returning,UPI,2,3204,6408</t>
  </si>
  <si>
    <t>1183,2023-07-28,2023,7,3,Shoes,Fashion,Bangalore,Returning,UPI,2,3204,6408</t>
  </si>
  <si>
    <t>1183,2023-02-28,2023,2,1,Shoes,Fashion,Bangalore,Returning,UPI,2,3204,6408</t>
  </si>
  <si>
    <t>1183,2022-03-12,2022,3,1,Shoes,Fashion,Bangalore,Returning,UPI,2,3204,6408</t>
  </si>
  <si>
    <t>1183,2022-10-12,2022,10,4,Shoes,Fashion,Bangalore,Returning,UPI,2,3204,6408</t>
  </si>
  <si>
    <t>1184,2023-07-22,2023,7,3,Watch,Other,Bangalore,New,UPI,5,18542,92710</t>
  </si>
  <si>
    <t>1184,2024-11-30,2024,11,4,Watch,Other,Bangalore,New,UPI,5,18542,92710</t>
  </si>
  <si>
    <t>1185,2023-08-18,2023,8,3,Mobile Case,Other,Chennai,Premimum,UPI,1,521,521</t>
  </si>
  <si>
    <t>1185,2023-08-12,2023,8,3,Mobile Case,Other,Chennai,Premimum,UPI,1,521,521</t>
  </si>
  <si>
    <t>1185,2023-05-13,2023,5,2,Mobile Case,Other,Chennai,Premimum,UPI,1,521,521</t>
  </si>
  <si>
    <t>1185,2023-01-18,2023,1,1,Mobile Case,Other,Chennai,Premimum,UPI,1,521,521</t>
  </si>
  <si>
    <t>1186,2023-11-08,2023,11,4,Tablet,Electronics,Bangalore,Premimum,UPI,1,13218,13218</t>
  </si>
  <si>
    <t>1186,2023-03-10,2023,3,1,Tablet,Electronics,Bangalore,Premimum,UPI,1,13218,13218</t>
  </si>
  <si>
    <t>1186,2023-09-16,2023,9,3,Tablet,Electronics,Bangalore,Premimum,UPI,1,13218,13218</t>
  </si>
  <si>
    <t>1186,2024-10-03,2024,10,4,Tablet,Electronics,Bangalore,Premimum,UPI,1,13218,13218</t>
  </si>
  <si>
    <t>1186,2022-08-13,2022,8,3,Tablet,Electronics,Bangalore,Premimum,UPI,1,13218,13218</t>
  </si>
  <si>
    <t>1187,2022-01-11,2022,1,1,Book,Books,Pune,New,UPI,2,248,496</t>
  </si>
  <si>
    <t>1187,2022-09-18,2022,9,3,Book,Books,Pune,New,UPI,2,248,496</t>
  </si>
  <si>
    <t>1187,2023-02-16,2023,2,1,Book,Books,Pune,New,UPI,2,248,496</t>
  </si>
  <si>
    <t>1187,2024-01-18,2024,1,1,Book,Books,Pune,New,UPI,2,248,496</t>
  </si>
  <si>
    <t>1188,2024-05-17,2024,5,2,Backpack,Fashion,Pune,Returning,COD,4,1353,5412</t>
  </si>
  <si>
    <t>1188,2022-11-19,2022,11,4,Backpack,Fashion,Pune,Returning,COD,4,1353,5412</t>
  </si>
  <si>
    <t>1188,2023-05-08,2023,5,2,Backpack,Fashion,Pune,Returning,COD,4,1353,5412</t>
  </si>
  <si>
    <t>1188,2023-10-04,2023,10,4,Backpack,Fashion,Pune,Returning,COD,4,1353,5412</t>
  </si>
  <si>
    <t>1188,2023-05-09,2023,5,2,Backpack,Fashion,Pune,Returning,COD,4,1353,5412</t>
  </si>
  <si>
    <t>1189,2022-09-02,2022,9,3,Smartwatch,Electronics,Chennai,New,COD,2,13462,26924</t>
  </si>
  <si>
    <t>1190,2022-07-07,2022,7,3,Water Bottle,Other,Bangalore,New,Card,5,404,2020</t>
  </si>
  <si>
    <t>1190,2023-04-17,2023,4,2,Water Bottle,Other,Bangalore,New,Card,5,404,2020</t>
  </si>
  <si>
    <t>1190,2023-01-02,2023,1,1,Water Bottle,Other,Bangalore,New,Card,5,404,2020</t>
  </si>
  <si>
    <t>1191,2024-08-08,2024,8,3,Laptop,Electronics,Hyderabad,New,COD,1,59800,59800</t>
  </si>
  <si>
    <t>1191,2022-06-08,2022,6,2,Laptop,Electronics,Hyderabad,New,COD,1,59800,59800</t>
  </si>
  <si>
    <t>1191,2022-04-07,2022,4,2,Laptop,Electronics,Hyderabad,New,COD,1,59800,59800</t>
  </si>
  <si>
    <t>1191,2022-12-17,2022,12,4,Laptop,Electronics,Hyderabad,New,COD,1,59800,59800</t>
  </si>
  <si>
    <t>1191,2023-04-19,2023,4,2,Laptop,Electronics,Hyderabad,New,COD,1,59800,59800</t>
  </si>
  <si>
    <t>1192,2022-01-15,2022,1,1,Headphones,Electronics,Delhi,Returning,UPI,2,2639,5278</t>
  </si>
  <si>
    <t>1192,2023-12-17,2023,12,4,Headphones,Electronics,Delhi,Returning,UPI,2,2639,5278</t>
  </si>
  <si>
    <t>1193,2022-05-24,2022,5,2,Shoes,Fashion,Mumbai,Premimum,UPI,1,2167,2167</t>
  </si>
  <si>
    <t>1194,2022-08-09,2022,8,3,Watch,Other,Chennai,Returning,Card,3,8179,24537</t>
  </si>
  <si>
    <t>1195,2023-12-10,2023,12,4,Mobile Case,Other,Bangalore,Premimum,Card,1,374,374</t>
  </si>
  <si>
    <t>1195,2022-05-17,2022,5,2,Mobile Case,Other,Bangalore,Premimum,Card,1,374,374</t>
  </si>
  <si>
    <t>1195,2023-01-09,2023,1,1,Mobile Case,Other,Bangalore,Premimum,Card,1,374,374</t>
  </si>
  <si>
    <t>1195,2022-01-13,2022,1,1,Mobile Case,Other,Bangalore,Premimum,Card,1,374,374</t>
  </si>
  <si>
    <t>1196,2022-06-14,2022,6,2,Tablet,Electronics,Pune,Premimum,COD,1,36595,36595</t>
  </si>
  <si>
    <t>1196,2022-05-29,2022,5,2,Tablet,Electronics,Pune,Premimum,COD,1,36595,36595</t>
  </si>
  <si>
    <t>1197,2023-02-18,2023,2,1,Book,Books,Hyderabad,New,UPI,5,570,2850</t>
  </si>
  <si>
    <t>1197,2022-03-06,2022,3,1,Book,Books,Hyderabad,New,UPI,5,570,2850</t>
  </si>
  <si>
    <t>1197,2023-07-04,2023,7,3,Book,Books,Hyderabad,New,UPI,5,570,2850</t>
  </si>
  <si>
    <t>1197,2022-12-15,2022,12,4,Book,Books,Hyderabad,New,UPI,5,570,2850</t>
  </si>
  <si>
    <t>1197,2022-02-03,2022,2,1,Book,Books,Hyderabad,New,UPI,5,570,2850</t>
  </si>
  <si>
    <t>1198,2023-05-06,2023,5,2,Backpack,Fashion,Hyderabad,New,COD,3,1005,3015</t>
  </si>
  <si>
    <t>1199,2024-06-10,2024,6,2,Smartwatch,Electronics,Delhi,New,Card,2,14435,28870</t>
  </si>
  <si>
    <t>1199,2022-06-21,2022,6,2,Smartwatch,Electronics,Delhi,New,Card,2,14435,28870</t>
  </si>
  <si>
    <t>1201,2023-11-22,2023,11,4,Laptop,Electronics,Pune,Premimum,COD,2,60581,121162</t>
  </si>
  <si>
    <t>1201,2022-07-19,2022,7,3,Laptop,Electronics,Pune,Premimum,COD,2,60581,121162</t>
  </si>
  <si>
    <t>1201,2022-02-28,2022,2,1,Laptop,Electronics,Pune,Premimum,COD,2,60581,121162</t>
  </si>
  <si>
    <t>1201,2024-07-30,2024,7,3,Laptop,Electronics,Pune,Premimum,COD,2,60581,121162</t>
  </si>
  <si>
    <t>1201,2022-02-03,2022,2,1,Laptop,Electronics,Pune,Premimum,COD,2,60581,121162</t>
  </si>
  <si>
    <t>1201,2023-05-25,2023,5,2,Laptop,Electronics,Pune,Premimum,COD,2,60581,121162</t>
  </si>
  <si>
    <t>1201,2023-09-29,2023,9,3,Laptop,Electronics,Pune,Premimum,COD,2,60581,121162</t>
  </si>
  <si>
    <t>1201,2022-12-23,2022,12,4,Laptop,Electronics,Pune,Premimum,COD,2,60581,121162</t>
  </si>
  <si>
    <t>1202,2022-03-04,2022,3,1,Headphones,Electronics,Mumbai,Returning,COD,1,2742,2742</t>
  </si>
  <si>
    <t>1202,2023-08-31,2023,8,3,Headphones,Electronics,Mumbai,Returning,COD,1,2742,2742</t>
  </si>
  <si>
    <t>1202,2023-12-15,2023,12,4,Headphones,Electronics,Mumbai,Returning,COD,1,2742,2742</t>
  </si>
  <si>
    <t>1202,2023-11-26,2023,11,4,Headphones,Electronics,Mumbai,Returning,COD,1,2742,2742</t>
  </si>
  <si>
    <t>1203,2022-10-31,2022,10,4,Shoes,Fashion,Hyderabad,Premimum,Card,3,3576,10728</t>
  </si>
  <si>
    <t>1203,2023-01-04,2023,1,1,Shoes,Fashion,Hyderabad,Premimum,Card,3,3576,10728</t>
  </si>
  <si>
    <t>1203,2023-12-23,2023,12,4,Shoes,Fashion,Hyderabad,Premimum,Card,3,3576,10728</t>
  </si>
  <si>
    <t>1203,2023-01-10,2023,1,1,Shoes,Fashion,Hyderabad,Premimum,Card,3,3576,10728</t>
  </si>
  <si>
    <t>1204,2023-07-11,2023,7,3,Watch,Other,Chennai,New,Card,4,15524,62096</t>
  </si>
  <si>
    <t>1204,2022-08-15,2022,8,3,Watch,Other,Chennai,New,Card,4,15524,62096</t>
  </si>
  <si>
    <t>1205,2023-05-01,2023,5,2,Mobile Case,Other,Pune,New,UPI,3,973,2919</t>
  </si>
  <si>
    <t>1205,2023-07-03,2023,7,3,Mobile Case,Other,Pune,New,UPI,3,973,2919</t>
  </si>
  <si>
    <t>1205,2023-09-23,2023,9,3,Mobile Case,Other,Pune,New,UPI,3,973,2919</t>
  </si>
  <si>
    <t>1205,2023-07-13,2023,7,3,Mobile Case,Other,Pune,New,UPI,3,973,2919</t>
  </si>
  <si>
    <t>1205,2022-10-05,2022,10,4,Mobile Case,Other,Pune,New,UPI,3,973,2919</t>
  </si>
  <si>
    <t>1205,2024-10-07,2024,10,4,Mobile Case,Other,Pune,New,UPI,3,973,2919</t>
  </si>
  <si>
    <t>1206,2022-04-06,2022,4,2,Tablet,Electronics,Pune,Premimum,UPI,2,19223,38446</t>
  </si>
  <si>
    <t>1206,2022-12-20,2022,12,4,Tablet,Electronics,Pune,Premimum,UPI,2,19223,38446</t>
  </si>
  <si>
    <t>1206,2024-08-22,2024,8,3,Tablet,Electronics,Pune,Premimum,UPI,2,19223,38446</t>
  </si>
  <si>
    <t>1206,2023-08-31,2023,8,3,Tablet,Electronics,Pune,Premimum,UPI,2,19223,38446</t>
  </si>
  <si>
    <t>1207,2023-05-10,2023,5,2,Book,Books,Mumbai,Returning,Card,3,197,591</t>
  </si>
  <si>
    <t>1208,2022-08-20,2022,8,3,Backpack,Fashion,Chennai,Returning,UPI,4,1862,7448</t>
  </si>
  <si>
    <t>1208,2022-04-19,2022,4,2,Backpack,Fashion,Chennai,Returning,UPI,4,1862,7448</t>
  </si>
  <si>
    <t>1209,2022-01-18,2022,1,1,Smartwatch,Electronics,Bangalore,Returning,COD,2,7732,15464</t>
  </si>
  <si>
    <t>1209,2024-06-15,2024,6,2,Smartwatch,Electronics,Bangalore,Returning,COD,2,7732,15464</t>
  </si>
  <si>
    <t>1209,2023-04-02,2023,4,2,Smartwatch,Electronics,Bangalore,Returning,COD,2,7732,15464</t>
  </si>
  <si>
    <t>1209,2023-09-08,2023,9,3,Smartwatch,Electronics,Bangalore,Returning,COD,2,7732,15464</t>
  </si>
  <si>
    <t>1209,2024-09-03,2024,9,3,Smartwatch,Electronics,Bangalore,Returning,COD,2,7732,15464</t>
  </si>
  <si>
    <t>1210,2023-09-01,2023,9,3,Water Bottle,Other,Mumbai,Premimum,COD,3,508,1524</t>
  </si>
  <si>
    <t>1210,2022-03-11,2022,3,1,Water Bottle,Other,Mumbai,Premimum,COD,3,508,1524</t>
  </si>
  <si>
    <t>1210,2022-06-23,2022,6,2,Water Bottle,Other,Mumbai,Premimum,COD,3,508,1524</t>
  </si>
  <si>
    <t>1210,2022-05-20,2022,5,2,Water Bottle,Other,Mumbai,Premimum,COD,3,508,1524</t>
  </si>
  <si>
    <t>1210,2022-12-05,2022,12,4,Water Bottle,Other,Mumbai,Premimum,COD,3,508,1524</t>
  </si>
  <si>
    <t>1211,2023-05-11,2023,5,2,Laptop,Electronics,Pune,Premimum,COD,1,55970,55970</t>
  </si>
  <si>
    <t>1211,2023-06-04,2023,6,2,Laptop,Electronics,Pune,Premimum,COD,1,55970,55970</t>
  </si>
  <si>
    <t>1212,2024-02-17,2024,2,1,Headphones,Electronics,Hyderabad,Returning,COD,2,2129,4258</t>
  </si>
  <si>
    <t>1212,2022-08-14,2022,8,3,Headphones,Electronics,Hyderabad,Returning,COD,2,2129,4258</t>
  </si>
  <si>
    <t>1212,2023-10-19,2023,10,4,Headphones,Electronics,Hyderabad,Returning,COD,2,2129,4258</t>
  </si>
  <si>
    <t>1213,2022-02-16,2022,2,1,Shoes,Fashion,Pune,Premimum,UPI,3,2280,6840</t>
  </si>
  <si>
    <t>1214,2023-03-21,2023,3,1,Watch,Other,Delhi,Premimum,Card,1,2260,2260</t>
  </si>
  <si>
    <t>1214,2022-05-15,2022,5,2,Watch,Other,Delhi,Premimum,Card,1,2260,2260</t>
  </si>
  <si>
    <t>1215,2023-08-05,2023,8,3,Mobile Case,Other,Hyderabad,Premimum,UPI,4,962,3848</t>
  </si>
  <si>
    <t>1215,2023-05-22,2023,5,2,Mobile Case,Other,Hyderabad,Premimum,UPI,4,962,3848</t>
  </si>
  <si>
    <t>1215,2022-11-20,2022,11,4,Mobile Case,Other,Hyderabad,Premimum,UPI,4,962,3848</t>
  </si>
  <si>
    <t>1215,2022-07-28,2022,7,3,Mobile Case,Other,Hyderabad,Premimum,UPI,4,962,3848</t>
  </si>
  <si>
    <t>1216,2023-02-06,2023,2,1,Tablet,Electronics,Bangalore,Returning,Card,2,12775,25550</t>
  </si>
  <si>
    <t>1216,2022-08-26,2022,8,3,Tablet,Electronics,Bangalore,Returning,Card,2,12775,25550</t>
  </si>
  <si>
    <t>1216,2022-12-09,2022,12,4,Tablet,Electronics,Bangalore,Returning,Card,2,12775,25550</t>
  </si>
  <si>
    <t>1216,2022-06-16,2022,6,2,Tablet,Electronics,Bangalore,Returning,Card,2,12775,25550</t>
  </si>
  <si>
    <t>1216,2024-03-16,2024,3,1,Tablet,Electronics,Bangalore,Returning,Card,2,12775,25550</t>
  </si>
  <si>
    <t>1216,2022-10-04,2022,10,4,Tablet,Electronics,Bangalore,Returning,Card,2,12775,25550</t>
  </si>
  <si>
    <t>1216,2023-10-31,2023,10,4,Tablet,Electronics,Bangalore,Returning,Card,2,12775,25550</t>
  </si>
  <si>
    <t>1216,2023-10-04,2023,10,4,Tablet,Electronics,Bangalore,Returning,Card,2,12775,25550</t>
  </si>
  <si>
    <t>1217,2022-04-23,2022,4,2,Book,Books,Chennai,New,COD,2,685,1370</t>
  </si>
  <si>
    <t>1217,2023-01-24,2023,1,1,Book,Books,Chennai,New,COD,2,685,1370</t>
  </si>
  <si>
    <t>1218,2024-08-12,2024,8,3,Backpack,Fashion,Mumbai,New,COD,4,1218,4872</t>
  </si>
  <si>
    <t>1218,2023-04-23,2023,4,2,Backpack,Fashion,Mumbai,New,COD,4,1218,4872</t>
  </si>
  <si>
    <t>1218,2023-11-09,2023,11,4,Backpack,Fashion,Mumbai,New,COD,4,1218,4872</t>
  </si>
  <si>
    <t>1218,2022-12-03,2022,12,4,Backpack,Fashion,Mumbai,New,COD,4,1218,4872</t>
  </si>
  <si>
    <t>1219,2022-06-09,2022,6,2,Smartwatch,Electronics,Pune,Premimum,Card,1,4031,4031</t>
  </si>
  <si>
    <t>1219,2022-09-03,2022,9,3,Smartwatch,Electronics,Pune,Premimum,Card,1,4031,4031</t>
  </si>
  <si>
    <t>1219,2023-02-05,2023,2,1,Smartwatch,Electronics,Pune,Premimum,Card,1,4031,4031</t>
  </si>
  <si>
    <t>1220,2022-11-01,2022,11,4,Water Bottle,Other,Bangalore,Premimum,Card,2,140,280</t>
  </si>
  <si>
    <t>1220,2022-05-11,2022,5,2,Water Bottle,Other,Bangalore,Premimum,Card,2,140,280</t>
  </si>
  <si>
    <t>1221,2022-02-16,2022,2,1,Laptop,Electronics,Hyderabad,Returning,COD,2,54557,109114</t>
  </si>
  <si>
    <t>1221,2022-03-18,2022,3,1,Laptop,Electronics,Hyderabad,Returning,COD,2,54557,109114</t>
  </si>
  <si>
    <t>1222,2023-05-01,2023,5,2,Headphones,Electronics,Bangalore,Premimum,Card,2,1892,3784</t>
  </si>
  <si>
    <t>1222,2022-02-26,2022,2,1,Headphones,Electronics,Bangalore,Premimum,Card,2,1892,3784</t>
  </si>
  <si>
    <t>1223,2022-01-08,2022,1,1,Shoes,Fashion,Delhi,Premimum,COD,3,3197,9591</t>
  </si>
  <si>
    <t>1223,2023-03-02,2023,3,1,Shoes,Fashion,Delhi,Premimum,COD,3,3197,9591</t>
  </si>
  <si>
    <t>1223,2022-05-06,2022,5,2,Shoes,Fashion,Delhi,Premimum,COD,3,3197,9591</t>
  </si>
  <si>
    <t>1223,2023-01-01,2023,1,1,Shoes,Fashion,Delhi,Premimum,COD,3,3197,9591</t>
  </si>
  <si>
    <t>1224,2023-08-20,2023,8,3,Watch,Other,Delhi,Returning,COD,5,10225,51125</t>
  </si>
  <si>
    <t>1224,2022-11-02,2022,11,4,Watch,Other,Delhi,Returning,COD,5,10225,51125</t>
  </si>
  <si>
    <t>1224,2024-12-22,2024,12,4,Watch,Other,Delhi,Returning,COD,5,10225,51125</t>
  </si>
  <si>
    <t>1224,2023-12-08,2023,12,4,Watch,Other,Delhi,Returning,COD,5,10225,51125</t>
  </si>
  <si>
    <t>1224,2022-11-04,2022,11,4,Watch,Other,Delhi,Returning,COD,5,10225,51125</t>
  </si>
  <si>
    <t>1224,2022-03-29,2022,3,1,Watch,Other,Delhi,Returning,COD,5,10225,51125</t>
  </si>
  <si>
    <t>1224,2023-02-23,2023,2,1,Watch,Other,Delhi,Returning,COD,5,10225,51125</t>
  </si>
  <si>
    <t>1225,2023-07-04,2023,7,3,Mobile Case,Other,Mumbai,New,UPI,2,899,1798</t>
  </si>
  <si>
    <t>1225,2023-07-01,2023,7,3,Mobile Case,Other,Mumbai,New,UPI,2,899,1798</t>
  </si>
  <si>
    <t>1225,2024-05-02,2024,5,2,Mobile Case,Other,Mumbai,New,UPI,2,899,1798</t>
  </si>
  <si>
    <t>1227,2022-05-05,2022,5,2,Book,Books,Bangalore,Returning,COD,3,736,2208</t>
  </si>
  <si>
    <t>1227,2023-10-15,2023,10,4,Book,Books,Bangalore,Returning,COD,3,736,2208</t>
  </si>
  <si>
    <t>1227,2022-09-25,2022,9,3,Book,Books,Bangalore,Returning,COD,3,736,2208</t>
  </si>
  <si>
    <t>1228,2023-11-13,2023,11,4,Backpack,Fashion,Delhi,Premimum,COD,4,1504,6016</t>
  </si>
  <si>
    <t>1228,2024-07-14,2024,7,3,Backpack,Fashion,Delhi,Premimum,COD,4,1504,6016</t>
  </si>
  <si>
    <t>1229,2023-04-23,2023,4,2,Smartwatch,Electronics,Pune,Premimum,Card,2,7086,14172</t>
  </si>
  <si>
    <t>1229,2022-01-29,2022,1,1,Smartwatch,Electronics,Pune,Premimum,Card,2,7086,14172</t>
  </si>
  <si>
    <t>1230,2023-11-30,2023,11,4,Water Bottle,Other,Hyderabad,Returning,UPI,1,783,783</t>
  </si>
  <si>
    <t>1230,2023-03-29,2023,3,1,Water Bottle,Other,Hyderabad,Returning,UPI,1,783,783</t>
  </si>
  <si>
    <t>1230,2022-02-22,2022,2,1,Water Bottle,Other,Hyderabad,Returning,UPI,1,783,783</t>
  </si>
  <si>
    <t>1230,2023-12-06,2023,12,4,Water Bottle,Other,Hyderabad,Returning,UPI,1,783,783</t>
  </si>
  <si>
    <t>1230,2023-05-20,2023,5,2,Water Bottle,Other,Hyderabad,Returning,UPI,1,783,783</t>
  </si>
  <si>
    <t>1230,2024-08-21,2024,8,3,Water Bottle,Other,Hyderabad,Returning,UPI,1,783,783</t>
  </si>
  <si>
    <t>1230,2023-05-03,2023,5,2,Water Bottle,Other,Hyderabad,Returning,UPI,1,783,783</t>
  </si>
  <si>
    <t>1230,2023-12-21,2023,12,4,Water Bottle,Other,Hyderabad,Returning,UPI,1,783,783</t>
  </si>
  <si>
    <t>1230,2022-12-18,2022,12,4,Water Bottle,Other,Hyderabad,Returning,UPI,1,783,783</t>
  </si>
  <si>
    <t>1231,2023-06-19,2023,6,2,Laptop,Electronics,Pune,New,COD,1,67161,67161</t>
  </si>
  <si>
    <t>1231,2022-01-19,2022,1,1,Laptop,Electronics,Pune,New,COD,1,67161,67161</t>
  </si>
  <si>
    <t>1231,2023-12-03,2023,12,4,Laptop,Electronics,Pune,New,COD,1,67161,67161</t>
  </si>
  <si>
    <t>1231,2023-06-30,2023,6,2,Laptop,Electronics,Pune,New,COD,1,67161,67161</t>
  </si>
  <si>
    <t>1231,2023-10-05,2023,10,4,Laptop,Electronics,Pune,New,COD,1,67161,67161</t>
  </si>
  <si>
    <t>1232,2023-02-14,2023,2,1,Headphones,Electronics,Chennai,New,UPI,3,2774,8322</t>
  </si>
  <si>
    <t>1232,2023-12-24,2023,12,4,Headphones,Electronics,Chennai,New,UPI,3,2774,8322</t>
  </si>
  <si>
    <t>1232,2023-12-17,2023,12,4,Headphones,Electronics,Chennai,New,UPI,3,2774,8322</t>
  </si>
  <si>
    <t>1232,2022-07-20,2022,7,3,Headphones,Electronics,Chennai,New,UPI,3,2774,8322</t>
  </si>
  <si>
    <t>1233,2024-09-26,2024,9,3,Shoes,Fashion,Delhi,Premimum,Card,2,1961,3922</t>
  </si>
  <si>
    <t>1233,2023-01-06,2023,1,1,Shoes,Fashion,Delhi,Premimum,Card,2,1961,3922</t>
  </si>
  <si>
    <t>1234,2022-06-16,2022,6,2,Watch,Other,Hyderabad,New,Card,3,3843,11529</t>
  </si>
  <si>
    <t>1234,2022-01-03,2022,1,1,Watch,Other,Hyderabad,New,Card,3,3843,11529</t>
  </si>
  <si>
    <t>1235,2022-02-03,2022,2,1,Mobile Case,Other,Mumbai,Premimum,COD,2,515,1030</t>
  </si>
  <si>
    <t>1235,2023-08-01,2023,8,3,Mobile Case,Other,Mumbai,Premimum,COD,2,515,1030</t>
  </si>
  <si>
    <t>1235,2023-08-15,2023,8,3,Mobile Case,Other,Mumbai,Premimum,COD,2,515,1030</t>
  </si>
  <si>
    <t>1236,2024-01-19,2024,1,1,Tablet,Electronics,Hyderabad,New,COD,2,18773,37546</t>
  </si>
  <si>
    <t>1236,2024-03-04,2024,3,1,Tablet,Electronics,Hyderabad,New,COD,2,18773,37546</t>
  </si>
  <si>
    <t>1236,2024-09-11,2024,9,3,Tablet,Electronics,Hyderabad,New,COD,2,18773,37546</t>
  </si>
  <si>
    <t>1238,2024-07-29,2024,7,3,Backpack,Fashion,Mumbai,Returning,Card,2,996,1992</t>
  </si>
  <si>
    <t>1239,2022-07-23,2022,7,3,Smartwatch,Electronics,Hyderabad,Premimum,UPI,2,12569,25138</t>
  </si>
  <si>
    <t>1239,2022-08-24,2022,8,3,Smartwatch,Electronics,Hyderabad,Premimum,UPI,2,12569,25138</t>
  </si>
  <si>
    <t>1239,2023-12-07,2023,12,4,Smartwatch,Electronics,Hyderabad,Premimum,UPI,2,12569,25138</t>
  </si>
  <si>
    <t>1239,2023-12-14,2023,12,4,Smartwatch,Electronics,Hyderabad,Premimum,UPI,2,12569,25138</t>
  </si>
  <si>
    <t>1239,2024-12-21,2024,12,4,Smartwatch,Electronics,Hyderabad,Premimum,UPI,2,12569,25138</t>
  </si>
  <si>
    <t>1239,2023-02-12,2023,2,1,Smartwatch,Electronics,Hyderabad,Premimum,UPI,2,12569,25138</t>
  </si>
  <si>
    <t>1240,2023-06-05,2023,6,2,Water Bottle,Other,Delhi,Returning,Card,3,241,723</t>
  </si>
  <si>
    <t>1240,2023-02-24,2023,2,1,Water Bottle,Other,Delhi,Returning,Card,3,241,723</t>
  </si>
  <si>
    <t>1240,2024-12-04,2024,12,4,Water Bottle,Other,Delhi,Returning,Card,3,241,723</t>
  </si>
  <si>
    <t>1241,2024-02-17,2024,2,1,Laptop,Electronics,Pune,New,UPI,1,51561,51561</t>
  </si>
  <si>
    <t>1241,2023-07-24,2023,7,3,Laptop,Electronics,Pune,New,UPI,1,51561,51561</t>
  </si>
  <si>
    <t>1243,2023-04-13,2023,4,2,Shoes,Fashion,Hyderabad,Premimum,UPI,2,1792,3584</t>
  </si>
  <si>
    <t>1243,2023-12-14,2023,12,4,Shoes,Fashion,Hyderabad,Premimum,UPI,2,1792,3584</t>
  </si>
  <si>
    <t>1244,2022-02-13,2022,2,1,Watch,Other,Hyderabad,Premimum,UPI,1,17414,17414</t>
  </si>
  <si>
    <t>1244,2023-05-03,2023,5,2,Watch,Other,Hyderabad,Premimum,UPI,1,17414,17414</t>
  </si>
  <si>
    <t>1245,2022-04-08,2022,4,2,Mobile Case,Other,Mumbai,New,COD,5,417,2085</t>
  </si>
  <si>
    <t>1246,2022-08-11,2022,8,3,Tablet,Electronics,Pune,Premimum,UPI,1,32293,32293</t>
  </si>
  <si>
    <t>1246,2023-03-26,2023,3,1,Tablet,Electronics,Pune,Premimum,UPI,1,32293,32293</t>
  </si>
  <si>
    <t>1246,2024-12-27,2024,12,4,Tablet,Electronics,Pune,Premimum,UPI,1,32293,32293</t>
  </si>
  <si>
    <t>1247,2024-04-20,2024,4,2,Book,Books,Mumbai,Returning,COD,2,750,1500</t>
  </si>
  <si>
    <t>1247,2024-04-16,2024,4,2,Book,Books,Mumbai,Returning,COD,2,750,1500</t>
  </si>
  <si>
    <t>1247,2023-11-10,2023,11,4,Book,Books,Mumbai,Returning,COD,2,750,1500</t>
  </si>
  <si>
    <t>1248,2023-10-17,2023,10,4,Backpack,Fashion,Mumbai,Premimum,COD,3,1702,5106</t>
  </si>
  <si>
    <t>1248,2023-06-02,2023,6,2,Backpack,Fashion,Mumbai,Premimum,COD,3,1702,5106</t>
  </si>
  <si>
    <t>1248,2024-11-02,2024,11,4,Backpack,Fashion,Mumbai,Premimum,COD,3,1702,5106</t>
  </si>
  <si>
    <t>1249,2023-05-01,2023,5,2,Smartwatch,Electronics,Delhi,New,Card,1,10698,10698</t>
  </si>
  <si>
    <t>1250,2022-02-10,2022,2,1,Water Bottle,Other,Delhi,Premimum,UPI,3,468,1404</t>
  </si>
  <si>
    <t>1250,2023-05-02,2023,5,2,Water Bottle,Other,Delhi,Premimum,UPI,3,468,1404</t>
  </si>
  <si>
    <t>1250,2022-05-26,2022,5,2,Water Bottle,Other,Delhi,Premimum,UPI,3,468,1404</t>
  </si>
  <si>
    <t>1250,2022-02-23,2022,2,1,Water Bottle,Other,Delhi,Premimum,UPI,3,468,1404</t>
  </si>
  <si>
    <t>1251,2022-01-04,2022,1,1,Laptop,Electronics,Pune,New,COD,2,57310,114620</t>
  </si>
  <si>
    <t>1251,2023-05-16,2023,5,2,Laptop,Electronics,Pune,New,COD,2,57310,114620</t>
  </si>
  <si>
    <t>1251,2023-09-01,2023,9,3,Laptop,Electronics,Pune,New,COD,2,57310,114620</t>
  </si>
  <si>
    <t>1251,2023-06-20,2023,6,2,Laptop,Electronics,Pune,New,COD,2,57310,114620</t>
  </si>
  <si>
    <t>1252,2024-02-29,2024,2,1,Headphones,Electronics,Mumbai,New,COD,1,1155,1155</t>
  </si>
  <si>
    <t>1252,2024-11-28,2024,11,4,Headphones,Electronics,Mumbai,New,COD,1,1155,1155</t>
  </si>
  <si>
    <t>1252,2024-05-17,2024,5,2,Headphones,Electronics,Mumbai,New,COD,1,1155,1155</t>
  </si>
  <si>
    <t>1252,2023-06-05,2023,6,2,Headphones,Electronics,Mumbai,New,COD,1,1155,1155</t>
  </si>
  <si>
    <t>1252,2022-02-15,2022,2,1,Headphones,Electronics,Mumbai,New,COD,1,1155,1155</t>
  </si>
  <si>
    <t>1254,2023-11-25,2023,11,4,Watch,Other,Pune,Returning,COD,2,11560,23120</t>
  </si>
  <si>
    <t>1254,2022-11-13,2022,11,4,Watch,Other,Pune,Returning,COD,2,11560,23120</t>
  </si>
  <si>
    <t>1254,2022-06-20,2022,6,2,Watch,Other,Pune,Returning,COD,2,11560,23120</t>
  </si>
  <si>
    <t>1254,2022-04-05,2022,4,2,Watch,Other,Pune,Returning,COD,2,11560,23120</t>
  </si>
  <si>
    <t>1254,2022-11-18,2022,11,4,Watch,Other,Pune,Returning,COD,2,11560,23120</t>
  </si>
  <si>
    <t>1255,2024-03-04,2024,3,1,Mobile Case,Other,Pune,New,UPI,3,457,1371</t>
  </si>
  <si>
    <t>1255,2023-07-26,2023,7,3,Mobile Case,Other,Pune,New,UPI,3,457,1371</t>
  </si>
  <si>
    <t>1255,2024-01-26,2024,1,1,Mobile Case,Other,Pune,New,UPI,3,457,1371</t>
  </si>
  <si>
    <t>1256,2023-08-28,2023,8,3,Tablet,Electronics,Mumbai,New,Card,2,22337,44674</t>
  </si>
  <si>
    <t>1256,2022-10-19,2022,10,4,Tablet,Electronics,Mumbai,New,Card,2,22337,44674</t>
  </si>
  <si>
    <t>1256,2024-04-23,2024,4,2,Tablet,Electronics,Mumbai,New,Card,2,22337,44674</t>
  </si>
  <si>
    <t>1257,2023-09-19,2023,9,3,Book,Books,Mumbai,Returning,COD,5,379,1895</t>
  </si>
  <si>
    <t>1257,2022-08-14,2022,8,3,Book,Books,Mumbai,Returning,COD,5,379,1895</t>
  </si>
  <si>
    <t>1257,2023-03-22,2023,3,1,Book,Books,Mumbai,Returning,COD,5,379,1895</t>
  </si>
  <si>
    <t>1259,2022-09-18,2022,9,3,Smartwatch,Electronics,Hyderabad,New,UPI,2,13263,26526</t>
  </si>
  <si>
    <t>1259,2023-03-10,2023,3,1,Smartwatch,Electronics,Hyderabad,New,UPI,2,13263,26526</t>
  </si>
  <si>
    <t>1260,2022-05-12,2022,5,2,Water Bottle,Other,Pune,Premimum,UPI,4,503,2012</t>
  </si>
  <si>
    <t>1260,2023-12-22,2023,12,4,Water Bottle,Other,Pune,Premimum,UPI,4,503,2012</t>
  </si>
  <si>
    <t>1260,2023-04-19,2023,4,2,Water Bottle,Other,Pune,Premimum,UPI,4,503,2012</t>
  </si>
  <si>
    <t>1260,2022-10-31,2022,10,4,Water Bottle,Other,Pune,Premimum,UPI,4,503,2012</t>
  </si>
  <si>
    <t>1261,2024-06-20,2024,6,2,Laptop,Electronics,Chennai,Premimum,Card,1,53499,53499</t>
  </si>
  <si>
    <t>1261,2024-06-03,2024,6,2,Laptop,Electronics,Chennai,Premimum,Card,1,53499,53499</t>
  </si>
  <si>
    <t>1261,2023-06-04,2023,6,2,Laptop,Electronics,Chennai,Premimum,Card,1,53499,53499</t>
  </si>
  <si>
    <t>1261,2022-04-04,2022,4,2,Laptop,Electronics,Chennai,Premimum,Card,1,53499,53499</t>
  </si>
  <si>
    <t>1261,2023-06-29,2023,6,2,Laptop,Electronics,Chennai,Premimum,Card,1,53499,53499</t>
  </si>
  <si>
    <t>1262,2022-10-22,2022,10,4,Headphones,Electronics,Bangalore,Premimum,UPI,1,3910,3910</t>
  </si>
  <si>
    <t>1262,2024-02-09,2024,2,1,Headphones,Electronics,Bangalore,Premimum,UPI,1,3910,3910</t>
  </si>
  <si>
    <t>1262,2022-07-31,2022,7,3,Headphones,Electronics,Bangalore,Premimum,UPI,1,3910,3910</t>
  </si>
  <si>
    <t>1262,2023-12-15,2023,12,4,Headphones,Electronics,Bangalore,Premimum,UPI,1,3910,3910</t>
  </si>
  <si>
    <t>1262,2022-11-14,2022,11,4,Headphones,Electronics,Bangalore,Premimum,UPI,1,3910,3910</t>
  </si>
  <si>
    <t>1263,2022-01-04,2022,1,1,Shoes,Fashion,Hyderabad,Returning,Card,1,3590,3590</t>
  </si>
  <si>
    <t>1263,2024-07-06,2024,7,3,Shoes,Fashion,Hyderabad,Returning,Card,1,3590,3590</t>
  </si>
  <si>
    <t>1263,2023-01-10,2023,1,1,Shoes,Fashion,Hyderabad,Returning,Card,1,3590,3590</t>
  </si>
  <si>
    <t>1263,2024-02-26,2024,2,1,Shoes,Fashion,Hyderabad,Returning,Card,1,3590,3590</t>
  </si>
  <si>
    <t>1264,2024-10-10,2024,10,4,Watch,Other,Bangalore,Returning,UPI,5,4354,21770</t>
  </si>
  <si>
    <t>1264,2022-04-18,2022,4,2,Watch,Other,Bangalore,Returning,UPI,5,4354,21770</t>
  </si>
  <si>
    <t>1264,2024-08-25,2024,8,3,Watch,Other,Bangalore,Returning,UPI,5,4354,21770</t>
  </si>
  <si>
    <t>1265,2022-11-04,2022,11,4,Mobile Case,Other,Chennai,Premimum,Card,1,878,878</t>
  </si>
  <si>
    <t>1265,2022-08-10,2022,8,3,Mobile Case,Other,Chennai,Premimum,Card,1,878,878</t>
  </si>
  <si>
    <t>1265,2022-03-11,2022,3,1,Mobile Case,Other,Chennai,Premimum,Card,1,878,878</t>
  </si>
  <si>
    <t>1265,2024-12-18,2024,12,4,Mobile Case,Other,Chennai,Premimum,Card,1,878,878</t>
  </si>
  <si>
    <t>1266,2024-10-12,2024,10,4,Tablet,Electronics,Mumbai,Returning,COD,1,28657,28657</t>
  </si>
  <si>
    <t>1266,2022-12-19,2022,12,4,Tablet,Electronics,Mumbai,Returning,COD,1,28657,28657</t>
  </si>
  <si>
    <t>1267,2024-12-11,2024,12,4,Book,Books,Delhi,Premimum,COD,1,394,394</t>
  </si>
  <si>
    <t>1267,2023-08-06,2023,8,3,Book,Books,Delhi,Premimum,COD,1,394,394</t>
  </si>
  <si>
    <t>1267,2022-01-24,2022,1,1,Book,Books,Delhi,Premimum,COD,1,394,394</t>
  </si>
  <si>
    <t>1268,2024-05-18,2024,5,2,Backpack,Fashion,Hyderabad,Premimum,UPI,3,1554,4662</t>
  </si>
  <si>
    <t>1268,2023-02-10,2023,2,1,Backpack,Fashion,Hyderabad,Premimum,UPI,3,1554,4662</t>
  </si>
  <si>
    <t>1268,2023-10-31,2023,10,4,Backpack,Fashion,Hyderabad,Premimum,UPI,3,1554,4662</t>
  </si>
  <si>
    <t>1269,2024-06-26,2024,6,2,Smartwatch,Electronics,Bangalore,Returning,UPI,1,4066,4066</t>
  </si>
  <si>
    <t>1269,2022-02-26,2022,2,1,Smartwatch,Electronics,Bangalore,Returning,UPI,1,4066,4066</t>
  </si>
  <si>
    <t>1269,2023-04-13,2023,4,2,Smartwatch,Electronics,Bangalore,Returning,UPI,1,4066,4066</t>
  </si>
  <si>
    <t>1270,2022-12-17,2022,12,4,Water Bottle,Other,Delhi,New,UPI,5,210,1050</t>
  </si>
  <si>
    <t>1270,2023-05-12,2023,5,2,Water Bottle,Other,Delhi,New,UPI,5,210,1050</t>
  </si>
  <si>
    <t>1270,2023-09-18,2023,9,3,Water Bottle,Other,Delhi,New,UPI,5,210,1050</t>
  </si>
  <si>
    <t>1270,2022-12-11,2022,12,4,Water Bottle,Other,Delhi,New,UPI,5,210,1050</t>
  </si>
  <si>
    <t>1270,2023-10-26,2023,10,4,Water Bottle,Other,Delhi,New,UPI,5,210,1050</t>
  </si>
  <si>
    <t>1270,2023-10-01,2023,10,4,Water Bottle,Other,Delhi,New,UPI,5,210,1050</t>
  </si>
  <si>
    <t>1271,2023-06-01,2023,6,2,Laptop,Electronics,Bangalore,Returning,Card,1,40792,40792</t>
  </si>
  <si>
    <t>1272,2022-02-01,2022,2,1,Headphones,Electronics,Delhi,New,Card,2,3380,6760</t>
  </si>
  <si>
    <t>1272,2024-12-28,2024,12,4,Headphones,Electronics,Delhi,New,Card,2,3380,6760</t>
  </si>
  <si>
    <t>1273,2022-05-26,2022,5,2,Shoes,Fashion,Hyderabad,Premimum,Card,2,1061,2122</t>
  </si>
  <si>
    <t>1273,2023-04-09,2023,4,2,Shoes,Fashion,Hyderabad,Premimum,Card,2,1061,2122</t>
  </si>
  <si>
    <t>1274,2023-01-25,2023,1,1,Watch,Other,Hyderabad,Returning,UPI,5,9610,48050</t>
  </si>
  <si>
    <t>1275,2023-03-09,2023,3,1,Mobile Case,Other,Delhi,Returning,UPI,1,901,901</t>
  </si>
  <si>
    <t>1275,2022-05-20,2022,5,2,Mobile Case,Other,Delhi,Returning,UPI,1,901,901</t>
  </si>
  <si>
    <t>1275,2022-06-11,2022,6,2,Mobile Case,Other,Delhi,Returning,UPI,1,901,901</t>
  </si>
  <si>
    <t>1276,2022-06-24,2022,6,2,Tablet,Electronics,Pune,Returning,Card,2,18752,37504</t>
  </si>
  <si>
    <t>1276,2022-08-02,2022,8,3,Tablet,Electronics,Pune,Returning,Card,2,18752,37504</t>
  </si>
  <si>
    <t>1276,2023-09-21,2023,9,3,Tablet,Electronics,Pune,Returning,Card,2,18752,37504</t>
  </si>
  <si>
    <t>1276,2023-12-20,2023,12,4,Tablet,Electronics,Pune,Returning,Card,2,18752,37504</t>
  </si>
  <si>
    <t>1276,2022-08-07,2022,8,3,Tablet,Electronics,Pune,Returning,Card,2,18752,37504</t>
  </si>
  <si>
    <t>1276,2022-10-15,2022,10,4,Tablet,Electronics,Pune,Returning,Card,2,18752,37504</t>
  </si>
  <si>
    <t>1277,2024-01-02,2024,1,1,Book,Books,Delhi,Premimum,Card,1,129,129</t>
  </si>
  <si>
    <t>1277,2022-07-10,2022,7,3,Book,Books,Delhi,Premimum,Card,1,129,129</t>
  </si>
  <si>
    <t>1277,2023-01-20,2023,1,1,Book,Books,Delhi,Premimum,Card,1,129,129</t>
  </si>
  <si>
    <t>1278,2023-09-21,2023,9,3,Backpack,Fashion,Hyderabad,Premimum,UPI,1,828,828</t>
  </si>
  <si>
    <t>1278,2022-11-18,2022,11,4,Backpack,Fashion,Hyderabad,Premimum,UPI,1,828,828</t>
  </si>
  <si>
    <t>1279,2023-01-09,2023,1,1,Smartwatch,Electronics,Bangalore,New,UPI,2,4999,9998</t>
  </si>
  <si>
    <t>1279,2024-07-03,2024,7,3,Smartwatch,Electronics,Bangalore,New,UPI,2,4999,9998</t>
  </si>
  <si>
    <t>1279,2023-11-11,2023,11,4,Smartwatch,Electronics,Bangalore,New,UPI,2,4999,9998</t>
  </si>
  <si>
    <t>1279,2023-07-15,2023,7,3,Smartwatch,Electronics,Bangalore,New,UPI,2,4999,9998</t>
  </si>
  <si>
    <t>1280,2023-06-29,2023,6,2,Water Bottle,Other,Pune,New,Card,4,677,2708</t>
  </si>
  <si>
    <t>1280,2023-08-10,2023,8,3,Water Bottle,Other,Pune,New,Card,4,677,2708</t>
  </si>
  <si>
    <t>1280,2024-02-10,2024,2,1,Water Bottle,Other,Pune,New,Card,4,677,2708</t>
  </si>
  <si>
    <t>1281,2024-11-26,2024,11,4,Laptop,Electronics,Hyderabad,Returning,Card,1,47291,47291</t>
  </si>
  <si>
    <t>1281,2024-06-16,2024,6,2,Laptop,Electronics,Hyderabad,Returning,Card,1,47291,47291</t>
  </si>
  <si>
    <t>1281,2022-03-01,2022,3,1,Laptop,Electronics,Hyderabad,Returning,Card,1,47291,47291</t>
  </si>
  <si>
    <t>1282,2023-12-02,2023,12,4,Headphones,Electronics,Pune,Returning,Card,3,2127,6381</t>
  </si>
  <si>
    <t>1282,2023-10-15,2023,10,4,Headphones,Electronics,Pune,Returning,Card,3,2127,6381</t>
  </si>
  <si>
    <t>1282,2024-01-17,2024,1,1,Headphones,Electronics,Pune,Returning,Card,3,2127,6381</t>
  </si>
  <si>
    <t>1283,2023-06-10,2023,6,2,Shoes,Fashion,Delhi,New,Card,3,2869,8607</t>
  </si>
  <si>
    <t>1283,2023-11-24,2023,11,4,Shoes,Fashion,Delhi,New,Card,3,2869,8607</t>
  </si>
  <si>
    <t>1283,2024-07-30,2024,7,3,Shoes,Fashion,Delhi,New,Card,3,2869,8607</t>
  </si>
  <si>
    <t>1283,2023-11-03,2023,11,4,Shoes,Fashion,Delhi,New,Card,3,2869,8607</t>
  </si>
  <si>
    <t>1283,2024-12-22,2024,12,4,Shoes,Fashion,Delhi,New,Card,3,2869,8607</t>
  </si>
  <si>
    <t>1284,2024-08-04,2024,8,3,Watch,Other,Bangalore,Returning,COD,3,7361,22083</t>
  </si>
  <si>
    <t>1284,2023-10-20,2023,10,4,Watch,Other,Bangalore,Returning,COD,3,7361,22083</t>
  </si>
  <si>
    <t>1284,2024-10-08,2024,10,4,Watch,Other,Bangalore,Returning,COD,3,7361,22083</t>
  </si>
  <si>
    <t>1284,2023-05-19,2023,5,2,Watch,Other,Bangalore,Returning,COD,3,7361,22083</t>
  </si>
  <si>
    <t>1286,2022-02-16,2022,2,1,Tablet,Electronics,Hyderabad,New,UPI,1,16337,16337</t>
  </si>
  <si>
    <t>1286,2024-04-10,2024,4,2,Tablet,Electronics,Hyderabad,New,UPI,1,16337,16337</t>
  </si>
  <si>
    <t>1286,2023-04-11,2023,4,2,Tablet,Electronics,Hyderabad,New,UPI,1,16337,16337</t>
  </si>
  <si>
    <t>1286,2023-12-30,2023,12,4,Tablet,Electronics,Hyderabad,New,UPI,1,16337,16337</t>
  </si>
  <si>
    <t>1287,2023-01-04,2023,1,1,Book,Books,Chennai,Premimum,Card,3,295,885</t>
  </si>
  <si>
    <t>1287,2023-06-04,2023,6,2,Book,Books,Chennai,Premimum,Card,3,295,885</t>
  </si>
  <si>
    <t>1287,2023-04-07,2023,4,2,Book,Books,Chennai,Premimum,Card,3,295,885</t>
  </si>
  <si>
    <t>1287,2024-12-13,2024,12,4,Book,Books,Chennai,Premimum,Card,3,295,885</t>
  </si>
  <si>
    <t>1287,2023-10-31,2023,10,4,Book,Books,Chennai,Premimum,Card,3,295,885</t>
  </si>
  <si>
    <t>1288,2024-12-20,2024,12,4,Backpack,Fashion,Mumbai,Premimum,UPI,2,1486,2972</t>
  </si>
  <si>
    <t>1289,2023-11-23,2023,11,4,Smartwatch,Electronics,Mumbai,Premimum,COD,2,12872,25744</t>
  </si>
  <si>
    <t>1289,2023-05-20,2023,5,2,Smartwatch,Electronics,Mumbai,Premimum,COD,2,12872,25744</t>
  </si>
  <si>
    <t>1289,2022-03-27,2022,3,1,Smartwatch,Electronics,Mumbai,Premimum,COD,2,12872,25744</t>
  </si>
  <si>
    <t>1289,2022-08-26,2022,8,3,Smartwatch,Electronics,Mumbai,Premimum,COD,2,12872,25744</t>
  </si>
  <si>
    <t>1290,2022-03-07,2022,3,1,Water Bottle,Other,Pune,New,UPI,3,740,2220</t>
  </si>
  <si>
    <t>1290,2023-02-09,2023,2,1,Water Bottle,Other,Pune,New,UPI,3,740,2220</t>
  </si>
  <si>
    <t>1290,2023-09-20,2023,9,3,Water Bottle,Other,Pune,New,UPI,3,740,2220</t>
  </si>
  <si>
    <t>1291,2024-09-10,2024,9,3,Laptop,Electronics,Mumbai,New,Card,1,69296,69296</t>
  </si>
  <si>
    <t>1291,2024-01-02,2024,1,1,Laptop,Electronics,Mumbai,New,Card,1,69296,69296</t>
  </si>
  <si>
    <t>1291,2024-05-17,2024,5,2,Laptop,Electronics,Mumbai,New,Card,1,69296,69296</t>
  </si>
  <si>
    <t>1291,2024-07-02,2024,7,3,Laptop,Electronics,Mumbai,New,Card,1,69296,69296</t>
  </si>
  <si>
    <t>1292,2023-01-16,2023,1,1,Headphones,Electronics,Bangalore,Premimum,UPI,1,3960,3960</t>
  </si>
  <si>
    <t>1292,2023-05-25,2023,5,2,Headphones,Electronics,Bangalore,Premimum,UPI,1,3960,3960</t>
  </si>
  <si>
    <t>1292,2024-02-03,2024,2,1,Headphones,Electronics,Bangalore,Premimum,UPI,1,3960,3960</t>
  </si>
  <si>
    <t>1292,2022-04-09,2022,4,2,Headphones,Electronics,Bangalore,Premimum,UPI,1,3960,3960</t>
  </si>
  <si>
    <t>1292,2023-05-06,2023,5,2,Headphones,Electronics,Bangalore,Premimum,UPI,1,3960,3960</t>
  </si>
  <si>
    <t>1292,2022-02-05,2022,2,1,Headphones,Electronics,Bangalore,Premimum,UPI,1,3960,3960</t>
  </si>
  <si>
    <t>1293,2023-11-16,2023,11,4,Shoes,Fashion,Mumbai,Premimum,UPI,3,4486,13458</t>
  </si>
  <si>
    <t>1293,2022-03-25,2022,3,1,Shoes,Fashion,Mumbai,Premimum,UPI,3,4486,13458</t>
  </si>
  <si>
    <t>1294,2022-11-22,2022,11,4,Watch,Other,Mumbai,Premimum,UPI,1,18146,18146</t>
  </si>
  <si>
    <t>1294,2022-09-03,2022,9,3,Watch,Other,Mumbai,Premimum,UPI,1,18146,18146</t>
  </si>
  <si>
    <t>1294,2023-03-18,2023,3,1,Watch,Other,Mumbai,Premimum,UPI,1,18146,18146</t>
  </si>
  <si>
    <t>1294,2022-08-06,2022,8,3,Watch,Other,Mumbai,Premimum,UPI,1,18146,18146</t>
  </si>
  <si>
    <t>1296,2022-09-30,2022,9,3,Tablet,Electronics,Delhi,Returning,UPI,1,34548,34548</t>
  </si>
  <si>
    <t>1296,2023-12-26,2023,12,4,Tablet,Electronics,Delhi,Returning,UPI,1,34548,34548</t>
  </si>
  <si>
    <t>1296,2022-07-13,2022,7,3,Tablet,Electronics,Delhi,Returning,UPI,1,34548,34548</t>
  </si>
  <si>
    <t>1296,2024-05-08,2024,5,2,Tablet,Electronics,Delhi,Returning,UPI,1,34548,34548</t>
  </si>
  <si>
    <t>1297,2023-12-20,2023,12,4,Book,Books,Bangalore,Returning,COD,1,925,925</t>
  </si>
  <si>
    <t>1298,2022-12-21,2022,12,4,Backpack,Fashion,Mumbai,New,COD,4,899,3596</t>
  </si>
  <si>
    <t>1299,2023-05-30,2023,5,2,Smartwatch,Electronics,Hyderabad,New,Card,2,11888,23776</t>
  </si>
  <si>
    <t>1299,2022-06-02,2022,6,2,Smartwatch,Electronics,Hyderabad,New,Card,2,11888,23776</t>
  </si>
  <si>
    <t>1299,2023-05-26,2023,5,2,Smartwatch,Electronics,Hyderabad,New,Card,2,11888,23776</t>
  </si>
  <si>
    <t>1301,2022-03-04,2022,3,1,Laptop,Electronics,Delhi,New,COD,1,57645,57645</t>
  </si>
  <si>
    <t>1302,2023-06-16,2023,6,2,Headphones,Electronics,Delhi,Premimum,Card,2,3967,7934</t>
  </si>
  <si>
    <t>1302,2023-05-16,2023,5,2,Headphones,Electronics,Delhi,Premimum,Card,2,3967,7934</t>
  </si>
  <si>
    <t>1303,2022-11-28,2022,11,4,Shoes,Fashion,Delhi,Premimum,UPI,1,4593,4593</t>
  </si>
  <si>
    <t>1303,2022-08-15,2022,8,3,Shoes,Fashion,Delhi,Premimum,UPI,1,4593,4593</t>
  </si>
  <si>
    <t>1304,2022-04-09,2022,4,2,Watch,Other,Delhi,New,COD,4,5728,22912</t>
  </si>
  <si>
    <t>1304,2022-12-12,2022,12,4,Watch,Other,Delhi,New,COD,4,5728,22912</t>
  </si>
  <si>
    <t>1304,2023-11-26,2023,11,4,Watch,Other,Delhi,New,COD,4,5728,22912</t>
  </si>
  <si>
    <t>1304,2023-04-12,2023,4,2,Watch,Other,Delhi,New,COD,4,5728,22912</t>
  </si>
  <si>
    <t>1305,2023-05-25,2023,5,2,Mobile Case,Other,Mumbai,New,COD,2,498,996</t>
  </si>
  <si>
    <t>1305,2023-11-16,2023,11,4,Mobile Case,Other,Mumbai,New,COD,2,498,996</t>
  </si>
  <si>
    <t>1305,2023-01-05,2023,1,1,Mobile Case,Other,Mumbai,New,COD,2,498,996</t>
  </si>
  <si>
    <t>1306,2023-03-31,2023,3,1,Tablet,Electronics,Bangalore,New,UPI,2,39710,79420</t>
  </si>
  <si>
    <t>1307,2022-02-12,2022,2,1,Book,Books,Delhi,Premimum,Card,3,197,591</t>
  </si>
  <si>
    <t>1307,2023-01-28,2023,1,1,Book,Books,Delhi,Premimum,Card,3,197,591</t>
  </si>
  <si>
    <t>1307,2024-10-04,2024,10,4,Book,Books,Delhi,Premimum,Card,3,197,591</t>
  </si>
  <si>
    <t>1307,2023-07-07,2023,7,3,Book,Books,Delhi,Premimum,Card,3,197,591</t>
  </si>
  <si>
    <t>1308,2023-07-17,2023,7,3,Backpack,Fashion,Hyderabad,New,UPI,2,1815,3630</t>
  </si>
  <si>
    <t>1309,2024-08-24,2024,8,3,Smartwatch,Electronics,Chennai,Premimum,UPI,2,3949,7898</t>
  </si>
  <si>
    <t>1310,2022-05-18,2022,5,2,Water Bottle,Other,Bangalore,New,COD,1,208,208</t>
  </si>
  <si>
    <t>1310,2023-10-05,2023,10,4,Water Bottle,Other,Bangalore,New,COD,1,208,208</t>
  </si>
  <si>
    <t>1311,2024-12-12,2024,12,4,Laptop,Electronics,Bangalore,New,COD,1,50605,50605</t>
  </si>
  <si>
    <t>1312,2024-11-08,2024,11,4,Headphones,Electronics,Hyderabad,New,COD,3,4319,12957</t>
  </si>
  <si>
    <t>1312,2024-07-14,2024,7,3,Headphones,Electronics,Hyderabad,New,COD,3,4319,12957</t>
  </si>
  <si>
    <t>1312,2023-07-04,2023,7,3,Headphones,Electronics,Hyderabad,New,COD,3,4319,12957</t>
  </si>
  <si>
    <t>1312,2023-05-10,2023,5,2,Headphones,Electronics,Hyderabad,New,COD,3,4319,12957</t>
  </si>
  <si>
    <t>1312,2023-08-29,2023,8,3,Headphones,Electronics,Hyderabad,New,COD,3,4319,12957</t>
  </si>
  <si>
    <t>1312,2024-09-16,2024,9,3,Headphones,Electronics,Hyderabad,New,COD,3,4319,12957</t>
  </si>
  <si>
    <t>1312,2022-11-12,2022,11,4,Headphones,Electronics,Hyderabad,New,COD,3,4319,12957</t>
  </si>
  <si>
    <t>1312,2023-03-14,2023,3,1,Headphones,Electronics,Hyderabad,New,COD,3,4319,12957</t>
  </si>
  <si>
    <t>1312,2023-01-11,2023,1,1,Headphones,Electronics,Hyderabad,New,COD,3,4319,12957</t>
  </si>
  <si>
    <t>1313,2024-01-27,2024,1,1,Shoes,Fashion,Delhi,New,Card,1,3721,3721</t>
  </si>
  <si>
    <t>1313,2023-09-12,2023,9,3,Shoes,Fashion,Delhi,New,Card,1,3721,3721</t>
  </si>
  <si>
    <t>1314,2024-10-20,2024,10,4,Watch,Other,Pune,Premimum,UPI,2,12930,25860</t>
  </si>
  <si>
    <t>1314,2024-09-26,2024,9,3,Watch,Other,Pune,Premimum,UPI,2,12930,25860</t>
  </si>
  <si>
    <t>1314,2022-05-03,2022,5,2,Watch,Other,Pune,Premimum,UPI,2,12930,25860</t>
  </si>
  <si>
    <t>1314,2022-08-24,2022,8,3,Watch,Other,Pune,Premimum,UPI,2,12930,25860</t>
  </si>
  <si>
    <t>1314,2022-04-18,2022,4,2,Watch,Other,Pune,Premimum,UPI,2,12930,25860</t>
  </si>
  <si>
    <t>1314,2024-08-24,2024,8,3,Watch,Other,Pune,Premimum,UPI,2,12930,25860</t>
  </si>
  <si>
    <t>1314,2024-05-08,2024,5,2,Watch,Other,Pune,Premimum,UPI,2,12930,25860</t>
  </si>
  <si>
    <t>1315,2023-05-08,2023,5,2,Mobile Case,Other,Pune,Returning,Card,4,707,2828</t>
  </si>
  <si>
    <t>1315,2023-09-24,2023,9,3,Mobile Case,Other,Pune,Returning,Card,4,707,2828</t>
  </si>
  <si>
    <t>1316,2022-03-31,2022,3,1,Tablet,Electronics,Hyderabad,Returning,Card,2,36907,73814</t>
  </si>
  <si>
    <t>1316,2023-02-13,2023,2,1,Tablet,Electronics,Hyderabad,Returning,Card,2,36907,73814</t>
  </si>
  <si>
    <t>1316,2024-04-22,2024,4,2,Tablet,Electronics,Hyderabad,Returning,Card,2,36907,73814</t>
  </si>
  <si>
    <t>1316,2024-06-15,2024,6,2,Tablet,Electronics,Hyderabad,Returning,Card,2,36907,73814</t>
  </si>
  <si>
    <t>1316,2024-04-03,2024,4,2,Tablet,Electronics,Hyderabad,Returning,Card,2,36907,73814</t>
  </si>
  <si>
    <t>1317,2024-11-30,2024,11,4,Book,Books,Delhi,New,COD,1,942,942</t>
  </si>
  <si>
    <t>1317,2022-01-19,2022,1,1,Book,Books,Delhi,New,COD,1,942,942</t>
  </si>
  <si>
    <t>1318,2022-08-06,2022,8,3,Backpack,Fashion,Bangalore,Premimum,UPI,3,826,2478</t>
  </si>
  <si>
    <t>1318,2024-07-23,2024,7,3,Backpack,Fashion,Bangalore,Premimum,UPI,3,826,2478</t>
  </si>
  <si>
    <t>1319,2023-10-24,2023,10,4,Smartwatch,Electronics,Hyderabad,Returning,Card,1,3941,3941</t>
  </si>
  <si>
    <t>1319,2024-05-19,2024,5,2,Smartwatch,Electronics,Hyderabad,Returning,Card,1,3941,3941</t>
  </si>
  <si>
    <t>1319,2022-11-06,2022,11,4,Smartwatch,Electronics,Hyderabad,Returning,Card,1,3941,3941</t>
  </si>
  <si>
    <t>1319,2022-08-09,2022,8,3,Smartwatch,Electronics,Hyderabad,Returning,Card,1,3941,3941</t>
  </si>
  <si>
    <t>1320,2022-11-12,2022,11,4,Water Bottle,Other,Chennai,New,Card,2,476,952</t>
  </si>
  <si>
    <t>1320,2022-08-13,2022,8,3,Water Bottle,Other,Chennai,New,Card,2,476,952</t>
  </si>
  <si>
    <t>1320,2023-10-28,2023,10,4,Water Bottle,Other,Chennai,New,Card,2,476,952</t>
  </si>
  <si>
    <t>1322,2022-04-17,2022,4,2,Headphones,Electronics,Mumbai,Returning,UPI,1,4084,4084</t>
  </si>
  <si>
    <t>1322,2024-06-21,2024,6,2,Headphones,Electronics,Mumbai,Returning,UPI,1,4084,4084</t>
  </si>
  <si>
    <t>1322,2023-01-19,2023,1,1,Headphones,Electronics,Mumbai,Returning,UPI,1,4084,4084</t>
  </si>
  <si>
    <t>1323,2022-09-29,2022,9,3,Shoes,Fashion,Pune,Returning,UPI,3,3098,9294</t>
  </si>
  <si>
    <t>1324,2022-07-06,2022,7,3,Watch,Other,Bangalore,Premimum,COD,5,18226,91130</t>
  </si>
  <si>
    <t>1324,2022-05-10,2022,5,2,Watch,Other,Bangalore,Premimum,COD,5,18226,91130</t>
  </si>
  <si>
    <t>1324,2023-08-31,2023,8,3,Watch,Other,Bangalore,Premimum,COD,5,18226,91130</t>
  </si>
  <si>
    <t>1324,2023-04-12,2023,4,2,Watch,Other,Bangalore,Premimum,COD,5,18226,91130</t>
  </si>
  <si>
    <t>1325,2024-01-30,2024,1,1,Mobile Case,Other,Chennai,Returning,COD,5,298,1490</t>
  </si>
  <si>
    <t>1325,2024-10-17,2024,10,4,Mobile Case,Other,Chennai,Returning,COD,5,298,1490</t>
  </si>
  <si>
    <t>1325,2023-05-22,2023,5,2,Mobile Case,Other,Chennai,Returning,COD,5,298,1490</t>
  </si>
  <si>
    <t>1325,2024-07-27,2024,7,3,Mobile Case,Other,Chennai,Returning,COD,5,298,1490</t>
  </si>
  <si>
    <t>1326,2023-05-24,2023,5,2,Tablet,Electronics,Hyderabad,New,COD,2,12992,25984</t>
  </si>
  <si>
    <t>1326,2022-08-12,2022,8,3,Tablet,Electronics,Hyderabad,New,COD,2,12992,25984</t>
  </si>
  <si>
    <t>1327,2023-06-04,2023,6,2,Book,Books,Delhi,New,COD,5,984,4920</t>
  </si>
  <si>
    <t>1327,2022-02-09,2022,2,1,Book,Books,Delhi,New,COD,5,984,4920</t>
  </si>
  <si>
    <t>1327,2024-10-04,2024,10,4,Book,Books,Delhi,New,COD,5,984,4920</t>
  </si>
  <si>
    <t>1327,2023-10-30,2023,10,4,Book,Books,Delhi,New,COD,5,984,4920</t>
  </si>
  <si>
    <t>1327,2022-03-19,2022,3,1,Book,Books,Delhi,New,COD,5,984,4920</t>
  </si>
  <si>
    <t>1327,2024-02-15,2024,2,1,Book,Books,Delhi,New,COD,5,984,4920</t>
  </si>
  <si>
    <t>1328,2024-08-17,2024,8,3,Backpack,Fashion,Chennai,Premimum,Card,5,1432,7160</t>
  </si>
  <si>
    <t>1328,2022-09-23,2022,9,3,Backpack,Fashion,Chennai,Premimum,Card,5,1432,7160</t>
  </si>
  <si>
    <t>1328,2023-10-21,2023,10,4,Backpack,Fashion,Chennai,Premimum,Card,5,1432,7160</t>
  </si>
  <si>
    <t>1328,2024-01-03,2024,1,1,Backpack,Fashion,Chennai,Premimum,Card,5,1432,7160</t>
  </si>
  <si>
    <t>1328,2024-07-07,2024,7,3,Backpack,Fashion,Chennai,Premimum,Card,5,1432,7160</t>
  </si>
  <si>
    <t>1329,2023-05-06,2023,5,2,Smartwatch,Electronics,Hyderabad,New,COD,2,12324,24648</t>
  </si>
  <si>
    <t>1329,2023-10-15,2023,10,4,Smartwatch,Electronics,Hyderabad,New,COD,2,12324,24648</t>
  </si>
  <si>
    <t>1330,2024-06-16,2024,6,2,Water Bottle,Other,Mumbai,Returning,COD,4,705,2820</t>
  </si>
  <si>
    <t>1330,2023-10-23,2023,10,4,Water Bottle,Other,Mumbai,Returning,COD,4,705,2820</t>
  </si>
  <si>
    <t>1330,2022-07-20,2022,7,3,Water Bottle,Other,Mumbai,Returning,COD,4,705,2820</t>
  </si>
  <si>
    <t>1330,2024-02-16,2024,2,1,Water Bottle,Other,Mumbai,Returning,COD,4,705,2820</t>
  </si>
  <si>
    <t>1330,2023-04-02,2023,4,2,Water Bottle,Other,Mumbai,Returning,COD,4,705,2820</t>
  </si>
  <si>
    <t>1331,2024-01-30,2024,1,1,Laptop,Electronics,Bangalore,New,COD,2,66703,133406</t>
  </si>
  <si>
    <t>1331,2023-07-06,2023,7,3,Laptop,Electronics,Bangalore,New,COD,2,66703,133406</t>
  </si>
  <si>
    <t>1331,2022-10-07,2022,10,4,Laptop,Electronics,Bangalore,New,COD,2,66703,133406</t>
  </si>
  <si>
    <t>1332,2022-05-25,2022,5,2,Headphones,Electronics,Mumbai,Returning,UPI,1,2242,2242</t>
  </si>
  <si>
    <t>1332,2024-01-06,2024,1,1,Headphones,Electronics,Mumbai,Returning,UPI,1,2242,2242</t>
  </si>
  <si>
    <t>1333,2023-03-11,2023,3,1,Shoes,Fashion,Pune,Returning,Card,3,3095,9285</t>
  </si>
  <si>
    <t>1333,2024-10-07,2024,10,4,Shoes,Fashion,Pune,Returning,Card,3,3095,9285</t>
  </si>
  <si>
    <t>1334,2022-12-19,2022,12,4,Watch,Other,Delhi,Returning,Card,3,4016,12048</t>
  </si>
  <si>
    <t>1335,2023-03-15,2023,3,1,Mobile Case,Other,Delhi,New,Card,4,258,1032</t>
  </si>
  <si>
    <t>1335,2024-03-14,2024,3,1,Mobile Case,Other,Delhi,New,Card,4,258,1032</t>
  </si>
  <si>
    <t>1335,2022-12-01,2022,12,4,Mobile Case,Other,Delhi,New,Card,4,258,1032</t>
  </si>
  <si>
    <t>1335,2022-10-12,2022,10,4,Mobile Case,Other,Delhi,New,Card,4,258,1032</t>
  </si>
  <si>
    <t>1335,2023-07-28,2023,7,3,Mobile Case,Other,Delhi,New,Card,4,258,1032</t>
  </si>
  <si>
    <t>1336,2023-06-18,2023,6,2,Tablet,Electronics,Mumbai,New,COD,1,38061,38061</t>
  </si>
  <si>
    <t>1336,2022-11-25,2022,11,4,Tablet,Electronics,Mumbai,New,COD,1,38061,38061</t>
  </si>
  <si>
    <t>1336,2022-04-10,2022,4,2,Tablet,Electronics,Mumbai,New,COD,1,38061,38061</t>
  </si>
  <si>
    <t>1337,2023-09-03,2023,9,3,Book,Books,Delhi,New,UPI,2,366,732</t>
  </si>
  <si>
    <t>1337,2022-04-30,2022,4,2,Book,Books,Delhi,New,UPI,2,366,732</t>
  </si>
  <si>
    <t>1337,2024-01-18,2024,1,1,Book,Books,Delhi,New,UPI,2,366,732</t>
  </si>
  <si>
    <t>1337,2023-11-02,2023,11,4,Book,Books,Delhi,New,UPI,2,366,732</t>
  </si>
  <si>
    <t>1338,2023-10-14,2023,10,4,Backpack,Fashion,Delhi,Returning,Card,1,1827,1827</t>
  </si>
  <si>
    <t>1338,2023-02-10,2023,2,1,Backpack,Fashion,Delhi,Returning,Card,1,1827,1827</t>
  </si>
  <si>
    <t>1338,2023-02-13,2023,2,1,Backpack,Fashion,Delhi,Returning,Card,1,1827,1827</t>
  </si>
  <si>
    <t>1339,2022-08-28,2022,8,3,Smartwatch,Electronics,Hyderabad,Premimum,UPI,1,6196,6196</t>
  </si>
  <si>
    <t>1339,2024-10-10,2024,10,4,Smartwatch,Electronics,Hyderabad,Premimum,UPI,1,6196,6196</t>
  </si>
  <si>
    <t>1341,2023-11-23,2023,11,4,Laptop,Electronics,Mumbai,Returning,UPI,2,57783,115566</t>
  </si>
  <si>
    <t>1341,2022-09-05,2022,9,3,Laptop,Electronics,Mumbai,Returning,UPI,2,57783,115566</t>
  </si>
  <si>
    <t>1341,2024-10-01,2024,10,4,Laptop,Electronics,Mumbai,Returning,UPI,2,57783,115566</t>
  </si>
  <si>
    <t>1001,2025-01-02,2025,1,1,Laptop,Electronics,Chennai,Premimum,Card,2,50353,100706</t>
  </si>
  <si>
    <t>1002,2025-01-03,2025,1,1,Headphones,Electronics,Delhi,New,UPI,2,2008,4016</t>
  </si>
  <si>
    <t>1003,2025-01-04,2025,1,1,Shoes,Fashion,Chennai,New,UPI,1,4736,4736</t>
  </si>
  <si>
    <t>1004,2025-01-05,2025,1,1,Watch,Other,Pune,Premimum,Card,2,10072,20144</t>
  </si>
  <si>
    <t>1005,2025-01-06,2025,1,1,Mobile Case,Other,Pune,New,UPI,2,920,1840</t>
  </si>
  <si>
    <t>1006,2025-01-07,2025,1,1,Tablet,Electronics,Delhi,Returning,COD,1,13225,13225</t>
  </si>
  <si>
    <t>1007,2025-01-08,2025,1,1,Book,Books,Hyderabad,Premimum,UPI,3,621,1863</t>
  </si>
  <si>
    <t>1008,2025-01-09,2025,1,1,Backpack,Fashion,Bangalore,New,COD,2,905,1810</t>
  </si>
  <si>
    <t>1009,2025-01-10,2025,1,1,Smartwatch,Electronics,Hyderabad,Returning,Card,1,8563,8563</t>
  </si>
  <si>
    <t>1010,2025-01-11,2025,1,1,Water Bottle,Other,Chennai,New,UPI,1,268,268</t>
  </si>
  <si>
    <t>1011,2025-01-12,2025,1,1,Laptop,Electronics,Hyderabad,Returning,Card,2,54018,108036</t>
  </si>
  <si>
    <t>1012,2025-01-13,2025,1,1,Headphones,Electronics,Delhi,Returning,UPI,3,4762,14286</t>
  </si>
  <si>
    <t>1013,2025-01-14,2025,1,1,Shoes,Fashion,Pune,Returning,COD,2,4880,9760</t>
  </si>
  <si>
    <t>1014,2025-01-15,2025,1,1,Watch,Other,Chennai,Returning,Card,1,8508,8508</t>
  </si>
  <si>
    <t>1015,2025-01-16,2025,1,1,Mobile Case,Other,Chennai,New,UPI,4,119,476</t>
  </si>
  <si>
    <t>1016,2025-01-17,2025,1,1,Tablet,Electronics,Mumbai,New,COD,1,37589,37589</t>
  </si>
  <si>
    <t>1017,2025-01-18,2025,1,1,Book,Books,Delhi,Premimum,UPI,1,781,781</t>
  </si>
  <si>
    <t>1018,2025-01-19,2025,1,1,Backpack,Fashion,Mumbai,Premimum,UPI,5,809,4045</t>
  </si>
  <si>
    <t>1019,2025-01-20,2025,1,1,Smartwatch,Electronics,Pune,Premimum,UPI,2,4129,8258</t>
  </si>
  <si>
    <t>1020,2025-01-21,2025,1,1,Water Bottle,Other,Delhi,Returning,COD,4,168,672</t>
  </si>
  <si>
    <t>1021,2025-01-22,2025,1,1,Laptop,Electronics,Pune,Premimum,COD,2,68516,137032</t>
  </si>
  <si>
    <t>1022,2025-01-23,2025,1,1,Headphones,Electronics,Mumbai,New,Card,1,3985,3985</t>
  </si>
  <si>
    <t>1023,2025-01-24,2025,1,1,Shoes,Fashion,Mumbai,Returning,UPI,1,2380,2380</t>
  </si>
  <si>
    <t>1024,2025-01-25,2025,1,1,Watch,Other,Bangalore,New,UPI,3,13522,40566</t>
  </si>
  <si>
    <t>1025,2025-01-26,2025,1,1,Mobile Case,Other,Pune,Premimum,COD,1,340,340</t>
  </si>
  <si>
    <t>1026,2025-01-27,2025,1,1,Tablet,Electronics,Bangalore,Returning,UPI,1,34153,34153</t>
  </si>
  <si>
    <t>1027,2025-01-28,2025,1,1,Book,Books,Delhi,Returning,UPI,1,884,884</t>
  </si>
  <si>
    <t>1028,2025-01-29,2025,1,1,Backpack,Fashion,Pune,New,COD,1,1961,1961</t>
  </si>
  <si>
    <t>1029,2025-01-30,2025,1,1,Smartwatch,Electronics,Pune,Premimum,UPI,1,7608,7608</t>
  </si>
  <si>
    <t>1030,2025-01-31,2025,1,1,Water Bottle,Other,Hyderabad,Premimum,COD,5,126,630</t>
  </si>
  <si>
    <t>1031,2025-02-01,2025,2,1,Laptop,Electronics,Hyderabad,New,COD,1,68088,68088</t>
  </si>
  <si>
    <t>1032,2025-02-02,2025,2,1,Headphones,Electronics,Delhi,New,UPI,3,2723,8169</t>
  </si>
  <si>
    <t>1033,2025-02-03,2025,2,1,Shoes,Fashion,Mumbai,New,COD,1,4157,4157</t>
  </si>
  <si>
    <t>1034,2025-02-04,2025,2,1,Watch,Other,Pune,Returning,UPI,3,3589,10767</t>
  </si>
  <si>
    <t>1035,2025-02-05,2025,2,1,Mobile Case,Other,Delhi,Returning,UPI,3,414,1242</t>
  </si>
  <si>
    <t>1036,2025-02-06,2025,2,1,Tablet,Electronics,Bangalore,Returning,Card,2,15134,30268</t>
  </si>
  <si>
    <t>1037,2025-02-07,2025,2,1,Book,Books,Hyderabad,Returning,Card,5,605,3025</t>
  </si>
  <si>
    <t>1038,2025-02-08,2025,2,1,Backpack,Fashion,Delhi,Returning,Card,3,1857,5571</t>
  </si>
  <si>
    <t>1039,2025-02-09,2025,2,1,Smartwatch,Electronics,Chennai,Returning,COD,1,5190,5190</t>
  </si>
  <si>
    <t>1040,2025-02-10,2025,2,1,Water Bottle,Other,Bangalore,Premimum,COD,4,338,1352</t>
  </si>
  <si>
    <t>1041,2025-02-11,2025,2,1,Laptop,Electronics,Hyderabad,New,COD,1,52555,52555</t>
  </si>
  <si>
    <t>1042,2025-02-12,2025,2,1,Headphones,Electronics,Delhi,Returning,UPI,1,2478,2478</t>
  </si>
  <si>
    <t>1043,2025-02-13,2025,2,1,Shoes,Fashion,Chennai,Returning,COD,2,4368,8736</t>
  </si>
  <si>
    <t>1044,2025-02-14,2025,2,1,Watch,Other,Pune,Returning,UPI,5,4294,21470</t>
  </si>
  <si>
    <t>1045,2025-02-15,2025,2,1,Mobile Case,Other,Chennai,Premimum,Card,5,877,4385</t>
  </si>
  <si>
    <t>1046,2025-02-16,2025,2,1,Tablet,Electronics,Hyderabad,Premimum,UPI,2,35059,70118</t>
  </si>
  <si>
    <t>1047,2025-02-17,2025,2,1,Book,Books,Chennai,New,UPI,3,935,2805</t>
  </si>
  <si>
    <t>1048,2025-02-18,2025,2,1,Backpack,Fashion,Chennai,New,Card,1,1978,1978</t>
  </si>
  <si>
    <t>1049,2025-02-19,2025,2,1,Smartwatch,Electronics,Mumbai,Premimum,Card,2,14326,28652</t>
  </si>
  <si>
    <t>1050,2025-02-20,2025,2,1,Water Bottle,Other,Mumbai,New,Card,3,100,300</t>
  </si>
  <si>
    <t>1051,2025-02-21,2025,2,1,Laptop,Electronics,Chennai,New,COD,2,54846,109692</t>
  </si>
  <si>
    <t>1052,2025-02-22,2025,2,1,Headphones,Electronics,Chennai,New,Card,3,4855,14565</t>
  </si>
  <si>
    <t>1053,2025-02-23,2025,2,1,Shoes,Fashion,Hyderabad,Premimum,UPI,3,1718,5154</t>
  </si>
  <si>
    <t>1054,2025-02-24,2025,2,1,Watch,Other,Pune,New,COD,5,17415,87075</t>
  </si>
  <si>
    <t>1055,2025-02-25,2025,2,1,Mobile Case,Other,Mumbai,New,UPI,3,661,1983</t>
  </si>
  <si>
    <t>1056,2025-02-26,2025,2,1,Tablet,Electronics,Pune,Returning,Card,2,30075,60150</t>
  </si>
  <si>
    <t>1057,2025-02-27,2025,2,1,Book,Books,Hyderabad,Premimum,Card,3,387,1161</t>
  </si>
  <si>
    <t>1058,2025-02-28,2025,2,1,Backpack,Fashion,Mumbai,New,UPI,5,1084,5420</t>
  </si>
  <si>
    <t>1059,2025-03-01,2025,3,1,Smartwatch,Electronics,Mumbai,New,Card,1,11559,11559</t>
  </si>
  <si>
    <t>1060,2025-03-02,2025,3,1,Water Bottle,Other,Delhi,Premimum,UPI,5,717,3585</t>
  </si>
  <si>
    <t>1061,2025-03-03,2025,3,1,Laptop,Electronics,Pune,Returning,COD,2,51590,103180</t>
  </si>
  <si>
    <t>1062,2025-03-04,2025,3,1,Headphones,Electronics,Bangalore,New,UPI,2,2555,5110</t>
  </si>
  <si>
    <t>1063,2025-03-05,2025,3,1,Shoes,Fashion,Pune,New,COD,3,3601,10803</t>
  </si>
  <si>
    <t>1064,2025-03-06,2025,3,1,Watch,Other,Chennai,Premimum,UPI,5,9924,49620</t>
  </si>
  <si>
    <t>1065,2025-03-07,2025,3,1,Mobile Case,Other,Delhi,Returning,COD,5,511,2555</t>
  </si>
  <si>
    <t>1066,2025-03-08,2025,3,1,Tablet,Electronics,Delhi,New,COD,1,29247,29247</t>
  </si>
  <si>
    <t>1067,2025-03-09,2025,3,1,Book,Books,Pune,Premimum,UPI,4,699,2796</t>
  </si>
  <si>
    <t>1068,2025-03-10,2025,3,1,Backpack,Fashion,Hyderabad,Returning,COD,5,566,2830</t>
  </si>
  <si>
    <t>1069,2025-03-11,2025,3,1,Smartwatch,Electronics,Bangalore,Premimum,UPI,1,5629,5629</t>
  </si>
  <si>
    <t>1070,2025-03-12,2025,3,1,Water Bottle,Other,Delhi,Returning,Card,3,579,1737</t>
  </si>
  <si>
    <t>1071,2025-03-13,2025,3,1,Laptop,Electronics,Pune,New,Card,2,58940,117880</t>
  </si>
  <si>
    <t>1072,2025-03-14,2025,3,1,Headphones,Electronics,Pune,New,UPI,1,3615,3615</t>
  </si>
  <si>
    <t>1073,2025-03-15,2025,3,1,Shoes,Fashion,Delhi,Premimum,COD,3,3472,10416</t>
  </si>
  <si>
    <t>1074,2025-03-16,2025,3,1,Watch,Other,Delhi,Returning,Card,1,2976,2976</t>
  </si>
  <si>
    <t>1075,2025-03-17,2025,3,1,Mobile Case,Other,Bangalore,Premimum,Card,3,359,1077</t>
  </si>
  <si>
    <t>1076,2025-03-18,2025,3,1,Tablet,Electronics,Bangalore,New,COD,1,20775,20775</t>
  </si>
  <si>
    <t>1077,2025-03-19,2025,3,1,Book,Books,Delhi,New,Card,4,920,3680</t>
  </si>
  <si>
    <t>1078,2025-03-20,2025,3,1,Backpack,Fashion,Pune,Premimum,UPI,2,907,1814</t>
  </si>
  <si>
    <t>1079,2025-03-21,2025,3,1,Smartwatch,Electronics,Pune,Returning,COD,1,13388,13388</t>
  </si>
  <si>
    <t>1080,2025-03-22,2025,3,1,Water Bottle,Other,Hyderabad,New,UPI,2,372,744</t>
  </si>
  <si>
    <t>1081,2025-03-23,2025,3,1,Laptop,Electronics,Delhi,Premimum,COD,1,44531,44531</t>
  </si>
  <si>
    <t>1082,2025-03-24,2025,3,1,Headphones,Electronics,Hyderabad,Premimum,Card,2,1963,3926</t>
  </si>
  <si>
    <t>1083,2025-03-25,2025,3,1,Shoes,Fashion,Pune,New,Card,1,2483,2483</t>
  </si>
  <si>
    <t>1084,2025-03-26,2025,3,1,Watch,Other,Mumbai,New,COD,5,18677,93385</t>
  </si>
  <si>
    <t>1085,2025-03-27,2025,3,1,Mobile Case,Other,Pune,New,Card,1,583,583</t>
  </si>
  <si>
    <t>1086,2025-03-28,2025,3,1,Tablet,Electronics,Pune,Returning,Card,1,34775,34775</t>
  </si>
  <si>
    <t>1087,2025-03-29,2025,3,1,Book,Books,Pune,New,Card,3,635,1905</t>
  </si>
  <si>
    <t>1088,2025-03-30,2025,3,1,Backpack,Fashion,Pune,Returning,COD,5,527,2635</t>
  </si>
  <si>
    <t>1089,2025-03-31,2025,3,1,Smartwatch,Electronics,Mumbai,Returning,COD,2,3327,6654</t>
  </si>
  <si>
    <t>1090,2025-04-01,2025,4,2,Water Bottle,Other,Hyderabad,New,UPI,1,383,383</t>
  </si>
  <si>
    <t>1091,2025-04-02,2025,4,2,Laptop,Electronics,Chennai,Premimum,UPI,1,61156,61156</t>
  </si>
  <si>
    <t>1092,2025-04-03,2025,4,2,Headphones,Electronics,Delhi,Returning,COD,1,3607,3607</t>
  </si>
  <si>
    <t>1093,2025-04-04,2025,4,2,Shoes,Fashion,Pune,Premimum,COD,3,3055,9165</t>
  </si>
  <si>
    <t>1094,2025-04-05,2025,4,2,Watch,Other,Pune,New,COD,4,18106,72424</t>
  </si>
  <si>
    <t>1095,2025-04-06,2025,4,2,Mobile Case,Other,Delhi,Premimum,UPI,5,103,515</t>
  </si>
  <si>
    <t>1096,2025-04-07,2025,4,2,Tablet,Electronics,Pune,Returning,Card,1,13217,13217</t>
  </si>
  <si>
    <t>1097,2025-04-08,2025,4,2,Book,Books,Hyderabad,Premimum,COD,2,511,1022</t>
  </si>
  <si>
    <t>1098,2025-04-09,2025,4,2,Backpack,Fashion,Mumbai,Premimum,UPI,2,513,1026</t>
  </si>
  <si>
    <t>1099,2025-04-10,2025,4,2,Smartwatch,Electronics,Chennai,Premimum,UPI,2,6283,12566</t>
  </si>
  <si>
    <t>1100,2025-04-11,2025,4,2,Water Bottle,Other,Delhi,Premimum,COD,4,552,2208</t>
  </si>
  <si>
    <t>1101,2025-04-12,2025,4,2,Laptop,Electronics,Chennai,Returning,Card,1,56441,56441</t>
  </si>
  <si>
    <t>1102,2025-04-13,2025,4,2,Headphones,Electronics,Hyderabad,Premimum,UPI,2,4833,9666</t>
  </si>
  <si>
    <t>1103,2025-04-14,2025,4,2,Shoes,Fashion,Hyderabad,Premimum,Card,1,1314,1314</t>
  </si>
  <si>
    <t>1104,2025-04-15,2025,4,2,Watch,Other,Chennai,New,COD,1,5201,5201</t>
  </si>
  <si>
    <t>1105,2025-04-16,2025,4,2,Mobile Case,Other,Chennai,New,Card,2,469,938</t>
  </si>
  <si>
    <t>1106,2025-04-17,2025,4,2,Tablet,Electronics,Pune,New,UPI,2,24448,48896</t>
  </si>
  <si>
    <t>1107,2025-04-18,2025,4,2,Book,Books,Mumbai,New,UPI,3,378,1134</t>
  </si>
  <si>
    <t>1108,2025-04-19,2025,4,2,Backpack,Fashion,Mumbai,New,UPI,1,1310,1310</t>
  </si>
  <si>
    <t>1109,2025-04-20,2025,4,2,Smartwatch,Electronics,Mumbai,Returning,COD,1,5590,5590</t>
  </si>
  <si>
    <t>1110,2025-04-21,2025,4,2,Water Bottle,Other,Delhi,Premimum,COD,3,405,1215</t>
  </si>
  <si>
    <t>1111,2025-04-22,2025,4,2,Laptop,Electronics,Bangalore,Premimum,COD,1,51984,51984</t>
  </si>
  <si>
    <t>1112,2025-04-23,2025,4,2,Headphones,Electronics,Chennai,Returning,COD,3,2766,8298</t>
  </si>
  <si>
    <t>1113,2025-04-24,2025,4,2,Shoes,Fashion,Mumbai,Premimum,UPI,3,2625,7875</t>
  </si>
  <si>
    <t>1114,2025-04-25,2025,4,2,Watch,Other,Pune,Returning,UPI,2,2573,5146</t>
  </si>
  <si>
    <t>1115,2025-04-26,2025,4,2,Mobile Case,Other,Delhi,Premimum,COD,2,798,1596</t>
  </si>
  <si>
    <t>1116,2025-04-27,2025,4,2,Tablet,Electronics,Mumbai,Premimum,Card,2,31517,63034</t>
  </si>
  <si>
    <t>1117,2025-04-28,2025,4,2,Book,Books,Chennai,Returning,UPI,1,343,343</t>
  </si>
  <si>
    <t>1118,2025-04-29,2025,4,2,Backpack,Fashion,Chennai,Returning,COD,3,1021,3063</t>
  </si>
  <si>
    <t>1119,2025-04-30,2025,4,2,Smartwatch,Electronics,Mumbai,Premimum,Card,1,8543,8543</t>
  </si>
  <si>
    <t>1120,2025-05-01,2025,5,2,Water Bottle,Other,Delhi,Returning,Card,2,235,470</t>
  </si>
  <si>
    <t>1121,2025-05-02,2025,5,2,Laptop,Electronics,Delhi,Premimum,COD,1,51840,51840</t>
  </si>
  <si>
    <t>1122,2025-05-03,2025,5,2,Headphones,Electronics,Chennai,Premimum,COD,2,4435,8870</t>
  </si>
  <si>
    <t>1123,2025-05-04,2025,5,2,Shoes,Fashion,Chennai,Premimum,Card,3,2138,6414</t>
  </si>
  <si>
    <t>1124,2025-05-05,2025,5,2,Watch,Other,Hyderabad,Premimum,Card,5,5434,27170</t>
  </si>
  <si>
    <t>1125,2025-05-06,2025,5,2,Mobile Case,Other,Chennai,Premimum,UPI,1,961,961</t>
  </si>
  <si>
    <t>1126,2025-05-07,2025,5,2,Tablet,Electronics,Pune,New,Card,2,28891,57782</t>
  </si>
  <si>
    <t>1127,2025-05-08,2025,5,2,Book,Books,Mumbai,Premimum,COD,3,433,1299</t>
  </si>
  <si>
    <t>1128,2025-05-09,2025,5,2,Backpack,Fashion,Mumbai,Premimum,COD,2,912,1824</t>
  </si>
  <si>
    <t>1129,2025-05-10,2025,5,2,Smartwatch,Electronics,Chennai,New,Card,2,12792,25584</t>
  </si>
  <si>
    <t>1130,2025-05-11,2025,5,2,Water Bottle,Other,Bangalore,New,COD,3,150,450</t>
  </si>
  <si>
    <t>1131,2025-05-12,2025,5,2,Laptop,Electronics,Hyderabad,New,Card,1,61259,61259</t>
  </si>
  <si>
    <t>1132,2025-05-13,2025,5,2,Headphones,Electronics,Chennai,Premimum,Card,1,2998,2998</t>
  </si>
  <si>
    <t>1133,2025-05-14,2025,5,2,Shoes,Fashion,Hyderabad,New,UPI,3,1682,5046</t>
  </si>
  <si>
    <t>1134,2025-05-15,2025,5,2,Watch,Other,Chennai,Premimum,UPI,1,12576,12576</t>
  </si>
  <si>
    <t>1135,2025-05-16,2025,5,2,Mobile Case,Other,Mumbai,Returning,COD,1,740,740</t>
  </si>
  <si>
    <t>1136,2025-05-17,2025,5,2,Tablet,Electronics,Hyderabad,New,UPI,2,38690,77380</t>
  </si>
  <si>
    <t>1137,2025-05-18,2025,5,2,Book,Books,Mumbai,Returning,Card,1,309,309</t>
  </si>
  <si>
    <t>1138,2025-05-19,2025,5,2,Backpack,Fashion,Hyderabad,Returning,UPI,3,1670,5010</t>
  </si>
  <si>
    <t>1139,2025-05-20,2025,5,2,Smartwatch,Electronics,Pune,Premimum,Card,1,13908,13908</t>
  </si>
  <si>
    <t>1140,2025-05-21,2025,5,2,Water Bottle,Other,Pune,New,COD,1,619,619</t>
  </si>
  <si>
    <t>1141,2025-05-22,2025,5,2,Laptop,Electronics,Delhi,Premimum,COD,1,58661,58661</t>
  </si>
  <si>
    <t>1142,2025-05-23,2025,5,2,Headphones,Electronics,Pune,New,COD,3,3441,10323</t>
  </si>
  <si>
    <t>1143,2025-05-24,2025,5,2,Shoes,Fashion,Delhi,New,Card,2,4503,9006</t>
  </si>
  <si>
    <t>1144,2025-05-25,2025,5,2,Watch,Other,Chennai,Returning,UPI,5,10835,54175</t>
  </si>
  <si>
    <t>1145,2025-05-26,2025,5,2,Mobile Case,Other,Pune,Returning,UPI,2,334,668</t>
  </si>
  <si>
    <t>1146,2025-05-27,2025,5,2,Tablet,Electronics,Delhi,Premimum,COD,2,14992,29984</t>
  </si>
  <si>
    <t>1147,2025-05-28,2025,5,2,Book,Books,Delhi,New,Card,3,385,1155</t>
  </si>
  <si>
    <t>1148,2025-05-29,2025,5,2,Backpack,Fashion,Mumbai,Returning,UPI,1,1196,1196</t>
  </si>
  <si>
    <t>1149,2025-05-30,2025,5,2,Smartwatch,Electronics,Bangalore,Returning,Card,2,4766,9532</t>
  </si>
  <si>
    <t>1150,2025-05-31,2025,5,2,Water Bottle,Other,Chennai,Premimum,COD,4,317,1268</t>
  </si>
  <si>
    <t>1151,2025-06-01,2025,6,2,Laptop,Electronics,Delhi,Returning,UPI,2,59735,119470</t>
  </si>
  <si>
    <t>1152,2025-06-02,2025,6,2,Headphones,Electronics,Pune,New,UPI,2,3950,7900</t>
  </si>
  <si>
    <t>1153,2025-06-03,2025,6,2,Shoes,Fashion,Chennai,New,UPI,2,3263,6526</t>
  </si>
  <si>
    <t>1154,2025-06-04,2025,6,2,Watch,Other,Delhi,New,COD,4,8514,34056</t>
  </si>
  <si>
    <t>1155,2025-06-05,2025,6,2,Mobile Case,Other,Bangalore,Premimum,COD,2,172,344</t>
  </si>
  <si>
    <t>1156,2025-06-06,2025,6,2,Tablet,Electronics,Bangalore,New,UPI,1,21077,21077</t>
  </si>
  <si>
    <t>1157,2025-06-07,2025,6,2,Book,Books,Bangalore,Returning,COD,5,747,3735</t>
  </si>
  <si>
    <t>1158,2025-06-08,2025,6,2,Backpack,Fashion,Pune,Premimum,Card,2,850,1700</t>
  </si>
  <si>
    <t>1159,2025-06-09,2025,6,2,Smartwatch,Electronics,Chennai,Premimum,Card,2,13771,27542</t>
  </si>
  <si>
    <t>1160,2025-06-10,2025,6,2,Water Bottle,Other,Bangalore,New,UPI,4,258,1032</t>
  </si>
  <si>
    <t>1161,2025-06-11,2025,6,2,Laptop,Electronics,Mumbai,New,COD,2,44856,89712</t>
  </si>
  <si>
    <t>1162,2025-06-12,2025,6,2,Headphones,Electronics,Chennai,New,COD,3,3161,9483</t>
  </si>
  <si>
    <t>1163,2025-06-13,2025,6,2,Shoes,Fashion,Chennai,Returning,COD,1,4464,4464</t>
  </si>
  <si>
    <t>1164,2025-06-14,2025,6,2,Watch,Other,Delhi,Returning,COD,1,4758,4758</t>
  </si>
  <si>
    <t>1165,2025-06-15,2025,6,2,Mobile Case,Other,Chennai,Returning,UPI,4,490,1960</t>
  </si>
  <si>
    <t>1166,2025-06-16,2025,6,2,Tablet,Electronics,Bangalore,Premimum,UPI,1,38739,38739</t>
  </si>
  <si>
    <t>1167,2025-06-17,2025,6,2,Book,Books,Chennai,New,COD,3,368,1104</t>
  </si>
  <si>
    <t>1168,2025-06-18,2025,6,2,Backpack,Fashion,Pune,New,Card,1,1931,1931</t>
  </si>
  <si>
    <t>1169,2025-06-19,2025,6,2,Smartwatch,Electronics,Mumbai,New,UPI,2,14370,28740</t>
  </si>
  <si>
    <t>1170,2025-06-20,2025,6,2,Water Bottle,Other,Chennai,Returning,COD,2,780,1560</t>
  </si>
  <si>
    <t>1171,2025-06-21,2025,6,2,Laptop,Electronics,Bangalore,Premimum,UPI,2,54865,109730</t>
  </si>
  <si>
    <t>1172,2025-06-22,2025,6,2,Headphones,Electronics,Hyderabad,Premimum,UPI,2,4481,8962</t>
  </si>
  <si>
    <t>1173,2025-06-23,2025,6,2,Shoes,Fashion,Pune,Premimum,Card,2,1972,3944</t>
  </si>
  <si>
    <t>1174,2025-06-24,2025,6,2,Watch,Other,Bangalore,Premimum,Card,1,9837,9837</t>
  </si>
  <si>
    <t>1175,2025-06-25,2025,6,2,Mobile Case,Other,Chennai,New,Card,5,857,4285</t>
  </si>
  <si>
    <t>1176,2025-06-26,2025,6,2,Tablet,Electronics,Chennai,Premimum,Card,1,20323,20323</t>
  </si>
  <si>
    <t>1177,2025-06-27,2025,6,2,Book,Books,Bangalore,New,COD,5,1000,5000</t>
  </si>
  <si>
    <t>1178,2025-06-28,2025,6,2,Backpack,Fashion,Chennai,Returning,COD,5,1359,6795</t>
  </si>
  <si>
    <t>1179,2025-06-29,2025,6,2,Smartwatch,Electronics,Pune,Returning,Card,1,14026,14026</t>
  </si>
  <si>
    <t>1180,2025-06-30,2025,6,2,Water Bottle,Other,Bangalore,New,UPI,2,685,1370</t>
  </si>
  <si>
    <t>1181,2025-07-01,2025,7,3,Laptop,Electronics,Delhi,Returning,UPI,1,54311,54311</t>
  </si>
  <si>
    <t>1182,2025-07-02,2025,7,3,Headphones,Electronics,Pune,Premimum,Card,2,1713,3426</t>
  </si>
  <si>
    <t>1183,2025-07-03,2025,7,3,Shoes,Fashion,Bangalore,Returning,UPI,2,3204,6408</t>
  </si>
  <si>
    <t>1184,2025-07-04,2025,7,3,Watch,Other,Bangalore,New,UPI,5,18542,92710</t>
  </si>
  <si>
    <t>1185,2025-07-05,2025,7,3,Mobile Case,Other,Chennai,Premimum,UPI,1,521,521</t>
  </si>
  <si>
    <t>1186,2025-07-06,2025,7,3,Tablet,Electronics,Bangalore,Premimum,UPI,1,13218,13218</t>
  </si>
  <si>
    <t>1187,2025-07-07,2025,7,3,Book,Books,Pune,New,UPI,2,248,496</t>
  </si>
  <si>
    <t>1188,2025-07-08,2025,7,3,Backpack,Fashion,Pune,Returning,COD,4,1353,5412</t>
  </si>
  <si>
    <t>1189,2025-07-09,2025,7,3,Smartwatch,Electronics,Chennai,New,COD,2,13462,26924</t>
  </si>
  <si>
    <t>1190,2025-07-10,2025,7,3,Water Bottle,Other,Bangalore,New,Card,5,404,2020</t>
  </si>
  <si>
    <t>1191,2025-07-11,2025,7,3,Laptop,Electronics,Hyderabad,New,COD,1,59800,59800</t>
  </si>
  <si>
    <t>1192,2025-07-12,2025,7,3,Headphones,Electronics,Delhi,Returning,UPI,2,2639,5278</t>
  </si>
  <si>
    <t>1193,2025-07-13,2025,7,3,Shoes,Fashion,Mumbai,Premimum,UPI,1,2167,2167</t>
  </si>
  <si>
    <t>1194,2025-07-14,2025,7,3,Watch,Other,Chennai,Returning,Card,3,8179,24537</t>
  </si>
  <si>
    <t>1195,2025-07-15,2025,7,3,Mobile Case,Other,Bangalore,Premimum,Card,1,374,374</t>
  </si>
  <si>
    <t>1196,2025-07-16,2025,7,3,Tablet,Electronics,Pune,Premimum,COD,1,36595,36595</t>
  </si>
  <si>
    <t>1197,2025-07-17,2025,7,3,Book,Books,Hyderabad,New,UPI,5,570,2850</t>
  </si>
  <si>
    <t>1198,2025-07-18,2025,7,3,Backpack,Fashion,Hyderabad,New,COD,3,1005,3015</t>
  </si>
  <si>
    <t>1199,2025-07-19,2025,7,3,Smartwatch,Electronics,Delhi,New,Card,2,14435,28870</t>
  </si>
  <si>
    <t>1200,2025-07-20,2025,7,3,Water Bottle,Other,Bangalore,Returning,Card,5,351,1755</t>
  </si>
  <si>
    <t>1201,2025-07-21,2025,7,3,Laptop,Electronics,Pune,Premimum,COD,2,60581,121162</t>
  </si>
  <si>
    <t>1202,2025-07-22,2025,7,3,Headphones,Electronics,Mumbai,Returning,COD,1,2742,2742</t>
  </si>
  <si>
    <t>1203,2025-07-23,2025,7,3,Shoes,Fashion,Hyderabad,Premimum,Card,3,3576,10728</t>
  </si>
  <si>
    <t>1204,2025-07-24,2025,7,3,Watch,Other,Chennai,New,Card,4,15524,62096</t>
  </si>
  <si>
    <t>1205,2025-07-25,2025,7,3,Mobile Case,Other,Pune,New,UPI,3,973,2919</t>
  </si>
  <si>
    <t>1206,2025-07-26,2025,7,3,Tablet,Electronics,Pune,Premimum,UPI,2,19223,38446</t>
  </si>
  <si>
    <t>1207,2025-07-27,2025,7,3,Book,Books,Mumbai,Returning,Card,3,197,591</t>
  </si>
  <si>
    <t>1208,2025-07-28,2025,7,3,Backpack,Fashion,Chennai,Returning,UPI,4,1862,7448</t>
  </si>
  <si>
    <t>1209,2025-07-29,2025,7,3,Smartwatch,Electronics,Bangalore,Returning,COD,2,7732,15464</t>
  </si>
  <si>
    <t>1210,2025-07-30,2025,7,3,Water Bottle,Other,Mumbai,Premimum,COD,3,508,1524</t>
  </si>
  <si>
    <t>1211,2025-07-31,2025,7,3,Laptop,Electronics,Pune,Premimum,COD,1,55970,55970</t>
  </si>
  <si>
    <t>1212,2025-08-01,2025,8,3,Headphones,Electronics,Hyderabad,Returning,COD,2,2129,4258</t>
  </si>
  <si>
    <t>1213,2025-08-02,2025,8,3,Shoes,Fashion,Pune,Premimum,UPI,3,2280,6840</t>
  </si>
  <si>
    <t>1214,2025-08-03,2025,8,3,Watch,Other,Delhi,Premimum,Card,1,2260,2260</t>
  </si>
  <si>
    <t>1215,2025-08-04,2025,8,3,Mobile Case,Other,Hyderabad,Premimum,UPI,4,962,3848</t>
  </si>
  <si>
    <t>1216,2025-08-05,2025,8,3,Tablet,Electronics,Bangalore,Returning,Card,2,12775,25550</t>
  </si>
  <si>
    <t>1217,2025-08-06,2025,8,3,Book,Books,Chennai,New,COD,2,685,1370</t>
  </si>
  <si>
    <t>1218,2025-08-07,2025,8,3,Backpack,Fashion,Mumbai,New,COD,4,1218,4872</t>
  </si>
  <si>
    <t>1219,2025-08-08,2025,8,3,Smartwatch,Electronics,Pune,Premimum,Card,1,4031,4031</t>
  </si>
  <si>
    <t>1220,2025-08-09,2025,8,3,Water Bottle,Other,Bangalore,Premimum,Card,2,140,280</t>
  </si>
  <si>
    <t>1221,2025-08-10,2025,8,3,Laptop,Electronics,Hyderabad,Returning,COD,2,54557,109114</t>
  </si>
  <si>
    <t>1222,2025-08-11,2025,8,3,Headphones,Electronics,Bangalore,Premimum,Card,2,1892,3784</t>
  </si>
  <si>
    <t>1223,2025-08-12,2025,8,3,Shoes,Fashion,Delhi,Premimum,COD,3,3197,9591</t>
  </si>
  <si>
    <t>1224,2025-08-13,2025,8,3,Watch,Other,Delhi,Returning,COD,5,10225,51125</t>
  </si>
  <si>
    <t>1225,2025-08-14,2025,8,3,Mobile Case,Other,Mumbai,New,UPI,2,899,1798</t>
  </si>
  <si>
    <t>1226,2025-08-15,2025,8,3,Tablet,Electronics,Mumbai,Premimum,Card,1,32743,32743</t>
  </si>
  <si>
    <t>1227,2025-08-16,2025,8,3,Book,Books,Bangalore,Returning,COD,3,736,2208</t>
  </si>
  <si>
    <t>1228,2025-08-17,2025,8,3,Backpack,Fashion,Delhi,Premimum,COD,4,1504,6016</t>
  </si>
  <si>
    <t>1229,2025-08-18,2025,8,3,Smartwatch,Electronics,Pune,Premimum,Card,2,7086,14172</t>
  </si>
  <si>
    <t>1230,2025-08-19,2025,8,3,Water Bottle,Other,Hyderabad,Returning,UPI,1,783,783</t>
  </si>
  <si>
    <t>1231,2025-08-20,2025,8,3,Laptop,Electronics,Pune,New,COD,1,67161,67161</t>
  </si>
  <si>
    <t>1232,2025-08-21,2025,8,3,Headphones,Electronics,Chennai,New,UPI,3,2774,8322</t>
  </si>
  <si>
    <t>1233,2025-08-22,2025,8,3,Shoes,Fashion,Delhi,Premimum,Card,2,1961,3922</t>
  </si>
  <si>
    <t>1234,2025-08-23,2025,8,3,Watch,Other,Hyderabad,New,Card,3,3843,11529</t>
  </si>
  <si>
    <t>1235,2025-08-24,2025,8,3,Mobile Case,Other,Mumbai,Premimum,COD,2,515,1030</t>
  </si>
  <si>
    <t>1236,2025-08-25,2025,8,3,Tablet,Electronics,Hyderabad,New,COD,2,18773,37546</t>
  </si>
  <si>
    <t>1237,2025-08-26,2025,8,3,Book,Books,Hyderabad,New,Card,2,418,836</t>
  </si>
  <si>
    <t>1238,2025-08-27,2025,8,3,Backpack,Fashion,Mumbai,Returning,Card,2,996,1992</t>
  </si>
  <si>
    <t>1239,2025-08-28,2025,8,3,Smartwatch,Electronics,Hyderabad,Premimum,UPI,2,12569,25138</t>
  </si>
  <si>
    <t>1240,2025-08-29,2025,8,3,Water Bottle,Other,Delhi,Returning,Card,3,241,723</t>
  </si>
  <si>
    <t>1241,2025-08-30,2025,8,3,Laptop,Electronics,Pune,New,UPI,1,51561,51561</t>
  </si>
  <si>
    <t>1242,2025-08-31,2025,8,3,Headphones,Electronics,Delhi,Premimum,Card,3,2846,8538</t>
  </si>
  <si>
    <t>1243,2025-09-01,2025,9,3,Shoes,Fashion,Hyderabad,Premimum,UPI,2,1792,3584</t>
  </si>
  <si>
    <t>1244,2025-09-02,2025,9,3,Watch,Other,Hyderabad,Premimum,UPI,1,17414,17414</t>
  </si>
  <si>
    <t>1245,2025-09-03,2025,9,3,Mobile Case,Other,Mumbai,New,COD,5,417,2085</t>
  </si>
  <si>
    <t>1246,2025-09-04,2025,9,3,Tablet,Electronics,Pune,Premimum,UPI,1,32293,32293</t>
  </si>
  <si>
    <t>1247,2025-09-05,2025,9,3,Book,Books,Mumbai,Returning,COD,2,750,1500</t>
  </si>
  <si>
    <t>1248,2025-09-06,2025,9,3,Backpack,Fashion,Mumbai,Premimum,COD,3,1702,5106</t>
  </si>
  <si>
    <t>1249,2025-09-07,2025,9,3,Smartwatch,Electronics,Delhi,New,Card,1,10698,10698</t>
  </si>
  <si>
    <t>1250,2025-09-08,2025,9,3,Water Bottle,Other,Delhi,Premimum,UPI,3,468,1404</t>
  </si>
  <si>
    <t>1251,2025-09-09,2025,9,3,Laptop,Electronics,Pune,New,COD,2,57310,114620</t>
  </si>
  <si>
    <t>1252,2025-09-10,2025,9,3,Headphones,Electronics,Mumbai,New,COD,1,1155,1155</t>
  </si>
  <si>
    <t>1253,2025-09-11,2025,9,3,Shoes,Fashion,Pune,New,UPI,1,3955,3955</t>
  </si>
  <si>
    <t>1254,2025-09-12,2025,9,3,Watch,Other,Pune,Returning,COD,2,11560,23120</t>
  </si>
  <si>
    <t>1255,2025-09-13,2025,9,3,Mobile Case,Other,Pune,New,UPI,3,457,1371</t>
  </si>
  <si>
    <t>1256,2025-09-14,2025,9,3,Tablet,Electronics,Mumbai,New,Card,2,22337,44674</t>
  </si>
  <si>
    <t>1257,2025-09-15,2025,9,3,Book,Books,Mumbai,Returning,COD,5,379,1895</t>
  </si>
  <si>
    <t>1258,2025-09-16,2025,9,3,Backpack,Fashion,Chennai,New,Card,5,667,3335</t>
  </si>
  <si>
    <t>1259,2025-09-17,2025,9,3,Smartwatch,Electronics,Hyderabad,New,UPI,2,13263,26526</t>
  </si>
  <si>
    <t>1260,2025-09-18,2025,9,3,Water Bottle,Other,Pune,Premimum,UPI,4,503,2012</t>
  </si>
  <si>
    <t>1261,2025-09-19,2025,9,3,Laptop,Electronics,Chennai,Premimum,Card,1,53499,53499</t>
  </si>
  <si>
    <t>1262,2025-09-20,2025,9,3,Headphones,Electronics,Bangalore,Premimum,UPI,1,3910,3910</t>
  </si>
  <si>
    <t>1263,2025-09-21,2025,9,3,Shoes,Fashion,Hyderabad,Returning,Card,1,3590,3590</t>
  </si>
  <si>
    <t>1264,2025-09-22,2025,9,3,Watch,Other,Bangalore,Returning,UPI,5,4354,21770</t>
  </si>
  <si>
    <t>1265,2025-09-23,2025,9,3,Mobile Case,Other,Chennai,Premimum,Card,1,878,878</t>
  </si>
  <si>
    <t>1266,2025-09-24,2025,9,3,Tablet,Electronics,Mumbai,Returning,COD,1,28657,28657</t>
  </si>
  <si>
    <t>1267,2025-09-25,2025,9,3,Book,Books,Delhi,Premimum,COD,1,394,394</t>
  </si>
  <si>
    <t>1268,2025-09-26,2025,9,3,Backpack,Fashion,Hyderabad,Premimum,UPI,3,1554,4662</t>
  </si>
  <si>
    <t>1269,2025-09-27,2025,9,3,Smartwatch,Electronics,Bangalore,Returning,UPI,1,4066,4066</t>
  </si>
  <si>
    <t>1270,2025-09-28,2025,9,3,Water Bottle,Other,Delhi,New,UPI,5,210,1050</t>
  </si>
  <si>
    <t>1271,2025-09-29,2025,9,3,Laptop,Electronics,Bangalore,Returning,Card,1,40792,40792</t>
  </si>
  <si>
    <t>1272,2025-09-30,2025,9,3,Headphones,Electronics,Delhi,New,Card,2,3380,6760</t>
  </si>
  <si>
    <t>1273,2025-10-01,2025,10,4,Shoes,Fashion,Hyderabad,Premimum,Card,2,1061,2122</t>
  </si>
  <si>
    <t>1274,2025-10-02,2025,10,4,Watch,Other,Hyderabad,Returning,UPI,5,9610,48050</t>
  </si>
  <si>
    <t>1275,2025-10-03,2025,10,4,Mobile Case,Other,Delhi,Returning,UPI,1,901,901</t>
  </si>
  <si>
    <t>1276,2025-10-04,2025,10,4,Tablet,Electronics,Pune,Returning,Card,2,18752,37504</t>
  </si>
  <si>
    <t>1277,2025-10-05,2025,10,4,Book,Books,Delhi,Premimum,Card,1,129,129</t>
  </si>
  <si>
    <t>1278,2025-10-06,2025,10,4,Backpack,Fashion,Hyderabad,Premimum,UPI,1,828,828</t>
  </si>
  <si>
    <t>1279,2025-10-07,2025,10,4,Smartwatch,Electronics,Bangalore,New,UPI,2,4999,9998</t>
  </si>
  <si>
    <t>1280,2025-10-08,2025,10,4,Water Bottle,Other,Pune,New,Card,4,677,2708</t>
  </si>
  <si>
    <t>1281,2025-10-09,2025,10,4,Laptop,Electronics,Hyderabad,Returning,Card,1,47291,47291</t>
  </si>
  <si>
    <t>1282,2025-10-10,2025,10,4,Headphones,Electronics,Pune,Returning,Card,3,2127,6381</t>
  </si>
  <si>
    <t>1283,2025-10-11,2025,10,4,Shoes,Fashion,Delhi,New,Card,3,2869,8607</t>
  </si>
  <si>
    <t>1284,2025-10-12,2025,10,4,Watch,Other,Bangalore,Returning,COD,3,7361,22083</t>
  </si>
  <si>
    <t>1285,2025-10-13,2025,10,4,Mobile Case,Other,Delhi,New,UPI,5,828,4140</t>
  </si>
  <si>
    <t>1286,2025-10-14,2025,10,4,Tablet,Electronics,Hyderabad,New,UPI,1,16337,16337</t>
  </si>
  <si>
    <t>1287,2025-10-15,2025,10,4,Book,Books,Chennai,Premimum,Card,3,295,885</t>
  </si>
  <si>
    <t>1288,2025-10-16,2025,10,4,Backpack,Fashion,Mumbai,Premimum,UPI,2,1486,2972</t>
  </si>
  <si>
    <t>1289,2025-10-17,2025,10,4,Smartwatch,Electronics,Mumbai,Premimum,COD,2,12872,25744</t>
  </si>
  <si>
    <t>1290,2025-10-18,2025,10,4,Water Bottle,Other,Pune,New,UPI,3,740,2220</t>
  </si>
  <si>
    <t>1291,2025-10-19,2025,10,4,Laptop,Electronics,Mumbai,New,Card,1,69296,69296</t>
  </si>
  <si>
    <t>1292,2025-10-20,2025,10,4,Headphones,Electronics,Bangalore,Premimum,UPI,1,3960,3960</t>
  </si>
  <si>
    <t>1293,2025-10-21,2025,10,4,Shoes,Fashion,Mumbai,Premimum,UPI,3,4486,13458</t>
  </si>
  <si>
    <t>1294,2025-10-22,2025,10,4,Watch,Other,Mumbai,Premimum,UPI,1,18146,18146</t>
  </si>
  <si>
    <t>1295,2025-10-23,2025,10,4,Mobile Case,Other,Delhi,New,COD,1,274,274</t>
  </si>
  <si>
    <t>1296,2025-10-24,2025,10,4,Tablet,Electronics,Delhi,Returning,UPI,1,34548,34548</t>
  </si>
  <si>
    <t>1297,2025-10-25,2025,10,4,Book,Books,Bangalore,Returning,COD,1,925,925</t>
  </si>
  <si>
    <t>1298,2025-10-26,2025,10,4,Backpack,Fashion,Mumbai,New,COD,4,899,3596</t>
  </si>
  <si>
    <t>1299,2025-10-27,2025,10,4,Smartwatch,Electronics,Hyderabad,New,Card,2,11888,23776</t>
  </si>
  <si>
    <t>1300,2025-10-28,2025,10,4,Water Bottle,Other,Hyderabad,Returning,Card,3,551,1653</t>
  </si>
  <si>
    <t>1301,2025-10-29,2025,10,4,Laptop,Electronics,Delhi,New,COD,1,57645,57645</t>
  </si>
  <si>
    <t>1302,2025-10-30,2025,10,4,Headphones,Electronics,Delhi,Premimum,Card,2,3967,7934</t>
  </si>
  <si>
    <t>1303,2025-10-31,2025,10,4,Shoes,Fashion,Delhi,Premimum,UPI,1,4593,4593</t>
  </si>
  <si>
    <t>1304,2025-11-01,2025,11,4,Watch,Other,Delhi,New,COD,4,5728,22912</t>
  </si>
  <si>
    <t>1305,2025-11-02,2025,11,4,Mobile Case,Other,Mumbai,New,COD,2,498,996</t>
  </si>
  <si>
    <t>1306,2025-11-03,2025,11,4,Tablet,Electronics,Bangalore,New,UPI,2,39710,79420</t>
  </si>
  <si>
    <t>1307,2025-11-04,2025,11,4,Book,Books,Delhi,Premimum,Card,3,197,591</t>
  </si>
  <si>
    <t>1308,2025-11-05,2025,11,4,Backpack,Fashion,Hyderabad,New,UPI,2,1815,3630</t>
  </si>
  <si>
    <t>1309,2025-11-06,2025,11,4,Smartwatch,Electronics,Chennai,Premimum,UPI,2,3949,7898</t>
  </si>
  <si>
    <t>1310,2025-11-07,2025,11,4,Water Bottle,Other,Bangalore,New,COD,1,208,208</t>
  </si>
  <si>
    <t>1311,2025-11-08,2025,11,4,Laptop,Electronics,Bangalore,New,COD,1,50605,50605</t>
  </si>
  <si>
    <t>1312,2025-11-09,2025,11,4,Headphones,Electronics,Hyderabad,New,COD,3,4319,12957</t>
  </si>
  <si>
    <t>1313,2025-11-10,2025,11,4,Shoes,Fashion,Delhi,New,Card,1,3721,3721</t>
  </si>
  <si>
    <t>1314,2025-11-11,2025,11,4,Watch,Other,Pune,Premimum,UPI,2,12930,25860</t>
  </si>
  <si>
    <t>1315,2025-11-12,2025,11,4,Mobile Case,Other,Pune,Returning,Card,4,707,2828</t>
  </si>
  <si>
    <t>1316,2025-11-13,2025,11,4,Tablet,Electronics,Hyderabad,Returning,Card,2,36907,73814</t>
  </si>
  <si>
    <t>1317,2025-11-14,2025,11,4,Book,Books,Delhi,New,COD,1,942,942</t>
  </si>
  <si>
    <t>1318,2025-11-15,2025,11,4,Backpack,Fashion,Bangalore,Premimum,UPI,3,826,2478</t>
  </si>
  <si>
    <t>1319,2025-11-16,2025,11,4,Smartwatch,Electronics,Hyderabad,Returning,Card,1,3941,3941</t>
  </si>
  <si>
    <t>1320,2025-11-17,2025,11,4,Water Bottle,Other,Chennai,New,Card,2,476,952</t>
  </si>
  <si>
    <t>1321,2025-11-18,2025,11,4,Laptop,Electronics,Pune,Premimum,COD,2,41658,83316</t>
  </si>
  <si>
    <t>1322,2025-11-19,2025,11,4,Headphones,Electronics,Mumbai,Returning,UPI,1,4084,4084</t>
  </si>
  <si>
    <t>1323,2025-11-20,2025,11,4,Shoes,Fashion,Pune,Returning,UPI,3,3098,9294</t>
  </si>
  <si>
    <t>1324,2025-11-21,2025,11,4,Watch,Other,Bangalore,Premimum,COD,5,18226,91130</t>
  </si>
  <si>
    <t>1325,2025-11-22,2025,11,4,Mobile Case,Other,Chennai,Returning,COD,5,298,1490</t>
  </si>
  <si>
    <t>1326,2025-11-23,2025,11,4,Tablet,Electronics,Hyderabad,New,COD,2,12992,25984</t>
  </si>
  <si>
    <t>1327,2025-11-24,2025,11,4,Book,Books,Delhi,New,COD,5,984,4920</t>
  </si>
  <si>
    <t>1328,2025-11-25,2025,11,4,Backpack,Fashion,Chennai,Premimum,Card,5,1432,7160</t>
  </si>
  <si>
    <t>1329,2025-11-26,2025,11,4,Smartwatch,Electronics,Hyderabad,New,COD,2,12324,24648</t>
  </si>
  <si>
    <t>1330,2025-11-27,2025,11,4,Water Bottle,Other,Mumbai,Returning,COD,4,705,2820</t>
  </si>
  <si>
    <t>1331,2025-11-28,2025,11,4,Laptop,Electronics,Bangalore,New,COD,2,66703,133406</t>
  </si>
  <si>
    <t>1332,2025-11-29,2025,11,4,Headphones,Electronics,Mumbai,Returning,UPI,1,2242,2242</t>
  </si>
  <si>
    <t>1333,2025-11-30,2025,11,4,Shoes,Fashion,Pune,Returning,Card,3,3095,9285</t>
  </si>
  <si>
    <t>1334,2025-12-01,2025,12,4,Watch,Other,Delhi,Returning,Card,3,4016,12048</t>
  </si>
  <si>
    <t>1335,2025-12-02,2025,12,4,Mobile Case,Other,Delhi,New,Card,4,258,1032</t>
  </si>
  <si>
    <t>1336,2025-12-03,2025,12,4,Tablet,Electronics,Mumbai,New,COD,1,38061,38061</t>
  </si>
  <si>
    <t>1337,2025-12-04,2025,12,4,Book,Books,Delhi,New,UPI,2,366,732</t>
  </si>
  <si>
    <t>1338,2025-12-05,2025,12,4,Backpack,Fashion,Delhi,Returning,Card,1,1827,1827</t>
  </si>
  <si>
    <t>1339,2025-12-06,2025,12,4,Smartwatch,Electronics,Hyderabad,Premimum,UPI,1,6196,6196</t>
  </si>
  <si>
    <t>1340,2025-12-07,2025,12,4,Water Bottle,Other,Pune,Returning,Card,5,254,1270</t>
  </si>
  <si>
    <t>1341,2025-12-08,2025,12,4,Laptop,Electronics,Mumbai,Returning,UPI,2,57783,115566</t>
  </si>
  <si>
    <t>1342,2025-12-09,2025,12,4,Headphones,Electronics,Delhi,New,COD,3,1302,3906</t>
  </si>
  <si>
    <t>1343,2025-12-10,2025,12,4,Shoes,Fashion,Delhi,New,UPI,1,1283,1283</t>
  </si>
  <si>
    <t>1344,2025-12-11,2025,12,4,Watch,Other,Hyderabad,New,UPI,2,10838,21676</t>
  </si>
  <si>
    <t>1345,2025-12-12,2025,12,4,Mobile Case,Other,Delhi,Returning,Card,1,895,895</t>
  </si>
  <si>
    <t>1346,2025-12-13,2025,12,4,Tablet,Electronics,Bangalore,Premimum,Card,2,14574,29148</t>
  </si>
  <si>
    <t>1347,2025-12-14,2025,12,4,Book,Books,Hyderabad,New,Card,2,348,696</t>
  </si>
  <si>
    <t>1348,2025-12-15,2025,12,4,Backpack,Fashion,Mumbai,Premimum,UPI,4,544,2176</t>
  </si>
  <si>
    <t>1349,2025-12-16,2025,12,4,Smartwatch,Electronics,Pune,Premimum,Card,1,13858,13858</t>
  </si>
  <si>
    <t>1350,2025-12-17,2025,12,4,Water Bottle,Other,Bangalore,Returning,UPI,3,215,645</t>
  </si>
  <si>
    <t>1351,2025-12-18,2025,12,4,Laptop,Electronics,Mumbai,Premimum,COD,2,57831,115662</t>
  </si>
  <si>
    <t>1352,2025-12-19,2025,12,4,Headphones,Electronics,Hyderabad,New,COD,1,2608,2608</t>
  </si>
  <si>
    <t>1353,2025-12-20,2025,12,4,Shoes,Fashion,Mumbai,Returning,Card,1,3751,3751</t>
  </si>
  <si>
    <t>1354,2025-12-21,2025,12,4,Watch,Other,Bangalore,Returning,UPI,5,11976,59880</t>
  </si>
  <si>
    <t>1355,2025-12-22,2025,12,4,Mobile Case,Other,Bangalore,Premimum,UPI,1,542,542</t>
  </si>
  <si>
    <t>1356,2025-12-23,2025,12,4,Tablet,Electronics,Mumbai,Premimum,Card,2,34854,69708</t>
  </si>
  <si>
    <t>1357,2025-12-24,2025,12,4,Book,Books,Delhi,New,UPI,4,821,3284</t>
  </si>
  <si>
    <t>1358,2025-12-25,2025,12,4,Backpack,Fashion,Mumbai,Returning,COD,5,1003,5015</t>
  </si>
  <si>
    <t>1359,2025-12-26,2025,12,4,Smartwatch,Electronics,Mumbai,Premimum,UPI,1,9526,9526</t>
  </si>
  <si>
    <t>1360,2025-12-27,2025,12,4,Water Bottle,Other,Chennai,Returning,COD,5,317,1585</t>
  </si>
  <si>
    <t>1361,2025-12-28,2025,12,4,Laptop,Electronics,Mumbai,Premimum,COD,1,53373,53373</t>
  </si>
  <si>
    <t>1362,2025-12-29,2025,12,4,Headphones,Electronics,Chennai,New,Card,2,4853,9706</t>
  </si>
  <si>
    <t>1363,2025-12-30,2025,12,4,Shoes,Fashion,Pune,Premimum,Card,2,4788,9576</t>
  </si>
  <si>
    <t>1364,2025-12-31,2025,12,4,Watch,Other,Hyderabad,Returning,COD,5,17252,86260</t>
  </si>
  <si>
    <t>1365,2026-01-01,2026,1,1,Mobile Case,Other,Delhi,Premimum,COD,5,179,895</t>
  </si>
  <si>
    <t>1366,2026-01-02,2026,1,1,Tablet,Electronics,Delhi,New,Card,1,29151,29151</t>
  </si>
  <si>
    <t>1367,2026-01-03,2026,1,1,Book,Books,Chennai,Returning,Card,4,474,1896</t>
  </si>
  <si>
    <t>1368,2026-01-04,2026,1,1,Backpack,Fashion,Bangalore,Returning,Card,1,1670,1670</t>
  </si>
  <si>
    <t>1369,2026-01-05,2026,1,1,Smartwatch,Electronics,Bangalore,Premimum,Card,2,14676,29352</t>
  </si>
  <si>
    <t>1370,2026-01-06,2026,1,1,Water Bottle,Other,Bangalore,Premimum,UPI,3,635,1905</t>
  </si>
  <si>
    <t>1371,2026-01-07,2026,1,1,Laptop,Electronics,Hyderabad,Premimum,UPI,2,61090,122180</t>
  </si>
  <si>
    <t>1372,2026-01-08,2026,1,1,Headphones,Electronics,Bangalore,Returning,Card,1,2093,2093</t>
  </si>
  <si>
    <t>1373,2026-01-09,2026,1,1,Shoes,Fashion,Hyderabad,Premimum,Card,3,4952,14856</t>
  </si>
  <si>
    <t>1374,2026-01-10,2026,1,1,Watch,Other,Chennai,New,COD,4,11582,46328</t>
  </si>
  <si>
    <t>1375,2026-01-11,2026,1,1,Mobile Case,Other,Chennai,Returning,Card,1,267,267</t>
  </si>
  <si>
    <t>1376,2026-01-12,2026,1,1,Tablet,Electronics,Hyderabad,Premimum,COD,1,36468,36468</t>
  </si>
  <si>
    <t>1377,2026-01-13,2026,1,1,Book,Books,Pune,New,COD,4,506,2024</t>
  </si>
  <si>
    <t>1378,2026-01-14,2026,1,1,Backpack,Fashion,Pune,New,COD,1,640,640</t>
  </si>
  <si>
    <t>1379,2026-01-15,2026,1,1,Smartwatch,Electronics,Bangalore,Returning,UPI,2,7951,15902</t>
  </si>
  <si>
    <t>1380,2026-01-16,2026,1,1,Water Bottle,Other,Delhi,Returning,UPI,2,547,1094</t>
  </si>
  <si>
    <t>1381,2026-01-17,2026,1,1,Laptop,Electronics,Chennai,Returning,UPI,2,44128,88256</t>
  </si>
  <si>
    <t>1382,2026-01-18,2026,1,1,Headphones,Electronics,Mumbai,New,COD,1,2236,2236</t>
  </si>
  <si>
    <t>1383,2026-01-19,2026,1,1,Shoes,Fashion,Mumbai,Premimum,UPI,1,2086,2086</t>
  </si>
  <si>
    <t>1384,2026-01-20,2026,1,1,Watch,Other,Chennai,Returning,Card,5,2776,13880</t>
  </si>
  <si>
    <t>1385,2026-01-21,2026,1,1,Mobile Case,Other,Hyderabad,New,UPI,3,950,2850</t>
  </si>
  <si>
    <t>1386,2026-01-22,2026,1,1,Tablet,Electronics,Chennai,Returning,COD,2,35262,70524</t>
  </si>
  <si>
    <t>1387,2026-01-23,2026,1,1,Book,Books,Bangalore,Premimum,Card,2,987,1974</t>
  </si>
  <si>
    <t>1388,2026-01-24,2026,1,1,Backpack,Fashion,Delhi,New,UPI,4,1738,6952</t>
  </si>
  <si>
    <t>1389,2026-01-25,2026,1,1,Smartwatch,Electronics,Mumbai,New,UPI,2,12489,24978</t>
  </si>
  <si>
    <t>1390,2026-01-26,2026,1,1,Water Bottle,Other,Mumbai,Returning,Card,1,655,655</t>
  </si>
  <si>
    <t>1391,2026-01-27,2026,1,1,Laptop,Electronics,Bangalore,Premimum,Card,1,43749,43749</t>
  </si>
  <si>
    <t>1392,2026-01-28,2026,1,1,Headphones,Electronics,Mumbai,Premimum,COD,2,2811,5622</t>
  </si>
  <si>
    <t>1393,2026-01-29,2026,1,1,Shoes,Fashion,Chennai,Premimum,UPI,2,3024,6048</t>
  </si>
  <si>
    <t>1394,2026-01-30,2026,1,1,Watch,Other,Chennai,New,UPI,2,3456,6912</t>
  </si>
  <si>
    <t>1395,2026-01-31,2026,1,1,Mobile Case,Other,Hyderabad,New,COD,2,101,202</t>
  </si>
  <si>
    <t>1396,2026-02-01,2026,2,1,Tablet,Electronics,Chennai,Returning,COD,1,12460,12460</t>
  </si>
  <si>
    <t>1397,2026-02-02,2026,2,1,Book,Books,Hyderabad,Returning,COD,2,255,510</t>
  </si>
  <si>
    <t>1398,2026-02-03,2026,2,1,Backpack,Fashion,Chennai,Premimum,Card,4,688,2752</t>
  </si>
  <si>
    <t>1399,2026-02-04,2026,2,1,Smartwatch,Electronics,Delhi,New,Card,2,4109,8218</t>
  </si>
  <si>
    <t>1400,2026-02-05,2026,2,1,Water Bottle,Other,Mumbai,Returning,UPI,2,289,578</t>
  </si>
  <si>
    <t>1401,2026-02-06,2026,2,1,Laptop,Electronics,Hyderabad,Returning,COD,1,56349,56349</t>
  </si>
  <si>
    <t>1402,2026-02-07,2026,2,1,Headphones,Electronics,Hyderabad,Returning,Card,3,2075,6225</t>
  </si>
  <si>
    <t>1403,2026-02-08,2026,2,1,Shoes,Fashion,Chennai,New,UPI,3,3644,10932</t>
  </si>
  <si>
    <t>1404,2026-02-09,2026,2,1,Watch,Other,Mumbai,New,UPI,1,5904,5904</t>
  </si>
  <si>
    <t>1405,2026-02-10,2026,2,1,Mobile Case,Other,Bangalore,Premimum,COD,3,295,885</t>
  </si>
  <si>
    <t>1406,2026-02-11,2026,2,1,Tablet,Electronics,Chennai,New,Card,1,27414,27414</t>
  </si>
  <si>
    <t>1407,2026-02-12,2026,2,1,Book,Books,Bangalore,Premimum,COD,1,367,367</t>
  </si>
  <si>
    <t>1408,2026-02-13,2026,2,1,Backpack,Fashion,Pune,Premimum,COD,2,698,1396</t>
  </si>
  <si>
    <t>1409,2026-02-14,2026,2,1,Smartwatch,Electronics,Bangalore,Returning,Card,2,13713,27426</t>
  </si>
  <si>
    <t>1410,2026-02-15,2026,2,1,Water Bottle,Other,Delhi,Premimum,COD,4,626,2504</t>
  </si>
  <si>
    <t>1411,2026-02-16,2026,2,1,Laptop,Electronics,Delhi,Premimum,Card,2,56913,113826</t>
  </si>
  <si>
    <t>1412,2026-02-17,2026,2,1,Headphones,Electronics,Mumbai,Premimum,Card,1,4959,4959</t>
  </si>
  <si>
    <t>1413,2026-02-18,2026,2,1,Shoes,Fashion,Mumbai,Premimum,Card,2,2841,5682</t>
  </si>
  <si>
    <t>1414,2026-02-19,2026,2,1,Watch,Other,Hyderabad,New,Card,4,13916,55664</t>
  </si>
  <si>
    <t>1415,2026-02-20,2026,2,1,Mobile Case,Other,Mumbai,Returning,COD,4,151,604</t>
  </si>
  <si>
    <t>1416,2026-02-21,2026,2,1,Tablet,Electronics,Chennai,New,COD,1,17923,17923</t>
  </si>
  <si>
    <t>1417,2026-02-22,2026,2,1,Book,Books,Bangalore,New,Card,3,843,2529</t>
  </si>
  <si>
    <t>1418,2026-02-23,2026,2,1,Backpack,Fashion,Delhi,New,UPI,2,1736,3472</t>
  </si>
  <si>
    <t>1419,2026-02-24,2026,2,1,Smartwatch,Electronics,Mumbai,Premimum,UPI,1,13704,13704</t>
  </si>
  <si>
    <t>1420,2026-02-25,2026,2,1,Water Bottle,Other,Delhi,Premimum,UPI,5,297,1485</t>
  </si>
  <si>
    <t>1421,2026-02-26,2026,2,1,Laptop,Electronics,Hyderabad,Returning,UPI,2,59030,118060</t>
  </si>
  <si>
    <t>1422,2026-02-27,2026,2,1,Headphones,Electronics,Mumbai,Premimum,UPI,1,1043,1043</t>
  </si>
  <si>
    <t>1423,2026-02-28,2026,2,1,Shoes,Fashion,Delhi,New,Card,2,3714,7428</t>
  </si>
  <si>
    <t>1424,2026-03-01,2026,3,1,Watch,Other,Hyderabad,Returning,UPI,2,4810,9620</t>
  </si>
  <si>
    <t>1425,2026-03-02,2026,3,1,Mobile Case,Other,Delhi,Returning,Card,3,873,2619</t>
  </si>
  <si>
    <t>1426,2026-03-03,2026,3,1,Tablet,Electronics,Mumbai,Premimum,UPI,1,16801,16801</t>
  </si>
  <si>
    <t>1427,2026-03-04,2026,3,1,Book,Books,Pune,Returning,COD,2,881,1762</t>
  </si>
  <si>
    <t>1428,2026-03-05,2026,3,1,Backpack,Fashion,Pune,Premimum,Card,1,1334,1334</t>
  </si>
  <si>
    <t>1429,2026-03-06,2026,3,1,Smartwatch,Electronics,Bangalore,Premimum,Card,1,5467,5467</t>
  </si>
  <si>
    <t>1430,2026-03-07,2026,3,1,Water Bottle,Other,Delhi,Returning,Card,5,767,3835</t>
  </si>
  <si>
    <t>1431,2026-03-08,2026,3,1,Laptop,Electronics,Chennai,Premimum,UPI,2,45680,91360</t>
  </si>
  <si>
    <t>1432,2026-03-09,2026,3,1,Headphones,Electronics,Hyderabad,Premimum,UPI,1,3500,3500</t>
  </si>
  <si>
    <t>1433,2026-03-10,2026,3,1,Shoes,Fashion,Hyderabad,Returning,COD,1,2356,2356</t>
  </si>
  <si>
    <t>1434,2026-03-11,2026,3,1,Watch,Other,Bangalore,Premimum,UPI,5,7458,37290</t>
  </si>
  <si>
    <t>1435,2026-03-12,2026,3,1,Mobile Case,Other,Bangalore,Returning,UPI,3,365,1095</t>
  </si>
  <si>
    <t>1436,2026-03-13,2026,3,1,Tablet,Electronics,Bangalore,Premimum,Card,2,20872,41744</t>
  </si>
  <si>
    <t>1437,2026-03-14,2026,3,1,Book,Books,Pune,Premimum,UPI,5,987,4935</t>
  </si>
  <si>
    <t>1438,2026-03-15,2026,3,1,Backpack,Fashion,Mumbai,Premimum,COD,2,1861,3722</t>
  </si>
  <si>
    <t>1439,2026-03-16,2026,3,1,Smartwatch,Electronics,Hyderabad,New,COD,2,7608,15216</t>
  </si>
  <si>
    <t>1440,2026-03-17,2026,3,1,Water Bottle,Other,Bangalore,New,COD,3,672,2016</t>
  </si>
  <si>
    <t>1441,2026-03-18,2026,3,1,Laptop,Electronics,Bangalore,Returning,COD,2,53902,107804</t>
  </si>
  <si>
    <t>1442,2026-03-19,2026,3,1,Headphones,Electronics,Delhi,New,COD,3,3381,10143</t>
  </si>
  <si>
    <t>1443,2026-03-20,2026,3,1,Shoes,Fashion,Delhi,New,COD,2,3696,7392</t>
  </si>
  <si>
    <t>1444,2026-03-21,2026,3,1,Watch,Other,Hyderabad,New,Card,4,19559,78236</t>
  </si>
  <si>
    <t>1445,2026-03-22,2026,3,1,Mobile Case,Other,Mumbai,New,Card,5,503,2515</t>
  </si>
  <si>
    <t>1446,2026-03-23,2026,3,1,Tablet,Electronics,Pune,New,COD,1,38392,38392</t>
  </si>
  <si>
    <t>1447,2026-03-24,2026,3,1,Book,Books,Delhi,New,Card,4,113,452</t>
  </si>
  <si>
    <t>1448,2026-03-25,2026,3,1,Backpack,Fashion,Hyderabad,Returning,UPI,5,684,3420</t>
  </si>
  <si>
    <t>1449,2026-03-26,2026,3,1,Smartwatch,Electronics,Chennai,New,Card,1,3574,3574</t>
  </si>
  <si>
    <t>1450,2026-03-27,2026,3,1,Water Bottle,Other,Hyderabad,Premimum,COD,5,779,3895</t>
  </si>
  <si>
    <t>1451,2026-03-28,2026,3,1,Laptop,Electronics,Hyderabad,Premimum,UPI,1,40358,40358</t>
  </si>
  <si>
    <t>1452,2026-03-29,2026,3,1,Headphones,Electronics,Chennai,Returning,COD,3,3269,9807</t>
  </si>
  <si>
    <t>1453,2026-03-30,2026,3,1,Shoes,Fashion,Mumbai,New,COD,1,2592,2592</t>
  </si>
  <si>
    <t>1454,2026-03-31,2026,3,1,Watch,Other,Pune,Returning,UPI,3,18529,55587</t>
  </si>
  <si>
    <t>1455,2026-04-01,2026,4,2,Mobile Case,Other,Pune,New,Card,5,376,1880</t>
  </si>
  <si>
    <t>1456,2026-04-02,2026,4,2,Tablet,Electronics,Chennai,Premimum,UPI,2,23687,47374</t>
  </si>
  <si>
    <t>1457,2026-04-03,2026,4,2,Book,Books,Delhi,Returning,UPI,2,225,450</t>
  </si>
  <si>
    <t>1458,2026-04-04,2026,4,2,Backpack,Fashion,Bangalore,Returning,COD,5,882,4410</t>
  </si>
  <si>
    <t>1459,2026-04-05,2026,4,2,Smartwatch,Electronics,Delhi,Premimum,UPI,2,7214,14428</t>
  </si>
  <si>
    <t>1460,2026-04-06,2026,4,2,Water Bottle,Other,Pune,Returning,COD,5,241,1205</t>
  </si>
  <si>
    <t>1461,2026-04-07,2026,4,2,Laptop,Electronics,Mumbai,Premimum,Card,2,61490,122980</t>
  </si>
  <si>
    <t>1462,2026-04-08,2026,4,2,Headphones,Electronics,Chennai,Returning,COD,3,4120,12360</t>
  </si>
  <si>
    <t>1463,2026-04-09,2026,4,2,Shoes,Fashion,Delhi,New,COD,1,1206,1206</t>
  </si>
  <si>
    <t>1464,2026-04-10,2026,4,2,Watch,Other,Mumbai,Returning,UPI,4,10934,43736</t>
  </si>
  <si>
    <t>1465,2026-04-11,2026,4,2,Mobile Case,Other,Pune,Premimum,Card,1,326,326</t>
  </si>
  <si>
    <t>1466,2026-04-12,2026,4,2,Tablet,Electronics,Chennai,New,UPI,2,37146,74292</t>
  </si>
  <si>
    <t>1467,2026-04-13,2026,4,2,Book,Books,Mumbai,Returning,Card,1,235,235</t>
  </si>
  <si>
    <t>1468,2026-04-14,2026,4,2,Backpack,Fashion,Pune,Returning,UPI,5,1118,5590</t>
  </si>
  <si>
    <t>1469,2026-04-15,2026,4,2,Smartwatch,Electronics,Mumbai,New,Card,2,7110,14220</t>
  </si>
  <si>
    <t>1470,2026-04-16,2026,4,2,Water Bottle,Other,Pune,Returning,UPI,1,333,333</t>
  </si>
  <si>
    <t>1471,2026-04-17,2026,4,2,Laptop,Electronics,Pune,Premimum,UPI,1,62505,62505</t>
  </si>
  <si>
    <t>1472,2026-04-18,2026,4,2,Headphones,Electronics,Bangalore,Returning,Card,1,3269,3269</t>
  </si>
  <si>
    <t>1473,2026-04-19,2026,4,2,Shoes,Fashion,Bangalore,Premimum,COD,1,3182,3182</t>
  </si>
  <si>
    <t>1474,2026-04-20,2026,4,2,Watch,Other,Delhi,New,COD,1,4471,4471</t>
  </si>
  <si>
    <t>1475,2026-04-21,2026,4,2,Mobile Case,Other,Hyderabad,Premimum,Card,2,732,1464</t>
  </si>
  <si>
    <t>1476,2026-04-22,2026,4,2,Tablet,Electronics,Pune,New,COD,2,14850,29700</t>
  </si>
  <si>
    <t>1477,2026-04-23,2026,4,2,Book,Books,Bangalore,Premimum,UPI,2,179,358</t>
  </si>
  <si>
    <t>1478,2026-04-24,2026,4,2,Backpack,Fashion,Mumbai,Premimum,COD,5,1213,6065</t>
  </si>
  <si>
    <t>1479,2026-04-25,2026,4,2,Smartwatch,Electronics,Mumbai,New,UPI,1,5171,5171</t>
  </si>
  <si>
    <t>1480,2026-04-26,2026,4,2,Water Bottle,Other,Chennai,Returning,Card,1,731,731</t>
  </si>
  <si>
    <t>1481,2026-04-27,2026,4,2,Laptop,Electronics,Chennai,Premimum,UPI,1,67499,67499</t>
  </si>
  <si>
    <t>1482,2026-04-28,2026,4,2,Headphones,Electronics,Delhi,New,Card,1,4107,4107</t>
  </si>
  <si>
    <t>1483,2026-04-29,2026,4,2,Shoes,Fashion,Hyderabad,Returning,Card,2,2690,5380</t>
  </si>
  <si>
    <t>1484,2026-04-30,2026,4,2,Watch,Other,Bangalore,Premimum,Card,5,8632,43160</t>
  </si>
  <si>
    <t>1485,2026-05-01,2026,5,2,Mobile Case,Other,Pune,Returning,COD,2,746,1492</t>
  </si>
  <si>
    <t>1486,2026-05-02,2026,5,2,Tablet,Electronics,Pune,New,UPI,2,19358,38716</t>
  </si>
  <si>
    <t>1487,2026-05-03,2026,5,2,Book,Books,Bangalore,Premimum,Card,3,128,384</t>
  </si>
  <si>
    <t>1488,2026-05-04,2026,5,2,Backpack,Fashion,Delhi,Premimum,COD,2,1440,2880</t>
  </si>
  <si>
    <t>1489,2026-05-05,2026,5,2,Smartwatch,Electronics,Chennai,Returning,COD,1,14302,14302</t>
  </si>
  <si>
    <t>1490,2026-05-06,2026,5,2,Water Bottle,Other,Mumbai,New,Card,5,296,1480</t>
  </si>
  <si>
    <t>1491,2026-05-07,2026,5,2,Laptop,Electronics,Mumbai,Premimum,UPI,2,63623,127246</t>
  </si>
  <si>
    <t>1492,2026-05-08,2026,5,2,Headphones,Electronics,Mumbai,New,Card,1,2952,2952</t>
  </si>
  <si>
    <t>1493,2026-05-09,2026,5,2,Shoes,Fashion,Delhi,New,Card,3,4415,13245</t>
  </si>
  <si>
    <t>1494,2026-05-10,2026,5,2,Watch,Other,Bangalore,New,COD,1,12572,12572</t>
  </si>
  <si>
    <t>1495,2026-05-11,2026,5,2,Mobile Case,Other,Bangalore,Returning,Card,5,745,3725</t>
  </si>
  <si>
    <t>1496,2026-05-12,2026,5,2,Tablet,Electronics,Mumbai,Premimum,COD,1,30973,30973</t>
  </si>
  <si>
    <t>1497,2026-05-13,2026,5,2,Book,Books,Mumbai,New,UPI,5,756,3780</t>
  </si>
  <si>
    <t>1498,2026-05-14,2026,5,2,Backpack,Fashion,Pune,Premimum,Card,1,966,966</t>
  </si>
  <si>
    <t>1499,2026-05-15,2026,5,2,Smartwatch,Electronics,Hyderabad,Premimum,UPI,1,13343,13343</t>
  </si>
  <si>
    <t>Order_ID</t>
  </si>
  <si>
    <t>Order_Date</t>
  </si>
  <si>
    <t>Year</t>
  </si>
  <si>
    <t>Month</t>
  </si>
  <si>
    <t>Quarter</t>
  </si>
  <si>
    <t>Product_Name</t>
  </si>
  <si>
    <t>Category</t>
  </si>
  <si>
    <t>Region</t>
  </si>
  <si>
    <t>Customer_Type</t>
  </si>
  <si>
    <t>Payment_Method</t>
  </si>
  <si>
    <t>Quantity</t>
  </si>
  <si>
    <t>Unit_Price</t>
  </si>
  <si>
    <t>Total_Sales</t>
  </si>
  <si>
    <t>Laptop</t>
  </si>
  <si>
    <t>Electronics</t>
  </si>
  <si>
    <t>Chennai</t>
  </si>
  <si>
    <t>Card</t>
  </si>
  <si>
    <t>Headphones</t>
  </si>
  <si>
    <t>Delhi</t>
  </si>
  <si>
    <t>New</t>
  </si>
  <si>
    <t>UPI</t>
  </si>
  <si>
    <t>Watch</t>
  </si>
  <si>
    <t>Other</t>
  </si>
  <si>
    <t>Pune</t>
  </si>
  <si>
    <t>Mobile Case</t>
  </si>
  <si>
    <t>Tablet</t>
  </si>
  <si>
    <t>Returning</t>
  </si>
  <si>
    <t>COD</t>
  </si>
  <si>
    <t>Book</t>
  </si>
  <si>
    <t>Books</t>
  </si>
  <si>
    <t>Hyderabad</t>
  </si>
  <si>
    <t>Backpack</t>
  </si>
  <si>
    <t>Fashion</t>
  </si>
  <si>
    <t>Bangalore</t>
  </si>
  <si>
    <t>Smartwatch</t>
  </si>
  <si>
    <t>Water Bottle</t>
  </si>
  <si>
    <t>Shoes</t>
  </si>
  <si>
    <t>Mumbai</t>
  </si>
  <si>
    <t>Row Labels</t>
  </si>
  <si>
    <t>Grand Total</t>
  </si>
  <si>
    <t>Sum of Total_Sales</t>
  </si>
  <si>
    <t>Month_Name</t>
  </si>
  <si>
    <t>2022</t>
  </si>
  <si>
    <t>2023</t>
  </si>
  <si>
    <t>2024</t>
  </si>
  <si>
    <t>2025</t>
  </si>
  <si>
    <t>2026</t>
  </si>
  <si>
    <t>Jan</t>
  </si>
  <si>
    <t>Feb</t>
  </si>
  <si>
    <t>Mar</t>
  </si>
  <si>
    <t>Apr</t>
  </si>
  <si>
    <t>Mei</t>
  </si>
  <si>
    <t>Jun</t>
  </si>
  <si>
    <t>Jul</t>
  </si>
  <si>
    <t>Agu</t>
  </si>
  <si>
    <t>Sep</t>
  </si>
  <si>
    <t>Okt</t>
  </si>
  <si>
    <t>Nov</t>
  </si>
  <si>
    <t>Des</t>
  </si>
  <si>
    <t>(All)</t>
  </si>
  <si>
    <t>Average of Total_Sales2</t>
  </si>
  <si>
    <t>Sum of Quantity</t>
  </si>
  <si>
    <t>Sum of Total_Sales2</t>
  </si>
  <si>
    <t>Target</t>
  </si>
  <si>
    <t>Product Name</t>
  </si>
  <si>
    <t>Total Sales</t>
  </si>
  <si>
    <t>Total Sales %</t>
  </si>
  <si>
    <t>Cumulative %</t>
  </si>
  <si>
    <t>Premium</t>
  </si>
  <si>
    <t>Count of Order_ID</t>
  </si>
  <si>
    <t>Total Order</t>
  </si>
  <si>
    <t>Total Quantity</t>
  </si>
  <si>
    <t>Count of Customer_Type</t>
  </si>
  <si>
    <t>Count of Payment_Method</t>
  </si>
  <si>
    <t>Chart Payment_Method</t>
  </si>
  <si>
    <t xml:space="preserve">        Product Revenue Contribution </t>
  </si>
  <si>
    <t>Revenue Month</t>
  </si>
  <si>
    <t xml:space="preserve">Revenue by City </t>
  </si>
  <si>
    <t>Customer Type</t>
  </si>
  <si>
    <t>Count of Quantity</t>
  </si>
  <si>
    <t>Total Orders per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</si>
</sst>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Rp&quot;* #,##0.00_-;\-&quot;Rp&quot;* #,##0.00_-;_-&quot;Rp&quot;* &quot;-&quot;??_-;_-@_-"/>
    <numFmt numFmtId="164" formatCode="yyyy\-mm\-dd;@"/>
    <numFmt numFmtId="165" formatCode="_-[$$-409]* #,##0_ ;_-[$$-409]* \-#,##0\ ;_-[$$-409]* &quot;-&quot;??_ ;_-@_ "/>
    <numFmt numFmtId="176" formatCode="_-[$$-409]* #,##0.00_ ;_-[$$-409]* \-#,##0.00\ ;_-[$$-409]* &quot;-&quot;??_ ;_-@_ "/>
  </numFmts>
  <fonts count="22"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57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sz val="12"/>
      <color theme="1"/>
      <name val="Arial"/>
      <family val="2"/>
    </font>
    <font>
      <b/>
      <sz val="12"/>
      <color theme="1"/>
      <name val="Arial"/>
      <family val="2"/>
    </font>
    <font>
      <sz val="11"/>
      <color theme="1"/>
      <name val="Arial"/>
      <family val="2"/>
    </font>
    <font>
      <b/>
      <sz val="11"/>
      <color theme="1"/>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6"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rgb="FF999999"/>
      </left>
      <right style="thin">
        <color rgb="FF999999"/>
      </right>
      <top style="thin">
        <color rgb="FF999999"/>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40">
    <xf numFmtId="0" fontId="0" fillId="0" borderId="0" xfId="0"/>
    <xf numFmtId="164" fontId="0" fillId="0" borderId="0" xfId="0" applyNumberFormat="1"/>
    <xf numFmtId="1" fontId="0" fillId="0" borderId="0" xfId="0" applyNumberFormat="1"/>
    <xf numFmtId="0" fontId="0" fillId="33" borderId="0" xfId="0" applyFill="1"/>
    <xf numFmtId="164" fontId="0" fillId="33" borderId="0" xfId="0" applyNumberFormat="1" applyFill="1"/>
    <xf numFmtId="1" fontId="0" fillId="33" borderId="0" xfId="0" applyNumberFormat="1" applyFill="1"/>
    <xf numFmtId="165" fontId="0" fillId="33" borderId="0" xfId="0" applyNumberFormat="1" applyFill="1"/>
    <xf numFmtId="165" fontId="0" fillId="0" borderId="0" xfId="0" applyNumberFormat="1"/>
    <xf numFmtId="0" fontId="0" fillId="0" borderId="0" xfId="0" applyAlignment="1">
      <alignment horizontal="left"/>
    </xf>
    <xf numFmtId="165" fontId="0" fillId="33" borderId="0" xfId="42" applyNumberFormat="1" applyFont="1" applyFill="1"/>
    <xf numFmtId="165" fontId="0" fillId="0" borderId="0" xfId="42" applyNumberFormat="1" applyFont="1"/>
    <xf numFmtId="9" fontId="0" fillId="0" borderId="0" xfId="0" applyNumberFormat="1"/>
    <xf numFmtId="0" fontId="18" fillId="36" borderId="0" xfId="0" applyFont="1" applyFill="1"/>
    <xf numFmtId="0" fontId="18" fillId="36" borderId="0" xfId="0" applyFont="1" applyFill="1" applyAlignment="1">
      <alignment horizontal="left"/>
    </xf>
    <xf numFmtId="0" fontId="20" fillId="0" borderId="0" xfId="0" applyFont="1"/>
    <xf numFmtId="0" fontId="18" fillId="0" borderId="0" xfId="0" applyFont="1"/>
    <xf numFmtId="0" fontId="20" fillId="0" borderId="0" xfId="0" pivotButton="1" applyFont="1"/>
    <xf numFmtId="0" fontId="21" fillId="35" borderId="0" xfId="0" applyFont="1" applyFill="1"/>
    <xf numFmtId="0" fontId="20" fillId="0" borderId="0" xfId="0" applyFont="1" applyAlignment="1">
      <alignment horizontal="left"/>
    </xf>
    <xf numFmtId="1" fontId="20" fillId="0" borderId="0" xfId="0" applyNumberFormat="1" applyFont="1"/>
    <xf numFmtId="165" fontId="20" fillId="0" borderId="0" xfId="0" applyNumberFormat="1" applyFont="1"/>
    <xf numFmtId="10" fontId="20" fillId="0" borderId="0" xfId="0" applyNumberFormat="1" applyFont="1"/>
    <xf numFmtId="9" fontId="20" fillId="0" borderId="0" xfId="0" applyNumberFormat="1" applyFont="1"/>
    <xf numFmtId="0" fontId="20" fillId="0" borderId="0" xfId="0" applyFont="1" applyAlignment="1">
      <alignment horizontal="left" indent="1"/>
    </xf>
    <xf numFmtId="0" fontId="21" fillId="34" borderId="10" xfId="0" applyFont="1" applyFill="1" applyBorder="1" applyAlignment="1">
      <alignment horizontal="left"/>
    </xf>
    <xf numFmtId="165" fontId="21" fillId="34" borderId="10" xfId="0" applyNumberFormat="1" applyFont="1" applyFill="1" applyBorder="1"/>
    <xf numFmtId="10" fontId="21" fillId="34" borderId="10" xfId="0" applyNumberFormat="1" applyFont="1" applyFill="1" applyBorder="1"/>
    <xf numFmtId="0" fontId="20" fillId="36" borderId="0" xfId="0" applyFont="1" applyFill="1"/>
    <xf numFmtId="0" fontId="19" fillId="36" borderId="0" xfId="0" applyFont="1" applyFill="1" applyAlignment="1">
      <alignment horizontal="center"/>
    </xf>
    <xf numFmtId="0" fontId="18" fillId="36" borderId="0" xfId="0" applyFont="1" applyFill="1" applyAlignment="1">
      <alignment horizontal="center"/>
    </xf>
    <xf numFmtId="0" fontId="19" fillId="36" borderId="0" xfId="0" applyFont="1" applyFill="1" applyAlignment="1">
      <alignment horizontal="center" wrapText="1"/>
    </xf>
    <xf numFmtId="0" fontId="18" fillId="36" borderId="0" xfId="0" applyFont="1" applyFill="1" applyAlignment="1">
      <alignment horizontal="center" wrapText="1"/>
    </xf>
    <xf numFmtId="0" fontId="0" fillId="0" borderId="0" xfId="0" applyAlignment="1">
      <alignment horizontal="center" vertical="center"/>
    </xf>
    <xf numFmtId="0" fontId="19" fillId="36" borderId="0" xfId="0" applyFont="1" applyFill="1" applyAlignment="1">
      <alignment horizontal="center" vertical="center"/>
    </xf>
    <xf numFmtId="0" fontId="18" fillId="36" borderId="0" xfId="0" applyFont="1" applyFill="1" applyAlignment="1">
      <alignment horizontal="center" vertical="center"/>
    </xf>
    <xf numFmtId="0" fontId="19" fillId="36" borderId="0" xfId="0" applyFont="1" applyFill="1" applyAlignment="1">
      <alignment horizontal="center" vertical="center" wrapText="1"/>
    </xf>
    <xf numFmtId="0" fontId="18" fillId="36" borderId="0" xfId="0" applyFont="1" applyFill="1" applyAlignment="1">
      <alignment horizontal="center" vertical="center" wrapText="1"/>
    </xf>
    <xf numFmtId="0" fontId="20" fillId="0" borderId="0" xfId="0" applyNumberFormat="1" applyFont="1"/>
    <xf numFmtId="0" fontId="20" fillId="0" borderId="11" xfId="0" applyFont="1" applyBorder="1"/>
    <xf numFmtId="176" fontId="2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2">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bgColor theme="7" tint="-0.24994659260841701"/>
        </patternFill>
      </fill>
    </dxf>
    <dxf>
      <font>
        <b/>
        <i val="0"/>
        <sz val="12"/>
        <color theme="1"/>
        <name val="Arial"/>
        <family val="2"/>
        <scheme val="none"/>
      </font>
      <fill>
        <patternFill>
          <bgColor theme="7" tint="-0.24994659260841701"/>
        </patternFill>
      </fill>
      <border>
        <left style="thin">
          <color auto="1"/>
        </left>
        <right style="thin">
          <color auto="1"/>
        </right>
        <top style="thin">
          <color auto="1"/>
        </top>
        <bottom style="thin">
          <color auto="1"/>
        </bottom>
      </border>
    </dxf>
    <dxf>
      <fill>
        <patternFill>
          <bgColor theme="7" tint="-0.24994659260841701"/>
        </patternFill>
      </fill>
    </dxf>
    <dxf>
      <font>
        <b/>
        <i val="0"/>
        <sz val="12"/>
        <color theme="1"/>
        <name val="Arial"/>
        <family val="2"/>
        <scheme val="none"/>
      </font>
      <fill>
        <patternFill>
          <bgColor theme="7" tint="-0.24994659260841701"/>
        </patternFill>
      </fill>
      <border>
        <left style="thin">
          <color auto="1"/>
        </left>
        <right style="thin">
          <color auto="1"/>
        </right>
        <top style="thin">
          <color auto="1"/>
        </top>
        <bottom style="thin">
          <color auto="1"/>
        </bottom>
      </border>
    </dxf>
    <dxf>
      <fill>
        <patternFill>
          <bgColor theme="7" tint="-0.24994659260841701"/>
        </patternFill>
      </fill>
    </dxf>
    <dxf>
      <font>
        <b/>
        <i val="0"/>
        <sz val="12"/>
        <color theme="1"/>
        <name val="Arial"/>
        <family val="2"/>
        <scheme val="none"/>
      </font>
      <fill>
        <patternFill>
          <bgColor theme="7" tint="-0.24994659260841701"/>
        </patternFill>
      </fill>
      <border>
        <left style="thin">
          <color auto="1"/>
        </left>
        <right style="thin">
          <color auto="1"/>
        </right>
        <top style="thin">
          <color auto="1"/>
        </top>
        <bottom style="thin">
          <color auto="1"/>
        </bottom>
      </border>
    </dxf>
    <dxf>
      <font>
        <b/>
        <i val="0"/>
        <sz val="12"/>
        <name val="Arial"/>
        <family val="2"/>
        <scheme val="none"/>
      </font>
    </dxf>
  </dxfs>
  <tableStyles count="4" defaultTableStyle="TableStyleMedium2" defaultPivotStyle="PivotStyleLight16">
    <tableStyle name="Slicer Style 1" pivot="0" table="0" count="1" xr9:uid="{C53344B0-0AA1-4153-BC07-2DCCC5569517}">
      <tableStyleElement type="wholeTable" dxfId="161"/>
    </tableStyle>
    <tableStyle name="Slicer Style 2" pivot="0" table="0" count="10" xr9:uid="{130D5D1C-DE68-4823-9E6F-3242FB5DAC68}">
      <tableStyleElement type="wholeTable" dxfId="160"/>
      <tableStyleElement type="headerRow" dxfId="159"/>
    </tableStyle>
    <tableStyle name="Slicer Style 2 2" pivot="0" table="0" count="10" xr9:uid="{B5DA461A-84CC-4A90-BDCF-D565366D6300}">
      <tableStyleElement type="wholeTable" dxfId="158"/>
      <tableStyleElement type="headerRow" dxfId="157"/>
    </tableStyle>
    <tableStyle name="Slicer Style 2 2 2" pivot="0" table="0" count="10" xr9:uid="{58ACE8D4-59DE-4E34-B01C-B42DB3081A2E}">
      <tableStyleElement type="wholeTable" dxfId="156"/>
      <tableStyleElement type="headerRow" dxfId="155"/>
    </tableStyle>
  </tableStyles>
  <colors>
    <mruColors>
      <color rgb="FF114329"/>
      <color rgb="FF164A44"/>
      <color rgb="FF0F4145"/>
      <color rgb="FF5F94C5"/>
      <color rgb="FF256781"/>
      <color rgb="FF20664B"/>
      <color rgb="FF0DA3A3"/>
      <color rgb="FF263580"/>
      <color rgb="FF242B82"/>
      <color rgb="FF1A178F"/>
    </mruColors>
  </colors>
  <extLst>
    <ext xmlns:x14="http://schemas.microsoft.com/office/spreadsheetml/2009/9/main" uri="{46F421CA-312F-682f-3DD2-61675219B42D}">
      <x14:dxfs count="24">
        <dxf>
          <fill>
            <patternFill>
              <bgColor theme="7" tint="0.39994506668294322"/>
            </patternFill>
          </fill>
        </dxf>
        <dxf>
          <fill>
            <patternFill>
              <bgColor theme="2" tint="-0.749961851863155"/>
            </patternFill>
          </fill>
        </dxf>
        <dxf>
          <fill>
            <patternFill>
              <bgColor theme="7" tint="0.39994506668294322"/>
            </patternFill>
          </fill>
        </dxf>
        <dxf>
          <fill>
            <patternFill>
              <bgColor theme="7" tint="0.39994506668294322"/>
            </patternFill>
          </fill>
        </dxf>
        <dxf>
          <font>
            <color theme="1" tint="0.499984740745262"/>
          </font>
          <fill>
            <patternFill patternType="none">
              <bgColor auto="1"/>
            </patternFill>
          </fill>
        </dxf>
        <dxf>
          <font>
            <name val="Aptos"/>
            <family val="2"/>
            <scheme val="none"/>
          </font>
          <fill>
            <patternFill>
              <bgColor theme="7" tint="0.39994506668294322"/>
            </patternFill>
          </fill>
        </dxf>
        <dxf>
          <font>
            <color theme="1" tint="0.499984740745262"/>
          </font>
          <fill>
            <patternFill>
              <bgColor theme="4" tint="0.39994506668294322"/>
            </patternFill>
          </fill>
        </dxf>
        <dxf>
          <font>
            <color theme="1"/>
          </font>
        </dxf>
        <dxf>
          <fill>
            <patternFill>
              <bgColor theme="7" tint="0.39994506668294322"/>
            </patternFill>
          </fill>
        </dxf>
        <dxf>
          <fill>
            <patternFill>
              <bgColor theme="2" tint="-0.749961851863155"/>
            </patternFill>
          </fill>
        </dxf>
        <dxf>
          <fill>
            <patternFill>
              <bgColor theme="7" tint="0.39994506668294322"/>
            </patternFill>
          </fill>
        </dxf>
        <dxf>
          <fill>
            <patternFill>
              <bgColor theme="7" tint="0.39994506668294322"/>
            </patternFill>
          </fill>
        </dxf>
        <dxf>
          <font>
            <color theme="1" tint="0.499984740745262"/>
          </font>
          <fill>
            <patternFill patternType="none">
              <bgColor auto="1"/>
            </patternFill>
          </fill>
        </dxf>
        <dxf>
          <font>
            <name val="Aptos"/>
            <family val="2"/>
            <scheme val="none"/>
          </font>
          <fill>
            <patternFill>
              <bgColor theme="7" tint="0.39994506668294322"/>
            </patternFill>
          </fill>
        </dxf>
        <dxf>
          <font>
            <color theme="1" tint="0.499984740745262"/>
          </font>
          <fill>
            <patternFill>
              <bgColor theme="4" tint="0.39994506668294322"/>
            </patternFill>
          </fill>
        </dxf>
        <dxf>
          <font>
            <color theme="1"/>
          </font>
        </dxf>
        <dxf>
          <fill>
            <patternFill>
              <bgColor theme="7" tint="0.39994506668294322"/>
            </patternFill>
          </fill>
        </dxf>
        <dxf>
          <fill>
            <patternFill>
              <bgColor theme="2" tint="-0.749961851863155"/>
            </patternFill>
          </fill>
        </dxf>
        <dxf>
          <fill>
            <patternFill>
              <bgColor theme="7" tint="0.39994506668294322"/>
            </patternFill>
          </fill>
        </dxf>
        <dxf>
          <fill>
            <patternFill>
              <bgColor theme="7" tint="0.39994506668294322"/>
            </patternFill>
          </fill>
        </dxf>
        <dxf>
          <font>
            <color theme="1" tint="0.499984740745262"/>
          </font>
          <fill>
            <patternFill patternType="none">
              <bgColor auto="1"/>
            </patternFill>
          </fill>
        </dxf>
        <dxf>
          <font>
            <name val="Aptos"/>
            <family val="2"/>
            <scheme val="none"/>
          </font>
          <fill>
            <patternFill>
              <bgColor theme="7" tint="0.39994506668294322"/>
            </patternFill>
          </fill>
        </dxf>
        <dxf>
          <font>
            <color theme="1" tint="0.499984740745262"/>
          </font>
          <fill>
            <patternFill>
              <bgColor theme="4" tint="0.39994506668294322"/>
            </patternFill>
          </fill>
        </dxf>
        <dxf>
          <font>
            <color theme="1"/>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Table'!$N$32</c:f>
              <c:strCache>
                <c:ptCount val="1"/>
                <c:pt idx="0">
                  <c:v>Total Sales</c:v>
                </c:pt>
              </c:strCache>
            </c:strRef>
          </c:tx>
          <c:spPr>
            <a:solidFill>
              <a:schemeClr val="accent3">
                <a:lumMod val="75000"/>
              </a:schemeClr>
            </a:solidFill>
            <a:ln>
              <a:solidFill>
                <a:schemeClr val="accent4">
                  <a:lumMod val="75000"/>
                </a:schemeClr>
              </a:solidFill>
            </a:ln>
            <a:effectLst/>
          </c:spPr>
          <c:invertIfNegative val="0"/>
          <c:dLbls>
            <c:delete val="1"/>
          </c:dLbls>
          <c:cat>
            <c:strRef>
              <c:f>'Pivot Table'!$M$33:$M$42</c:f>
              <c:strCache>
                <c:ptCount val="10"/>
                <c:pt idx="0">
                  <c:v>Laptop</c:v>
                </c:pt>
                <c:pt idx="1">
                  <c:v>Tablet</c:v>
                </c:pt>
                <c:pt idx="2">
                  <c:v>Watch</c:v>
                </c:pt>
                <c:pt idx="3">
                  <c:v>Smartwatch</c:v>
                </c:pt>
                <c:pt idx="4">
                  <c:v>Headphones</c:v>
                </c:pt>
                <c:pt idx="5">
                  <c:v>Shoes</c:v>
                </c:pt>
                <c:pt idx="6">
                  <c:v>Backpack</c:v>
                </c:pt>
                <c:pt idx="7">
                  <c:v>Book</c:v>
                </c:pt>
                <c:pt idx="8">
                  <c:v>Mobile Case</c:v>
                </c:pt>
                <c:pt idx="9">
                  <c:v>Water Bottle</c:v>
                </c:pt>
              </c:strCache>
            </c:strRef>
          </c:cat>
          <c:val>
            <c:numRef>
              <c:f>'Pivot Table'!$N$33:$N$42</c:f>
              <c:numCache>
                <c:formatCode>_-[$$-409]* #,##0_ ;_-[$$-409]* \-#,##0\ ;_-[$$-409]* "-"??_ ;_-@_ </c:formatCode>
                <c:ptCount val="10"/>
                <c:pt idx="0">
                  <c:v>12260253</c:v>
                </c:pt>
                <c:pt idx="1">
                  <c:v>5652265</c:v>
                </c:pt>
                <c:pt idx="2">
                  <c:v>5038675</c:v>
                </c:pt>
                <c:pt idx="3">
                  <c:v>2263254</c:v>
                </c:pt>
                <c:pt idx="4">
                  <c:v>972034</c:v>
                </c:pt>
                <c:pt idx="5">
                  <c:v>889654</c:v>
                </c:pt>
                <c:pt idx="6">
                  <c:v>479899</c:v>
                </c:pt>
                <c:pt idx="7">
                  <c:v>235903</c:v>
                </c:pt>
                <c:pt idx="8">
                  <c:v>228810</c:v>
                </c:pt>
                <c:pt idx="9">
                  <c:v>199984</c:v>
                </c:pt>
              </c:numCache>
            </c:numRef>
          </c:val>
          <c:extLst>
            <c:ext xmlns:c16="http://schemas.microsoft.com/office/drawing/2014/chart" uri="{C3380CC4-5D6E-409C-BE32-E72D297353CC}">
              <c16:uniqueId val="{00000000-F99E-41AF-9A73-6F7E6B054FAE}"/>
            </c:ext>
          </c:extLst>
        </c:ser>
        <c:dLbls>
          <c:showLegendKey val="0"/>
          <c:showVal val="1"/>
          <c:showCatName val="0"/>
          <c:showSerName val="0"/>
          <c:showPercent val="0"/>
          <c:showBubbleSize val="0"/>
        </c:dLbls>
        <c:gapWidth val="59"/>
        <c:overlap val="-71"/>
        <c:axId val="2120024239"/>
        <c:axId val="2064580975"/>
      </c:barChart>
      <c:lineChart>
        <c:grouping val="standard"/>
        <c:varyColors val="0"/>
        <c:ser>
          <c:idx val="1"/>
          <c:order val="1"/>
          <c:tx>
            <c:strRef>
              <c:f>'Pivot Table'!$O$32</c:f>
              <c:strCache>
                <c:ptCount val="1"/>
                <c:pt idx="0">
                  <c:v>Cumulative %</c:v>
                </c:pt>
              </c:strCache>
            </c:strRef>
          </c:tx>
          <c:spPr>
            <a:ln w="28575" cap="rnd">
              <a:solidFill>
                <a:srgbClr val="FF0000"/>
              </a:solidFill>
              <a:prstDash val="solid"/>
              <a:round/>
            </a:ln>
            <a:effectLst/>
          </c:spPr>
          <c:marker>
            <c:symbol val="circle"/>
            <c:size val="5"/>
            <c:spPr>
              <a:solidFill>
                <a:schemeClr val="tx1"/>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0779"/>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Table'!$M$33:$M$42</c:f>
              <c:strCache>
                <c:ptCount val="10"/>
                <c:pt idx="0">
                  <c:v>Laptop</c:v>
                </c:pt>
                <c:pt idx="1">
                  <c:v>Tablet</c:v>
                </c:pt>
                <c:pt idx="2">
                  <c:v>Watch</c:v>
                </c:pt>
                <c:pt idx="3">
                  <c:v>Smartwatch</c:v>
                </c:pt>
                <c:pt idx="4">
                  <c:v>Headphones</c:v>
                </c:pt>
                <c:pt idx="5">
                  <c:v>Shoes</c:v>
                </c:pt>
                <c:pt idx="6">
                  <c:v>Backpack</c:v>
                </c:pt>
                <c:pt idx="7">
                  <c:v>Book</c:v>
                </c:pt>
                <c:pt idx="8">
                  <c:v>Mobile Case</c:v>
                </c:pt>
                <c:pt idx="9">
                  <c:v>Water Bottle</c:v>
                </c:pt>
              </c:strCache>
            </c:strRef>
          </c:cat>
          <c:val>
            <c:numRef>
              <c:f>'Pivot Table'!$O$33:$O$42</c:f>
              <c:numCache>
                <c:formatCode>0.00%</c:formatCode>
                <c:ptCount val="10"/>
                <c:pt idx="0">
                  <c:v>0.43444136865200267</c:v>
                </c:pt>
                <c:pt idx="1">
                  <c:v>0.63472905786884115</c:v>
                </c:pt>
                <c:pt idx="2">
                  <c:v>0.81327422028862395</c:v>
                </c:pt>
                <c:pt idx="3">
                  <c:v>0.89347249722198896</c:v>
                </c:pt>
                <c:pt idx="4">
                  <c:v>0.92791646679882234</c:v>
                </c:pt>
                <c:pt idx="5">
                  <c:v>0.95944130575497832</c:v>
                </c:pt>
                <c:pt idx="6">
                  <c:v>0.97644649956090768</c:v>
                </c:pt>
                <c:pt idx="7">
                  <c:v>0.98480570896622044</c:v>
                </c:pt>
                <c:pt idx="8">
                  <c:v>0.9929135783194275</c:v>
                </c:pt>
                <c:pt idx="9">
                  <c:v>0.99999999999999989</c:v>
                </c:pt>
              </c:numCache>
            </c:numRef>
          </c:val>
          <c:smooth val="0"/>
          <c:extLst>
            <c:ext xmlns:c16="http://schemas.microsoft.com/office/drawing/2014/chart" uri="{C3380CC4-5D6E-409C-BE32-E72D297353CC}">
              <c16:uniqueId val="{00000001-F99E-41AF-9A73-6F7E6B054FAE}"/>
            </c:ext>
          </c:extLst>
        </c:ser>
        <c:ser>
          <c:idx val="2"/>
          <c:order val="2"/>
          <c:tx>
            <c:strRef>
              <c:f>'Pivot Table'!$P$32</c:f>
              <c:strCache>
                <c:ptCount val="1"/>
                <c:pt idx="0">
                  <c:v>Target</c:v>
                </c:pt>
              </c:strCache>
            </c:strRef>
          </c:tx>
          <c:spPr>
            <a:ln w="28575" cap="rnd">
              <a:solidFill>
                <a:schemeClr val="accent4">
                  <a:lumMod val="60000"/>
                  <a:lumOff val="40000"/>
                </a:schemeClr>
              </a:solidFill>
              <a:round/>
            </a:ln>
            <a:effectLst/>
          </c:spPr>
          <c:marker>
            <c:symbol val="none"/>
          </c:marker>
          <c:dLbls>
            <c:delete val="1"/>
          </c:dLbls>
          <c:cat>
            <c:strRef>
              <c:f>'Pivot Table'!$M$33:$M$42</c:f>
              <c:strCache>
                <c:ptCount val="10"/>
                <c:pt idx="0">
                  <c:v>Laptop</c:v>
                </c:pt>
                <c:pt idx="1">
                  <c:v>Tablet</c:v>
                </c:pt>
                <c:pt idx="2">
                  <c:v>Watch</c:v>
                </c:pt>
                <c:pt idx="3">
                  <c:v>Smartwatch</c:v>
                </c:pt>
                <c:pt idx="4">
                  <c:v>Headphones</c:v>
                </c:pt>
                <c:pt idx="5">
                  <c:v>Shoes</c:v>
                </c:pt>
                <c:pt idx="6">
                  <c:v>Backpack</c:v>
                </c:pt>
                <c:pt idx="7">
                  <c:v>Book</c:v>
                </c:pt>
                <c:pt idx="8">
                  <c:v>Mobile Case</c:v>
                </c:pt>
                <c:pt idx="9">
                  <c:v>Water Bottle</c:v>
                </c:pt>
              </c:strCache>
            </c:strRef>
          </c:cat>
          <c:val>
            <c:numRef>
              <c:f>'Pivot Table'!$P$33:$P$42</c:f>
              <c:numCache>
                <c:formatCode>0%</c:formatCode>
                <c:ptCount val="10"/>
                <c:pt idx="0">
                  <c:v>0.8</c:v>
                </c:pt>
                <c:pt idx="1">
                  <c:v>0.8</c:v>
                </c:pt>
                <c:pt idx="2">
                  <c:v>0.8</c:v>
                </c:pt>
                <c:pt idx="3">
                  <c:v>0.8</c:v>
                </c:pt>
                <c:pt idx="4">
                  <c:v>0.8</c:v>
                </c:pt>
                <c:pt idx="5">
                  <c:v>0.8</c:v>
                </c:pt>
                <c:pt idx="6">
                  <c:v>0.8</c:v>
                </c:pt>
                <c:pt idx="7">
                  <c:v>0.8</c:v>
                </c:pt>
                <c:pt idx="8">
                  <c:v>0.8</c:v>
                </c:pt>
                <c:pt idx="9">
                  <c:v>0.8</c:v>
                </c:pt>
              </c:numCache>
            </c:numRef>
          </c:val>
          <c:smooth val="0"/>
          <c:extLst>
            <c:ext xmlns:c16="http://schemas.microsoft.com/office/drawing/2014/chart" uri="{C3380CC4-5D6E-409C-BE32-E72D297353CC}">
              <c16:uniqueId val="{00000002-F99E-41AF-9A73-6F7E6B054FAE}"/>
            </c:ext>
          </c:extLst>
        </c:ser>
        <c:dLbls>
          <c:showLegendKey val="0"/>
          <c:showVal val="1"/>
          <c:showCatName val="0"/>
          <c:showSerName val="0"/>
          <c:showPercent val="0"/>
          <c:showBubbleSize val="0"/>
        </c:dLbls>
        <c:marker val="1"/>
        <c:smooth val="0"/>
        <c:axId val="2120033983"/>
        <c:axId val="2064581455"/>
      </c:lineChart>
      <c:catAx>
        <c:axId val="2120024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02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64580975"/>
        <c:crosses val="autoZero"/>
        <c:auto val="1"/>
        <c:lblAlgn val="ctr"/>
        <c:lblOffset val="100"/>
        <c:noMultiLvlLbl val="0"/>
      </c:catAx>
      <c:valAx>
        <c:axId val="2064580975"/>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024239"/>
        <c:crosses val="autoZero"/>
        <c:crossBetween val="between"/>
      </c:valAx>
      <c:valAx>
        <c:axId val="2064581455"/>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033983"/>
        <c:crosses val="max"/>
        <c:crossBetween val="between"/>
        <c:majorUnit val="0.1"/>
      </c:valAx>
      <c:catAx>
        <c:axId val="2120033983"/>
        <c:scaling>
          <c:orientation val="minMax"/>
        </c:scaling>
        <c:delete val="1"/>
        <c:axPos val="t"/>
        <c:numFmt formatCode="General" sourceLinked="1"/>
        <c:majorTickMark val="out"/>
        <c:minorTickMark val="none"/>
        <c:tickLblPos val="nextTo"/>
        <c:crossAx val="2064581455"/>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[dataset_e-commerce_sales_transaction.csv.xlsx]Pivot Table!PivotTable6</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3">
              <a:lumMod val="60000"/>
              <a:lumOff val="40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41BD12E8-15CF-4CAB-97EB-D7C82C44154E}" type="VALUE">
                  <a:rPr lang="en-US">
                    <a:solidFill>
                      <a:srgbClr val="FF0000"/>
                    </a:solidFill>
                  </a:rPr>
                  <a:pPr>
                    <a:defRPr sz="900" b="0" i="0" u="none" strike="noStrike" kern="1200" baseline="0">
                      <a:solidFill>
                        <a:srgbClr val="FF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a:sp3d/>
        </c:spPr>
      </c:pivotFmt>
      <c:pivotFmt>
        <c:idx val="7"/>
        <c:spPr>
          <a:solidFill>
            <a:schemeClr val="accent3">
              <a:lumMod val="75000"/>
            </a:schemeClr>
          </a:solidFill>
          <a:ln>
            <a:noFill/>
          </a:ln>
          <a:effectLst/>
          <a:sp3d/>
        </c:spPr>
      </c:pivotFmt>
      <c:pivotFmt>
        <c:idx val="8"/>
        <c:spPr>
          <a:solidFill>
            <a:schemeClr val="accent3">
              <a:lumMod val="75000"/>
            </a:schemeClr>
          </a:solidFill>
          <a:ln>
            <a:noFill/>
          </a:ln>
          <a:effectLst/>
          <a:sp3d/>
        </c:spPr>
      </c:pivotFmt>
      <c:pivotFmt>
        <c:idx val="9"/>
        <c:spPr>
          <a:solidFill>
            <a:schemeClr val="accent3">
              <a:lumMod val="75000"/>
            </a:schemeClr>
          </a:solidFill>
          <a:ln>
            <a:noFill/>
          </a:ln>
          <a:effectLst/>
          <a:sp3d/>
        </c:spPr>
      </c:pivotFmt>
      <c:pivotFmt>
        <c:idx val="10"/>
        <c:spPr>
          <a:solidFill>
            <a:schemeClr val="accent3">
              <a:lumMod val="75000"/>
            </a:schemeClr>
          </a:solidFill>
          <a:ln>
            <a:noFill/>
          </a:ln>
          <a:effectLst/>
          <a:sp3d/>
        </c:spPr>
      </c:pivotFmt>
      <c:pivotFmt>
        <c:idx val="11"/>
        <c:spPr>
          <a:solidFill>
            <a:schemeClr val="accent3">
              <a:lumMod val="75000"/>
            </a:schemeClr>
          </a:solidFill>
          <a:ln>
            <a:noFill/>
          </a:ln>
          <a:effectLst/>
          <a:sp3d/>
        </c:spPr>
      </c:pivotFmt>
      <c:pivotFmt>
        <c:idx val="12"/>
        <c:spPr>
          <a:solidFill>
            <a:schemeClr val="accent3">
              <a:lumMod val="75000"/>
            </a:schemeClr>
          </a:solidFill>
          <a:ln>
            <a:noFill/>
          </a:ln>
          <a:effectLst/>
          <a:sp3d/>
        </c:spPr>
      </c:pivotFmt>
      <c:pivotFmt>
        <c:idx val="13"/>
        <c:spPr>
          <a:solidFill>
            <a:schemeClr val="accent3">
              <a:lumMod val="75000"/>
            </a:schemeClr>
          </a:solidFill>
          <a:ln>
            <a:noFill/>
          </a:ln>
          <a:effectLst/>
          <a:sp3d/>
        </c:spPr>
      </c:pivotFmt>
      <c:pivotFmt>
        <c:idx val="14"/>
        <c:spPr>
          <a:solidFill>
            <a:schemeClr val="accent3">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19919348527014"/>
          <c:y val="3.0634054089469145E-4"/>
          <c:w val="0.8548666415192141"/>
          <c:h val="0.89150196480266675"/>
        </c:manualLayout>
      </c:layout>
      <c:bar3DChart>
        <c:barDir val="bar"/>
        <c:grouping val="stacked"/>
        <c:varyColors val="0"/>
        <c:ser>
          <c:idx val="0"/>
          <c:order val="0"/>
          <c:tx>
            <c:strRef>
              <c:f>'Pivot Table'!$E$6</c:f>
              <c:strCache>
                <c:ptCount val="1"/>
                <c:pt idx="0">
                  <c:v>Total</c:v>
                </c:pt>
              </c:strCache>
            </c:strRef>
          </c:tx>
          <c:spPr>
            <a:solidFill>
              <a:schemeClr val="accent3">
                <a:lumMod val="75000"/>
              </a:schemeClr>
            </a:solidFill>
            <a:ln>
              <a:noFill/>
            </a:ln>
            <a:effectLst/>
            <a:sp3d/>
          </c:spPr>
          <c:invertIfNegative val="0"/>
          <c:dPt>
            <c:idx val="6"/>
            <c:invertIfNegative val="0"/>
            <c:bubble3D val="0"/>
            <c:extLst>
              <c:ext xmlns:c16="http://schemas.microsoft.com/office/drawing/2014/chart" uri="{C3380CC4-5D6E-409C-BE32-E72D297353CC}">
                <c16:uniqueId val="{00000001-21B4-4C5A-B721-CA53440DBEEB}"/>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Table'!$D$7:$D$17</c:f>
              <c:strCache>
                <c:ptCount val="10"/>
                <c:pt idx="0">
                  <c:v>Water Bottle</c:v>
                </c:pt>
                <c:pt idx="1">
                  <c:v>Watch</c:v>
                </c:pt>
                <c:pt idx="2">
                  <c:v>Tablet</c:v>
                </c:pt>
                <c:pt idx="3">
                  <c:v>Smartwatch</c:v>
                </c:pt>
                <c:pt idx="4">
                  <c:v>Shoes</c:v>
                </c:pt>
                <c:pt idx="5">
                  <c:v>Mobile Case</c:v>
                </c:pt>
                <c:pt idx="6">
                  <c:v>Laptop</c:v>
                </c:pt>
                <c:pt idx="7">
                  <c:v>Headphones</c:v>
                </c:pt>
                <c:pt idx="8">
                  <c:v>Book</c:v>
                </c:pt>
                <c:pt idx="9">
                  <c:v>Backpack</c:v>
                </c:pt>
              </c:strCache>
            </c:strRef>
          </c:cat>
          <c:val>
            <c:numRef>
              <c:f>'Pivot Table'!$E$7:$E$17</c:f>
              <c:numCache>
                <c:formatCode>0</c:formatCode>
                <c:ptCount val="10"/>
                <c:pt idx="0">
                  <c:v>466</c:v>
                </c:pt>
                <c:pt idx="1">
                  <c:v>468</c:v>
                </c:pt>
                <c:pt idx="2">
                  <c:v>228</c:v>
                </c:pt>
                <c:pt idx="3">
                  <c:v>238</c:v>
                </c:pt>
                <c:pt idx="4">
                  <c:v>293</c:v>
                </c:pt>
                <c:pt idx="5">
                  <c:v>430</c:v>
                </c:pt>
                <c:pt idx="6">
                  <c:v>215</c:v>
                </c:pt>
                <c:pt idx="7">
                  <c:v>299</c:v>
                </c:pt>
                <c:pt idx="8">
                  <c:v>405</c:v>
                </c:pt>
                <c:pt idx="9">
                  <c:v>411</c:v>
                </c:pt>
              </c:numCache>
            </c:numRef>
          </c:val>
          <c:extLst>
            <c:ext xmlns:c16="http://schemas.microsoft.com/office/drawing/2014/chart" uri="{C3380CC4-5D6E-409C-BE32-E72D297353CC}">
              <c16:uniqueId val="{00000000-899F-4435-AD12-7C70F4D98E1E}"/>
            </c:ext>
          </c:extLst>
        </c:ser>
        <c:dLbls>
          <c:showLegendKey val="0"/>
          <c:showVal val="1"/>
          <c:showCatName val="0"/>
          <c:showSerName val="0"/>
          <c:showPercent val="0"/>
          <c:showBubbleSize val="0"/>
        </c:dLbls>
        <c:gapWidth val="80"/>
        <c:gapDepth val="0"/>
        <c:shape val="box"/>
        <c:axId val="536076752"/>
        <c:axId val="431539536"/>
        <c:axId val="0"/>
      </c:bar3DChart>
      <c:catAx>
        <c:axId val="5360767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1539536"/>
        <c:crosses val="autoZero"/>
        <c:auto val="1"/>
        <c:lblAlgn val="ctr"/>
        <c:lblOffset val="100"/>
        <c:noMultiLvlLbl val="0"/>
      </c:catAx>
      <c:valAx>
        <c:axId val="43153953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6076752"/>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[dataset_e-commerce_sales_transaction.csv.xlsx]Pivot Table!PivotTable7</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tx1"/>
            </a:solidFill>
            <a:ln w="9525">
              <a:solidFill>
                <a:srgbClr val="12077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circle"/>
          <c:size val="5"/>
          <c:spPr>
            <a:solidFill>
              <a:schemeClr val="tx1"/>
            </a:solidFill>
            <a:ln w="9525">
              <a:solidFill>
                <a:srgbClr val="120779"/>
              </a:solidFill>
            </a:ln>
            <a:effectLst/>
          </c:spPr>
        </c:marker>
      </c:pivotFmt>
      <c:pivotFmt>
        <c:idx val="4"/>
        <c:spPr>
          <a:ln w="28575" cap="rnd">
            <a:solidFill>
              <a:srgbClr val="FF0000"/>
            </a:solidFill>
            <a:round/>
          </a:ln>
          <a:effectLst/>
        </c:spPr>
        <c:marker>
          <c:symbol val="circle"/>
          <c:size val="5"/>
          <c:spPr>
            <a:solidFill>
              <a:schemeClr val="tx1"/>
            </a:solidFill>
            <a:ln w="9525">
              <a:solidFill>
                <a:srgbClr val="120779"/>
              </a:solidFill>
            </a:ln>
            <a:effectLst/>
          </c:spPr>
        </c:marker>
      </c:pivotFmt>
    </c:pivotFmts>
    <c:plotArea>
      <c:layout>
        <c:manualLayout>
          <c:layoutTarget val="inner"/>
          <c:xMode val="edge"/>
          <c:yMode val="edge"/>
          <c:x val="4.1226330007210009E-2"/>
          <c:y val="1.8206138748238242E-2"/>
          <c:w val="0.95647018917645021"/>
          <c:h val="0.86347001096205034"/>
        </c:manualLayout>
      </c:layout>
      <c:lineChart>
        <c:grouping val="standard"/>
        <c:varyColors val="0"/>
        <c:ser>
          <c:idx val="0"/>
          <c:order val="0"/>
          <c:tx>
            <c:strRef>
              <c:f>'Pivot Table'!$K$6</c:f>
              <c:strCache>
                <c:ptCount val="1"/>
                <c:pt idx="0">
                  <c:v>Total</c:v>
                </c:pt>
              </c:strCache>
            </c:strRef>
          </c:tx>
          <c:spPr>
            <a:ln w="28575" cap="rnd">
              <a:solidFill>
                <a:srgbClr val="FF0000"/>
              </a:solidFill>
              <a:round/>
            </a:ln>
            <a:effectLst/>
          </c:spPr>
          <c:marker>
            <c:symbol val="circle"/>
            <c:size val="5"/>
            <c:spPr>
              <a:solidFill>
                <a:schemeClr val="tx1"/>
              </a:solidFill>
              <a:ln w="9525">
                <a:solidFill>
                  <a:srgbClr val="120779"/>
                </a:solidFill>
              </a:ln>
              <a:effectLst/>
            </c:spPr>
          </c:marker>
          <c:cat>
            <c:multiLvlStrRef>
              <c:f>'Pivot Table'!$J$7:$J$65</c:f>
              <c:multiLvlStrCache>
                <c:ptCount val="53"/>
                <c:lvl>
                  <c:pt idx="0">
                    <c:v>Jan</c:v>
                  </c:pt>
                  <c:pt idx="1">
                    <c:v>Feb</c:v>
                  </c:pt>
                  <c:pt idx="2">
                    <c:v>Mar</c:v>
                  </c:pt>
                  <c:pt idx="3">
                    <c:v>Apr</c:v>
                  </c:pt>
                  <c:pt idx="4">
                    <c:v>Mei</c:v>
                  </c:pt>
                  <c:pt idx="5">
                    <c:v>Jun</c:v>
                  </c:pt>
                  <c:pt idx="6">
                    <c:v>Jul</c:v>
                  </c:pt>
                  <c:pt idx="7">
                    <c:v>Agu</c:v>
                  </c:pt>
                  <c:pt idx="8">
                    <c:v>Sep</c:v>
                  </c:pt>
                  <c:pt idx="9">
                    <c:v>Okt</c:v>
                  </c:pt>
                  <c:pt idx="10">
                    <c:v>Nov</c:v>
                  </c:pt>
                  <c:pt idx="11">
                    <c:v>Des</c:v>
                  </c:pt>
                  <c:pt idx="12">
                    <c:v>Jan</c:v>
                  </c:pt>
                  <c:pt idx="13">
                    <c:v>Feb</c:v>
                  </c:pt>
                  <c:pt idx="14">
                    <c:v>Mar</c:v>
                  </c:pt>
                  <c:pt idx="15">
                    <c:v>Apr</c:v>
                  </c:pt>
                  <c:pt idx="16">
                    <c:v>Mei</c:v>
                  </c:pt>
                  <c:pt idx="17">
                    <c:v>Jun</c:v>
                  </c:pt>
                  <c:pt idx="18">
                    <c:v>Jul</c:v>
                  </c:pt>
                  <c:pt idx="19">
                    <c:v>Agu</c:v>
                  </c:pt>
                  <c:pt idx="20">
                    <c:v>Sep</c:v>
                  </c:pt>
                  <c:pt idx="21">
                    <c:v>Okt</c:v>
                  </c:pt>
                  <c:pt idx="22">
                    <c:v>Nov</c:v>
                  </c:pt>
                  <c:pt idx="23">
                    <c:v>Des</c:v>
                  </c:pt>
                  <c:pt idx="24">
                    <c:v>Jan</c:v>
                  </c:pt>
                  <c:pt idx="25">
                    <c:v>Feb</c:v>
                  </c:pt>
                  <c:pt idx="26">
                    <c:v>Mar</c:v>
                  </c:pt>
                  <c:pt idx="27">
                    <c:v>Apr</c:v>
                  </c:pt>
                  <c:pt idx="28">
                    <c:v>Mei</c:v>
                  </c:pt>
                  <c:pt idx="29">
                    <c:v>Jun</c:v>
                  </c:pt>
                  <c:pt idx="30">
                    <c:v>Jul</c:v>
                  </c:pt>
                  <c:pt idx="31">
                    <c:v>Agu</c:v>
                  </c:pt>
                  <c:pt idx="32">
                    <c:v>Sep</c:v>
                  </c:pt>
                  <c:pt idx="33">
                    <c:v>Okt</c:v>
                  </c:pt>
                  <c:pt idx="34">
                    <c:v>Nov</c:v>
                  </c:pt>
                  <c:pt idx="35">
                    <c:v>Des</c:v>
                  </c:pt>
                  <c:pt idx="36">
                    <c:v>Jan</c:v>
                  </c:pt>
                  <c:pt idx="37">
                    <c:v>Feb</c:v>
                  </c:pt>
                  <c:pt idx="38">
                    <c:v>Mar</c:v>
                  </c:pt>
                  <c:pt idx="39">
                    <c:v>Apr</c:v>
                  </c:pt>
                  <c:pt idx="40">
                    <c:v>Mei</c:v>
                  </c:pt>
                  <c:pt idx="41">
                    <c:v>Jun</c:v>
                  </c:pt>
                  <c:pt idx="42">
                    <c:v>Jul</c:v>
                  </c:pt>
                  <c:pt idx="43">
                    <c:v>Agu</c:v>
                  </c:pt>
                  <c:pt idx="44">
                    <c:v>Sep</c:v>
                  </c:pt>
                  <c:pt idx="45">
                    <c:v>Okt</c:v>
                  </c:pt>
                  <c:pt idx="46">
                    <c:v>Nov</c:v>
                  </c:pt>
                  <c:pt idx="47">
                    <c:v>Des</c:v>
                  </c:pt>
                  <c:pt idx="48">
                    <c:v>Jan</c:v>
                  </c:pt>
                  <c:pt idx="49">
                    <c:v>Feb</c:v>
                  </c:pt>
                  <c:pt idx="50">
                    <c:v>Mar</c:v>
                  </c:pt>
                  <c:pt idx="51">
                    <c:v>Apr</c:v>
                  </c:pt>
                  <c:pt idx="52">
                    <c:v>Mei</c:v>
                  </c:pt>
                </c:lvl>
                <c:lvl>
                  <c:pt idx="0">
                    <c:v>2022</c:v>
                  </c:pt>
                  <c:pt idx="12">
                    <c:v>2023</c:v>
                  </c:pt>
                  <c:pt idx="24">
                    <c:v>2024</c:v>
                  </c:pt>
                  <c:pt idx="36">
                    <c:v>2025</c:v>
                  </c:pt>
                  <c:pt idx="48">
                    <c:v>2026</c:v>
                  </c:pt>
                </c:lvl>
              </c:multiLvlStrCache>
            </c:multiLvlStrRef>
          </c:cat>
          <c:val>
            <c:numRef>
              <c:f>'Pivot Table'!$K$7:$K$65</c:f>
              <c:numCache>
                <c:formatCode>_-[$$-409]* #,##0_ ;_-[$$-409]* \-#,##0\ ;_-[$$-409]* "-"??_ ;_-@_ </c:formatCode>
                <c:ptCount val="53"/>
                <c:pt idx="0">
                  <c:v>538132</c:v>
                </c:pt>
                <c:pt idx="1">
                  <c:v>781753</c:v>
                </c:pt>
                <c:pt idx="2">
                  <c:v>628748</c:v>
                </c:pt>
                <c:pt idx="3">
                  <c:v>609040</c:v>
                </c:pt>
                <c:pt idx="4">
                  <c:v>393410</c:v>
                </c:pt>
                <c:pt idx="5">
                  <c:v>659667</c:v>
                </c:pt>
                <c:pt idx="6">
                  <c:v>368241</c:v>
                </c:pt>
                <c:pt idx="7">
                  <c:v>558552</c:v>
                </c:pt>
                <c:pt idx="8">
                  <c:v>375353</c:v>
                </c:pt>
                <c:pt idx="9">
                  <c:v>650380</c:v>
                </c:pt>
                <c:pt idx="10">
                  <c:v>488987</c:v>
                </c:pt>
                <c:pt idx="11">
                  <c:v>462231</c:v>
                </c:pt>
                <c:pt idx="12">
                  <c:v>550483</c:v>
                </c:pt>
                <c:pt idx="13">
                  <c:v>579992</c:v>
                </c:pt>
                <c:pt idx="14">
                  <c:v>573290</c:v>
                </c:pt>
                <c:pt idx="15">
                  <c:v>484575</c:v>
                </c:pt>
                <c:pt idx="16">
                  <c:v>743844</c:v>
                </c:pt>
                <c:pt idx="17">
                  <c:v>683989</c:v>
                </c:pt>
                <c:pt idx="18">
                  <c:v>644366</c:v>
                </c:pt>
                <c:pt idx="19">
                  <c:v>662928</c:v>
                </c:pt>
                <c:pt idx="20">
                  <c:v>655172</c:v>
                </c:pt>
                <c:pt idx="21">
                  <c:v>526581</c:v>
                </c:pt>
                <c:pt idx="22">
                  <c:v>784406</c:v>
                </c:pt>
                <c:pt idx="23">
                  <c:v>856962</c:v>
                </c:pt>
                <c:pt idx="24">
                  <c:v>328773</c:v>
                </c:pt>
                <c:pt idx="25">
                  <c:v>173758</c:v>
                </c:pt>
                <c:pt idx="26">
                  <c:v>141127</c:v>
                </c:pt>
                <c:pt idx="27">
                  <c:v>412717</c:v>
                </c:pt>
                <c:pt idx="28">
                  <c:v>617771</c:v>
                </c:pt>
                <c:pt idx="29">
                  <c:v>480827</c:v>
                </c:pt>
                <c:pt idx="30">
                  <c:v>408510</c:v>
                </c:pt>
                <c:pt idx="31">
                  <c:v>265616</c:v>
                </c:pt>
                <c:pt idx="32">
                  <c:v>206298</c:v>
                </c:pt>
                <c:pt idx="33">
                  <c:v>626064</c:v>
                </c:pt>
                <c:pt idx="34">
                  <c:v>354598</c:v>
                </c:pt>
                <c:pt idx="35">
                  <c:v>498466</c:v>
                </c:pt>
                <c:pt idx="36">
                  <c:v>579121</c:v>
                </c:pt>
                <c:pt idx="37">
                  <c:v>616506</c:v>
                </c:pt>
                <c:pt idx="38">
                  <c:v>595893</c:v>
                </c:pt>
                <c:pt idx="39">
                  <c:v>458876</c:v>
                </c:pt>
                <c:pt idx="40">
                  <c:v>538477</c:v>
                </c:pt>
                <c:pt idx="41">
                  <c:v>590105</c:v>
                </c:pt>
                <c:pt idx="42">
                  <c:v>689777</c:v>
                </c:pt>
                <c:pt idx="43">
                  <c:v>502941</c:v>
                </c:pt>
                <c:pt idx="44">
                  <c:v>466775</c:v>
                </c:pt>
                <c:pt idx="45">
                  <c:v>478704</c:v>
                </c:pt>
                <c:pt idx="46">
                  <c:v>693532</c:v>
                </c:pt>
                <c:pt idx="47">
                  <c:v>681491</c:v>
                </c:pt>
                <c:pt idx="48">
                  <c:v>583645</c:v>
                </c:pt>
                <c:pt idx="49">
                  <c:v>510299</c:v>
                </c:pt>
                <c:pt idx="50">
                  <c:v>608839</c:v>
                </c:pt>
                <c:pt idx="51">
                  <c:v>582087</c:v>
                </c:pt>
                <c:pt idx="52">
                  <c:v>268056</c:v>
                </c:pt>
              </c:numCache>
            </c:numRef>
          </c:val>
          <c:smooth val="0"/>
          <c:extLst>
            <c:ext xmlns:c16="http://schemas.microsoft.com/office/drawing/2014/chart" uri="{C3380CC4-5D6E-409C-BE32-E72D297353CC}">
              <c16:uniqueId val="{00000000-2538-4381-AD8F-0325A67A0ACA}"/>
            </c:ext>
          </c:extLst>
        </c:ser>
        <c:dLbls>
          <c:showLegendKey val="0"/>
          <c:showVal val="0"/>
          <c:showCatName val="0"/>
          <c:showSerName val="0"/>
          <c:showPercent val="0"/>
          <c:showBubbleSize val="0"/>
        </c:dLbls>
        <c:marker val="1"/>
        <c:smooth val="0"/>
        <c:axId val="715866591"/>
        <c:axId val="1762338927"/>
      </c:lineChart>
      <c:catAx>
        <c:axId val="715866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38927"/>
        <c:crosses val="autoZero"/>
        <c:auto val="1"/>
        <c:lblAlgn val="ctr"/>
        <c:lblOffset val="100"/>
        <c:noMultiLvlLbl val="0"/>
      </c:catAx>
      <c:valAx>
        <c:axId val="1762338927"/>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86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[dataset_e-commerce_sales_transaction.csv.xlsx]Pivot Table!PivotTable1</c:name>
    <c:fmtId val="3"/>
  </c:pivotSource>
  <c:chart>
    <c:autoTitleDeleted val="1"/>
    <c:pivotFmts>
      <c:pivotFmt>
        <c:idx val="0"/>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solidFill>
              <a:srgbClr val="63A537">
                <a:lumMod val="20000"/>
                <a:lumOff val="80000"/>
                <a:alpha val="0"/>
              </a:srgbClr>
            </a:solidFill>
            <a:ln>
              <a:solidFill>
                <a:sysClr val="windowText" lastClr="000000">
                  <a:lumMod val="25000"/>
                  <a:lumOff val="75000"/>
                </a:sysClr>
              </a:solidFill>
            </a:ln>
            <a:effectLst/>
          </c:spPr>
          <c:txPr>
            <a:bodyPr rot="0" spcFirstLastPara="1" vertOverflow="clip" horzOverflow="clip" vert="horz" wrap="square" lIns="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
        <c:idx val="11"/>
        <c:spPr>
          <a:solidFill>
            <a:srgbClr val="225A5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60000"/>
              <a:lumOff val="40000"/>
            </a:schemeClr>
          </a:solidFill>
          <a:ln w="19050">
            <a:solidFill>
              <a:schemeClr val="lt1"/>
            </a:solidFill>
          </a:ln>
          <a:effectLst/>
        </c:spPr>
      </c:pivotFmt>
      <c:pivotFmt>
        <c:idx val="13"/>
        <c:spPr>
          <a:solidFill>
            <a:schemeClr val="accent3">
              <a:lumMod val="75000"/>
            </a:schemeClr>
          </a:solidFill>
          <a:ln w="19050">
            <a:solidFill>
              <a:schemeClr val="lt1"/>
            </a:solidFill>
          </a:ln>
          <a:effectLst/>
        </c:spPr>
      </c:pivotFmt>
      <c:pivotFmt>
        <c:idx val="14"/>
        <c:spPr>
          <a:solidFill>
            <a:schemeClr val="accent5">
              <a:lumMod val="75000"/>
            </a:schemeClr>
          </a:solidFill>
          <a:ln w="19050">
            <a:solidFill>
              <a:schemeClr val="lt1"/>
            </a:solidFill>
          </a:ln>
          <a:effectLst/>
        </c:spPr>
      </c:pivotFmt>
      <c:pivotFmt>
        <c:idx val="15"/>
        <c:spPr>
          <a:solidFill>
            <a:srgbClr val="225A57"/>
          </a:solidFill>
          <a:ln w="19050">
            <a:solidFill>
              <a:schemeClr val="lt1"/>
            </a:solidFill>
          </a:ln>
          <a:effectLst/>
        </c:spPr>
      </c:pivotFmt>
    </c:pivotFmts>
    <c:plotArea>
      <c:layout>
        <c:manualLayout>
          <c:layoutTarget val="inner"/>
          <c:xMode val="edge"/>
          <c:yMode val="edge"/>
          <c:x val="3.0735081352328504E-2"/>
          <c:y val="2.5622135642291596E-2"/>
          <c:w val="0.61163089193001763"/>
          <c:h val="0.97437751986239962"/>
        </c:manualLayout>
      </c:layout>
      <c:doughnutChart>
        <c:varyColors val="1"/>
        <c:ser>
          <c:idx val="0"/>
          <c:order val="0"/>
          <c:tx>
            <c:strRef>
              <c:f>'Pivot Table'!$B$6</c:f>
              <c:strCache>
                <c:ptCount val="1"/>
                <c:pt idx="0">
                  <c:v>Total</c:v>
                </c:pt>
              </c:strCache>
            </c:strRef>
          </c:tx>
          <c:spPr>
            <a:solidFill>
              <a:srgbClr val="225A57"/>
            </a:solidFill>
          </c:spPr>
          <c:explosion val="7"/>
          <c:dPt>
            <c:idx val="0"/>
            <c:bubble3D val="0"/>
            <c:spPr>
              <a:solidFill>
                <a:srgbClr val="225A57"/>
              </a:solidFill>
              <a:ln w="19050">
                <a:solidFill>
                  <a:schemeClr val="lt1"/>
                </a:solidFill>
              </a:ln>
              <a:effectLst/>
            </c:spPr>
            <c:extLst>
              <c:ext xmlns:c16="http://schemas.microsoft.com/office/drawing/2014/chart" uri="{C3380CC4-5D6E-409C-BE32-E72D297353CC}">
                <c16:uniqueId val="{00000001-A7A0-40C8-B6A9-D63C8E6A9F0E}"/>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A7A0-40C8-B6A9-D63C8E6A9F0E}"/>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A7A0-40C8-B6A9-D63C8E6A9F0E}"/>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7-A7A0-40C8-B6A9-D63C8E6A9F0E}"/>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Table'!$A$7:$A$11</c:f>
              <c:strCache>
                <c:ptCount val="4"/>
                <c:pt idx="0">
                  <c:v>Other</c:v>
                </c:pt>
                <c:pt idx="1">
                  <c:v>Electronics</c:v>
                </c:pt>
                <c:pt idx="2">
                  <c:v>Fashion</c:v>
                </c:pt>
                <c:pt idx="3">
                  <c:v>Books</c:v>
                </c:pt>
              </c:strCache>
            </c:strRef>
          </c:cat>
          <c:val>
            <c:numRef>
              <c:f>'Pivot Table'!$B$7:$B$11</c:f>
              <c:numCache>
                <c:formatCode>0.00%</c:formatCode>
                <c:ptCount val="4"/>
                <c:pt idx="0">
                  <c:v>0.39501882421083118</c:v>
                </c:pt>
                <c:pt idx="1">
                  <c:v>0.28381117868520128</c:v>
                </c:pt>
                <c:pt idx="2">
                  <c:v>0.20388068346365479</c:v>
                </c:pt>
                <c:pt idx="3">
                  <c:v>0.11728931364031277</c:v>
                </c:pt>
              </c:numCache>
            </c:numRef>
          </c:val>
          <c:extLst>
            <c:ext xmlns:c16="http://schemas.microsoft.com/office/drawing/2014/chart" uri="{C3380CC4-5D6E-409C-BE32-E72D297353CC}">
              <c16:uniqueId val="{00000008-A7A0-40C8-B6A9-D63C8E6A9F0E}"/>
            </c:ext>
          </c:extLst>
        </c:ser>
        <c:dLbls>
          <c:showLegendKey val="0"/>
          <c:showVal val="0"/>
          <c:showCatName val="0"/>
          <c:showSerName val="0"/>
          <c:showPercent val="0"/>
          <c:showBubbleSize val="0"/>
          <c:showLeaderLines val="1"/>
        </c:dLbls>
        <c:firstSliceAng val="283"/>
        <c:holeSize val="27"/>
      </c:doughnutChart>
      <c:spPr>
        <a:noFill/>
        <a:ln w="25400">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egendEntry>
        <c:idx val="2"/>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egendEntry>
        <c:idx val="3"/>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0.60539428447131649"/>
          <c:y val="3.8154010205864501E-2"/>
          <c:w val="0.3946057155286834"/>
          <c:h val="0.9003898498540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[dataset_e-commerce_sales_transaction.csv.xlsx]Pivot Table!PivotTable17</c:name>
    <c:fmtId val="6"/>
  </c:pivotSource>
  <c:chart>
    <c:autoTitleDeleted val="1"/>
    <c:pivotFmts>
      <c:pivotFmt>
        <c:idx val="0"/>
        <c:spPr>
          <a:solidFill>
            <a:schemeClr val="accent1"/>
          </a:solidFill>
          <a:ln>
            <a:noFill/>
          </a:ln>
          <a:effectLst>
            <a:outerShdw blurRad="190500" dir="54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190500" dir="54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190500" dir="54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190500" dir="54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 dir="5400000" algn="ctr" rotWithShape="0">
              <a:srgbClr val="000000">
                <a:alpha val="52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a:noFill/>
          </a:ln>
          <a:effectLst>
            <a:outerShdw blurRad="25400" dir="5400000" algn="ctr" rotWithShape="0">
              <a:srgbClr val="000000">
                <a:alpha val="52000"/>
              </a:srgbClr>
            </a:outerShdw>
            <a:softEdge rad="0"/>
          </a:effectLst>
        </c:spPr>
      </c:pivotFmt>
      <c:pivotFmt>
        <c:idx val="6"/>
        <c:spPr>
          <a:solidFill>
            <a:schemeClr val="accent3">
              <a:lumMod val="75000"/>
            </a:schemeClr>
          </a:solidFill>
          <a:ln>
            <a:noFill/>
          </a:ln>
          <a:effectLst>
            <a:outerShdw blurRad="25400" dir="5400000" algn="ctr" rotWithShape="0">
              <a:srgbClr val="000000">
                <a:alpha val="52000"/>
              </a:srgbClr>
            </a:outerShdw>
            <a:softEdge rad="0"/>
          </a:effectLst>
        </c:spPr>
      </c:pivotFmt>
      <c:pivotFmt>
        <c:idx val="7"/>
        <c:spPr>
          <a:solidFill>
            <a:schemeClr val="accent3">
              <a:lumMod val="60000"/>
              <a:lumOff val="40000"/>
            </a:schemeClr>
          </a:solidFill>
          <a:ln>
            <a:noFill/>
          </a:ln>
          <a:effectLst>
            <a:outerShdw blurRad="25400" dir="5400000" algn="ctr" rotWithShape="0">
              <a:srgbClr val="000000">
                <a:alpha val="52000"/>
              </a:srgbClr>
            </a:outerShdw>
            <a:softEdge rad="0"/>
          </a:effectLst>
        </c:spPr>
      </c:pivotFmt>
    </c:pivotFmts>
    <c:plotArea>
      <c:layout>
        <c:manualLayout>
          <c:layoutTarget val="inner"/>
          <c:xMode val="edge"/>
          <c:yMode val="edge"/>
          <c:x val="0.14565828551085078"/>
          <c:y val="2.9316923862502089E-2"/>
          <c:w val="0.80011333202548351"/>
          <c:h val="0.8413740888195923"/>
        </c:manualLayout>
      </c:layout>
      <c:barChart>
        <c:barDir val="bar"/>
        <c:grouping val="stacked"/>
        <c:varyColors val="0"/>
        <c:ser>
          <c:idx val="0"/>
          <c:order val="0"/>
          <c:tx>
            <c:strRef>
              <c:f>'Pivot Table'!$T$14</c:f>
              <c:strCache>
                <c:ptCount val="1"/>
                <c:pt idx="0">
                  <c:v>Total</c:v>
                </c:pt>
              </c:strCache>
            </c:strRef>
          </c:tx>
          <c:spPr>
            <a:solidFill>
              <a:schemeClr val="accent1"/>
            </a:solidFill>
            <a:ln>
              <a:noFill/>
            </a:ln>
            <a:effectLst>
              <a:outerShdw blurRad="25400" dir="5400000" algn="ctr" rotWithShape="0">
                <a:srgbClr val="000000">
                  <a:alpha val="52000"/>
                </a:srgbClr>
              </a:outerShdw>
              <a:softEdge rad="0"/>
            </a:effectLst>
          </c:spPr>
          <c:invertIfNegative val="0"/>
          <c:dPt>
            <c:idx val="0"/>
            <c:invertIfNegative val="0"/>
            <c:bubble3D val="0"/>
            <c:spPr>
              <a:solidFill>
                <a:schemeClr val="accent3">
                  <a:lumMod val="60000"/>
                  <a:lumOff val="40000"/>
                </a:schemeClr>
              </a:solidFill>
              <a:ln>
                <a:noFill/>
              </a:ln>
              <a:effectLst>
                <a:outerShdw blurRad="25400" dir="5400000" algn="ctr" rotWithShape="0">
                  <a:srgbClr val="000000">
                    <a:alpha val="52000"/>
                  </a:srgbClr>
                </a:outerShdw>
                <a:softEdge rad="0"/>
              </a:effectLst>
            </c:spPr>
            <c:extLst>
              <c:ext xmlns:c16="http://schemas.microsoft.com/office/drawing/2014/chart" uri="{C3380CC4-5D6E-409C-BE32-E72D297353CC}">
                <c16:uniqueId val="{00000002-7F12-4424-8DBB-5551453A3813}"/>
              </c:ext>
            </c:extLst>
          </c:dPt>
          <c:dPt>
            <c:idx val="1"/>
            <c:invertIfNegative val="0"/>
            <c:bubble3D val="0"/>
            <c:spPr>
              <a:solidFill>
                <a:schemeClr val="accent3">
                  <a:lumMod val="75000"/>
                </a:schemeClr>
              </a:solidFill>
              <a:ln>
                <a:noFill/>
              </a:ln>
              <a:effectLst>
                <a:outerShdw blurRad="25400" dir="5400000" algn="ctr" rotWithShape="0">
                  <a:srgbClr val="000000">
                    <a:alpha val="52000"/>
                  </a:srgbClr>
                </a:outerShdw>
                <a:softEdge rad="0"/>
              </a:effectLst>
            </c:spPr>
            <c:extLst>
              <c:ext xmlns:c16="http://schemas.microsoft.com/office/drawing/2014/chart" uri="{C3380CC4-5D6E-409C-BE32-E72D297353CC}">
                <c16:uniqueId val="{00000001-7F12-4424-8DBB-5551453A3813}"/>
              </c:ext>
            </c:extLst>
          </c:dPt>
          <c:dPt>
            <c:idx val="2"/>
            <c:invertIfNegative val="0"/>
            <c:bubble3D val="0"/>
            <c:spPr>
              <a:solidFill>
                <a:schemeClr val="accent4">
                  <a:lumMod val="50000"/>
                </a:schemeClr>
              </a:solidFill>
              <a:ln>
                <a:noFill/>
              </a:ln>
              <a:effectLst>
                <a:outerShdw blurRad="25400" dir="5400000" algn="ctr" rotWithShape="0">
                  <a:srgbClr val="000000">
                    <a:alpha val="52000"/>
                  </a:srgbClr>
                </a:outerShdw>
                <a:softEdge rad="0"/>
              </a:effectLst>
            </c:spPr>
            <c:extLst>
              <c:ext xmlns:c16="http://schemas.microsoft.com/office/drawing/2014/chart" uri="{C3380CC4-5D6E-409C-BE32-E72D297353CC}">
                <c16:uniqueId val="{00000000-7F12-4424-8DBB-5551453A3813}"/>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Table'!$S$15:$S$18</c:f>
              <c:strCache>
                <c:ptCount val="3"/>
                <c:pt idx="0">
                  <c:v>Card</c:v>
                </c:pt>
                <c:pt idx="1">
                  <c:v>COD</c:v>
                </c:pt>
                <c:pt idx="2">
                  <c:v>UPI</c:v>
                </c:pt>
              </c:strCache>
            </c:strRef>
          </c:cat>
          <c:val>
            <c:numRef>
              <c:f>'Pivot Table'!$T$15:$T$18</c:f>
              <c:numCache>
                <c:formatCode>General</c:formatCode>
                <c:ptCount val="3"/>
                <c:pt idx="0">
                  <c:v>451</c:v>
                </c:pt>
                <c:pt idx="1">
                  <c:v>515</c:v>
                </c:pt>
                <c:pt idx="2">
                  <c:v>534</c:v>
                </c:pt>
              </c:numCache>
            </c:numRef>
          </c:val>
          <c:extLst>
            <c:ext xmlns:c16="http://schemas.microsoft.com/office/drawing/2014/chart" uri="{C3380CC4-5D6E-409C-BE32-E72D297353CC}">
              <c16:uniqueId val="{00000000-CF49-47FC-8CBE-1B928A076F37}"/>
            </c:ext>
          </c:extLst>
        </c:ser>
        <c:dLbls>
          <c:dLblPos val="inEnd"/>
          <c:showLegendKey val="0"/>
          <c:showVal val="1"/>
          <c:showCatName val="0"/>
          <c:showSerName val="0"/>
          <c:showPercent val="0"/>
          <c:showBubbleSize val="0"/>
        </c:dLbls>
        <c:gapWidth val="40"/>
        <c:overlap val="100"/>
        <c:axId val="1804456336"/>
        <c:axId val="2141603600"/>
      </c:barChart>
      <c:catAx>
        <c:axId val="180445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603600"/>
        <c:crosses val="autoZero"/>
        <c:auto val="1"/>
        <c:lblAlgn val="ctr"/>
        <c:lblOffset val="100"/>
        <c:noMultiLvlLbl val="0"/>
      </c:catAx>
      <c:valAx>
        <c:axId val="2141603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45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Table'!$N$32</c:f>
              <c:strCache>
                <c:ptCount val="1"/>
                <c:pt idx="0">
                  <c:v>Total Sales</c:v>
                </c:pt>
              </c:strCache>
            </c:strRef>
          </c:tx>
          <c:spPr>
            <a:solidFill>
              <a:srgbClr val="114329"/>
            </a:solidFill>
            <a:ln>
              <a:solidFill>
                <a:schemeClr val="accent4">
                  <a:lumMod val="75000"/>
                </a:schemeClr>
              </a:solidFill>
            </a:ln>
            <a:effectLst/>
          </c:spPr>
          <c:invertIfNegative val="0"/>
          <c:dLbls>
            <c:delete val="1"/>
          </c:dLbls>
          <c:cat>
            <c:strRef>
              <c:f>'Pivot Table'!$M$33:$M$42</c:f>
              <c:strCache>
                <c:ptCount val="10"/>
                <c:pt idx="0">
                  <c:v>Laptop</c:v>
                </c:pt>
                <c:pt idx="1">
                  <c:v>Tablet</c:v>
                </c:pt>
                <c:pt idx="2">
                  <c:v>Watch</c:v>
                </c:pt>
                <c:pt idx="3">
                  <c:v>Smartwatch</c:v>
                </c:pt>
                <c:pt idx="4">
                  <c:v>Headphones</c:v>
                </c:pt>
                <c:pt idx="5">
                  <c:v>Shoes</c:v>
                </c:pt>
                <c:pt idx="6">
                  <c:v>Backpack</c:v>
                </c:pt>
                <c:pt idx="7">
                  <c:v>Book</c:v>
                </c:pt>
                <c:pt idx="8">
                  <c:v>Mobile Case</c:v>
                </c:pt>
                <c:pt idx="9">
                  <c:v>Water Bottle</c:v>
                </c:pt>
              </c:strCache>
            </c:strRef>
          </c:cat>
          <c:val>
            <c:numRef>
              <c:f>'Pivot Table'!$N$33:$N$42</c:f>
              <c:numCache>
                <c:formatCode>_-[$$-409]* #,##0_ ;_-[$$-409]* \-#,##0\ ;_-[$$-409]* "-"??_ ;_-@_ </c:formatCode>
                <c:ptCount val="10"/>
                <c:pt idx="0">
                  <c:v>12260253</c:v>
                </c:pt>
                <c:pt idx="1">
                  <c:v>5652265</c:v>
                </c:pt>
                <c:pt idx="2">
                  <c:v>5038675</c:v>
                </c:pt>
                <c:pt idx="3">
                  <c:v>2263254</c:v>
                </c:pt>
                <c:pt idx="4">
                  <c:v>972034</c:v>
                </c:pt>
                <c:pt idx="5">
                  <c:v>889654</c:v>
                </c:pt>
                <c:pt idx="6">
                  <c:v>479899</c:v>
                </c:pt>
                <c:pt idx="7">
                  <c:v>235903</c:v>
                </c:pt>
                <c:pt idx="8">
                  <c:v>228810</c:v>
                </c:pt>
                <c:pt idx="9">
                  <c:v>199984</c:v>
                </c:pt>
              </c:numCache>
            </c:numRef>
          </c:val>
          <c:extLst>
            <c:ext xmlns:c16="http://schemas.microsoft.com/office/drawing/2014/chart" uri="{C3380CC4-5D6E-409C-BE32-E72D297353CC}">
              <c16:uniqueId val="{00000000-E86D-4782-9DF4-B98449A9B563}"/>
            </c:ext>
          </c:extLst>
        </c:ser>
        <c:dLbls>
          <c:showLegendKey val="0"/>
          <c:showVal val="1"/>
          <c:showCatName val="0"/>
          <c:showSerName val="0"/>
          <c:showPercent val="0"/>
          <c:showBubbleSize val="0"/>
        </c:dLbls>
        <c:gapWidth val="219"/>
        <c:overlap val="-27"/>
        <c:axId val="2120024239"/>
        <c:axId val="2064580975"/>
      </c:barChart>
      <c:lineChart>
        <c:grouping val="standard"/>
        <c:varyColors val="0"/>
        <c:ser>
          <c:idx val="1"/>
          <c:order val="1"/>
          <c:tx>
            <c:strRef>
              <c:f>'Pivot Table'!$O$32</c:f>
              <c:strCache>
                <c:ptCount val="1"/>
                <c:pt idx="0">
                  <c:v>Cumulative %</c:v>
                </c:pt>
              </c:strCache>
            </c:strRef>
          </c:tx>
          <c:spPr>
            <a:ln w="28575" cap="rnd">
              <a:solidFill>
                <a:srgbClr val="FF0000"/>
              </a:solidFill>
              <a:prstDash val="solid"/>
              <a:round/>
            </a:ln>
            <a:effectLst/>
          </c:spPr>
          <c:marker>
            <c:symbol val="circle"/>
            <c:size val="5"/>
            <c:spPr>
              <a:solidFill>
                <a:schemeClr val="tx1"/>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Table'!$M$33:$M$42</c:f>
              <c:strCache>
                <c:ptCount val="10"/>
                <c:pt idx="0">
                  <c:v>Laptop</c:v>
                </c:pt>
                <c:pt idx="1">
                  <c:v>Tablet</c:v>
                </c:pt>
                <c:pt idx="2">
                  <c:v>Watch</c:v>
                </c:pt>
                <c:pt idx="3">
                  <c:v>Smartwatch</c:v>
                </c:pt>
                <c:pt idx="4">
                  <c:v>Headphones</c:v>
                </c:pt>
                <c:pt idx="5">
                  <c:v>Shoes</c:v>
                </c:pt>
                <c:pt idx="6">
                  <c:v>Backpack</c:v>
                </c:pt>
                <c:pt idx="7">
                  <c:v>Book</c:v>
                </c:pt>
                <c:pt idx="8">
                  <c:v>Mobile Case</c:v>
                </c:pt>
                <c:pt idx="9">
                  <c:v>Water Bottle</c:v>
                </c:pt>
              </c:strCache>
            </c:strRef>
          </c:cat>
          <c:val>
            <c:numRef>
              <c:f>'Pivot Table'!$O$33:$O$42</c:f>
              <c:numCache>
                <c:formatCode>0.00%</c:formatCode>
                <c:ptCount val="10"/>
                <c:pt idx="0">
                  <c:v>0.43444136865200267</c:v>
                </c:pt>
                <c:pt idx="1">
                  <c:v>0.63472905786884115</c:v>
                </c:pt>
                <c:pt idx="2">
                  <c:v>0.81327422028862395</c:v>
                </c:pt>
                <c:pt idx="3">
                  <c:v>0.89347249722198896</c:v>
                </c:pt>
                <c:pt idx="4">
                  <c:v>0.92791646679882234</c:v>
                </c:pt>
                <c:pt idx="5">
                  <c:v>0.95944130575497832</c:v>
                </c:pt>
                <c:pt idx="6">
                  <c:v>0.97644649956090768</c:v>
                </c:pt>
                <c:pt idx="7">
                  <c:v>0.98480570896622044</c:v>
                </c:pt>
                <c:pt idx="8">
                  <c:v>0.9929135783194275</c:v>
                </c:pt>
                <c:pt idx="9">
                  <c:v>0.99999999999999989</c:v>
                </c:pt>
              </c:numCache>
            </c:numRef>
          </c:val>
          <c:smooth val="0"/>
          <c:extLst>
            <c:ext xmlns:c16="http://schemas.microsoft.com/office/drawing/2014/chart" uri="{C3380CC4-5D6E-409C-BE32-E72D297353CC}">
              <c16:uniqueId val="{00000001-E86D-4782-9DF4-B98449A9B563}"/>
            </c:ext>
          </c:extLst>
        </c:ser>
        <c:ser>
          <c:idx val="2"/>
          <c:order val="2"/>
          <c:tx>
            <c:strRef>
              <c:f>'Pivot Table'!$P$32</c:f>
              <c:strCache>
                <c:ptCount val="1"/>
                <c:pt idx="0">
                  <c:v>Target</c:v>
                </c:pt>
              </c:strCache>
            </c:strRef>
          </c:tx>
          <c:spPr>
            <a:ln w="28575" cap="rnd">
              <a:solidFill>
                <a:schemeClr val="accent4">
                  <a:lumMod val="60000"/>
                  <a:lumOff val="40000"/>
                </a:schemeClr>
              </a:solidFill>
              <a:round/>
            </a:ln>
            <a:effectLst/>
          </c:spPr>
          <c:marker>
            <c:symbol val="none"/>
          </c:marker>
          <c:dLbls>
            <c:delete val="1"/>
          </c:dLbls>
          <c:cat>
            <c:strRef>
              <c:f>'Pivot Table'!$M$33:$M$42</c:f>
              <c:strCache>
                <c:ptCount val="10"/>
                <c:pt idx="0">
                  <c:v>Laptop</c:v>
                </c:pt>
                <c:pt idx="1">
                  <c:v>Tablet</c:v>
                </c:pt>
                <c:pt idx="2">
                  <c:v>Watch</c:v>
                </c:pt>
                <c:pt idx="3">
                  <c:v>Smartwatch</c:v>
                </c:pt>
                <c:pt idx="4">
                  <c:v>Headphones</c:v>
                </c:pt>
                <c:pt idx="5">
                  <c:v>Shoes</c:v>
                </c:pt>
                <c:pt idx="6">
                  <c:v>Backpack</c:v>
                </c:pt>
                <c:pt idx="7">
                  <c:v>Book</c:v>
                </c:pt>
                <c:pt idx="8">
                  <c:v>Mobile Case</c:v>
                </c:pt>
                <c:pt idx="9">
                  <c:v>Water Bottle</c:v>
                </c:pt>
              </c:strCache>
            </c:strRef>
          </c:cat>
          <c:val>
            <c:numRef>
              <c:f>'Pivot Table'!$P$33:$P$42</c:f>
              <c:numCache>
                <c:formatCode>0%</c:formatCode>
                <c:ptCount val="10"/>
                <c:pt idx="0">
                  <c:v>0.8</c:v>
                </c:pt>
                <c:pt idx="1">
                  <c:v>0.8</c:v>
                </c:pt>
                <c:pt idx="2">
                  <c:v>0.8</c:v>
                </c:pt>
                <c:pt idx="3">
                  <c:v>0.8</c:v>
                </c:pt>
                <c:pt idx="4">
                  <c:v>0.8</c:v>
                </c:pt>
                <c:pt idx="5">
                  <c:v>0.8</c:v>
                </c:pt>
                <c:pt idx="6">
                  <c:v>0.8</c:v>
                </c:pt>
                <c:pt idx="7">
                  <c:v>0.8</c:v>
                </c:pt>
                <c:pt idx="8">
                  <c:v>0.8</c:v>
                </c:pt>
                <c:pt idx="9">
                  <c:v>0.8</c:v>
                </c:pt>
              </c:numCache>
            </c:numRef>
          </c:val>
          <c:smooth val="0"/>
          <c:extLst>
            <c:ext xmlns:c16="http://schemas.microsoft.com/office/drawing/2014/chart" uri="{C3380CC4-5D6E-409C-BE32-E72D297353CC}">
              <c16:uniqueId val="{00000002-E86D-4782-9DF4-B98449A9B563}"/>
            </c:ext>
          </c:extLst>
        </c:ser>
        <c:dLbls>
          <c:showLegendKey val="0"/>
          <c:showVal val="1"/>
          <c:showCatName val="0"/>
          <c:showSerName val="0"/>
          <c:showPercent val="0"/>
          <c:showBubbleSize val="0"/>
        </c:dLbls>
        <c:marker val="1"/>
        <c:smooth val="0"/>
        <c:axId val="2120033983"/>
        <c:axId val="2064581455"/>
      </c:lineChart>
      <c:catAx>
        <c:axId val="2120024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580975"/>
        <c:crosses val="autoZero"/>
        <c:auto val="1"/>
        <c:lblAlgn val="ctr"/>
        <c:lblOffset val="100"/>
        <c:noMultiLvlLbl val="0"/>
      </c:catAx>
      <c:valAx>
        <c:axId val="2064580975"/>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024239"/>
        <c:crosses val="autoZero"/>
        <c:crossBetween val="between"/>
      </c:valAx>
      <c:valAx>
        <c:axId val="2064581455"/>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033983"/>
        <c:crosses val="max"/>
        <c:crossBetween val="between"/>
        <c:majorUnit val="0.1"/>
      </c:valAx>
      <c:catAx>
        <c:axId val="2120033983"/>
        <c:scaling>
          <c:orientation val="minMax"/>
        </c:scaling>
        <c:delete val="1"/>
        <c:axPos val="t"/>
        <c:numFmt formatCode="General" sourceLinked="1"/>
        <c:majorTickMark val="out"/>
        <c:minorTickMark val="none"/>
        <c:tickLblPos val="nextTo"/>
        <c:crossAx val="2064581455"/>
        <c:crosses val="max"/>
        <c:auto val="1"/>
        <c:lblAlgn val="ctr"/>
        <c:lblOffset val="100"/>
        <c:noMultiLvlLbl val="0"/>
      </c:catAx>
      <c:spPr>
        <a:noFill/>
        <a:ln>
          <a:noFill/>
        </a:ln>
        <a:effectLst/>
      </c:spPr>
    </c:plotArea>
    <c:legend>
      <c:legendPos val="b"/>
      <c:layout>
        <c:manualLayout>
          <c:xMode val="edge"/>
          <c:yMode val="edge"/>
          <c:x val="6.4479605184850505E-2"/>
          <c:y val="0.90054813991192517"/>
          <c:w val="0.89109579482466361"/>
          <c:h val="7.33662609819687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[dataset_e-commerce_sales_transaction.csv.xlsx]Pivot Table!PivotTable16</c:name>
    <c:fmtId val="32"/>
  </c:pivotSource>
  <c:chart>
    <c:autoTitleDeleted val="1"/>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14329"/>
          </a:solidFill>
          <a:ln>
            <a:noFill/>
          </a:ln>
          <a:effectLst/>
        </c:spPr>
      </c:pivotFmt>
      <c:pivotFmt>
        <c:idx val="4"/>
        <c:spPr>
          <a:solidFill>
            <a:schemeClr val="accent3">
              <a:lumMod val="75000"/>
            </a:schemeClr>
          </a:solidFill>
          <a:ln>
            <a:noFill/>
          </a:ln>
          <a:effectLst/>
        </c:spPr>
      </c:pivotFmt>
      <c:pivotFmt>
        <c:idx val="5"/>
        <c:spPr>
          <a:solidFill>
            <a:schemeClr val="accent3">
              <a:lumMod val="60000"/>
              <a:lumOff val="40000"/>
            </a:schemeClr>
          </a:solidFill>
          <a:ln>
            <a:noFill/>
          </a:ln>
          <a:effectLst/>
        </c:spPr>
      </c:pivotFmt>
    </c:pivotFmts>
    <c:plotArea>
      <c:layout>
        <c:manualLayout>
          <c:layoutTarget val="inner"/>
          <c:xMode val="edge"/>
          <c:yMode val="edge"/>
          <c:x val="8.8798567537349465E-2"/>
          <c:y val="3.301070280797215E-2"/>
          <c:w val="0.90256328034368161"/>
          <c:h val="0.82152890092484643"/>
        </c:manualLayout>
      </c:layout>
      <c:barChart>
        <c:barDir val="col"/>
        <c:grouping val="stacked"/>
        <c:varyColors val="0"/>
        <c:ser>
          <c:idx val="0"/>
          <c:order val="0"/>
          <c:tx>
            <c:strRef>
              <c:f>'Pivot Table'!$T$6</c:f>
              <c:strCache>
                <c:ptCount val="1"/>
                <c:pt idx="0">
                  <c:v>Total</c:v>
                </c:pt>
              </c:strCache>
            </c:strRef>
          </c:tx>
          <c:spPr>
            <a:solidFill>
              <a:schemeClr val="accent3">
                <a:lumMod val="50000"/>
              </a:schemeClr>
            </a:solidFill>
            <a:ln>
              <a:noFill/>
            </a:ln>
            <a:effectLst/>
          </c:spPr>
          <c:invertIfNegative val="0"/>
          <c:dPt>
            <c:idx val="0"/>
            <c:invertIfNegative val="0"/>
            <c:bubble3D val="0"/>
            <c:spPr>
              <a:solidFill>
                <a:srgbClr val="114329"/>
              </a:solidFill>
              <a:ln>
                <a:noFill/>
              </a:ln>
              <a:effectLst/>
            </c:spPr>
            <c:extLst>
              <c:ext xmlns:c16="http://schemas.microsoft.com/office/drawing/2014/chart" uri="{C3380CC4-5D6E-409C-BE32-E72D297353CC}">
                <c16:uniqueId val="{00000001-4C06-4ED4-86C2-582078F6197C}"/>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2-4C06-4ED4-86C2-582078F6197C}"/>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4C06-4ED4-86C2-582078F6197C}"/>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Table'!$S$7:$S$10</c:f>
              <c:strCache>
                <c:ptCount val="3"/>
                <c:pt idx="0">
                  <c:v>New</c:v>
                </c:pt>
                <c:pt idx="1">
                  <c:v>Premium</c:v>
                </c:pt>
                <c:pt idx="2">
                  <c:v>Returning</c:v>
                </c:pt>
              </c:strCache>
            </c:strRef>
          </c:cat>
          <c:val>
            <c:numRef>
              <c:f>'Pivot Table'!$T$7:$T$10</c:f>
              <c:numCache>
                <c:formatCode>General</c:formatCode>
                <c:ptCount val="3"/>
                <c:pt idx="0">
                  <c:v>533</c:v>
                </c:pt>
                <c:pt idx="1">
                  <c:v>528</c:v>
                </c:pt>
                <c:pt idx="2">
                  <c:v>439</c:v>
                </c:pt>
              </c:numCache>
            </c:numRef>
          </c:val>
          <c:extLst>
            <c:ext xmlns:c16="http://schemas.microsoft.com/office/drawing/2014/chart" uri="{C3380CC4-5D6E-409C-BE32-E72D297353CC}">
              <c16:uniqueId val="{00000000-4C06-4ED4-86C2-582078F6197C}"/>
            </c:ext>
          </c:extLst>
        </c:ser>
        <c:dLbls>
          <c:dLblPos val="ctr"/>
          <c:showLegendKey val="0"/>
          <c:showVal val="1"/>
          <c:showCatName val="0"/>
          <c:showSerName val="0"/>
          <c:showPercent val="0"/>
          <c:showBubbleSize val="0"/>
        </c:dLbls>
        <c:gapWidth val="69"/>
        <c:overlap val="-40"/>
        <c:axId val="1688675648"/>
        <c:axId val="287481040"/>
      </c:barChart>
      <c:catAx>
        <c:axId val="168867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481040"/>
        <c:crosses val="autoZero"/>
        <c:auto val="1"/>
        <c:lblAlgn val="ctr"/>
        <c:lblOffset val="100"/>
        <c:noMultiLvlLbl val="0"/>
      </c:catAx>
      <c:valAx>
        <c:axId val="28748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67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8.svg"/><Relationship Id="rId18" Type="http://schemas.openxmlformats.org/officeDocument/2006/relationships/chart" Target="../charts/chart7.xml"/><Relationship Id="rId26" Type="http://schemas.microsoft.com/office/2007/relationships/hdphoto" Target="../media/hdphoto1.wdp"/><Relationship Id="rId3" Type="http://schemas.openxmlformats.org/officeDocument/2006/relationships/chart" Target="../charts/chart4.xml"/><Relationship Id="rId21" Type="http://schemas.openxmlformats.org/officeDocument/2006/relationships/image" Target="../media/image15.png"/><Relationship Id="rId7" Type="http://schemas.openxmlformats.org/officeDocument/2006/relationships/image" Target="../media/image4.svg"/><Relationship Id="rId12" Type="http://schemas.openxmlformats.org/officeDocument/2006/relationships/image" Target="../media/image7.png"/><Relationship Id="rId17" Type="http://schemas.openxmlformats.org/officeDocument/2006/relationships/image" Target="../media/image12.svg"/><Relationship Id="rId25" Type="http://schemas.openxmlformats.org/officeDocument/2006/relationships/image" Target="../media/image19.png"/><Relationship Id="rId2" Type="http://schemas.openxmlformats.org/officeDocument/2006/relationships/chart" Target="../charts/chart3.xml"/><Relationship Id="rId16" Type="http://schemas.openxmlformats.org/officeDocument/2006/relationships/image" Target="../media/image11.png"/><Relationship Id="rId20" Type="http://schemas.openxmlformats.org/officeDocument/2006/relationships/image" Target="../media/image14.svg"/><Relationship Id="rId1" Type="http://schemas.openxmlformats.org/officeDocument/2006/relationships/chart" Target="../charts/chart2.xml"/><Relationship Id="rId6" Type="http://schemas.openxmlformats.org/officeDocument/2006/relationships/image" Target="../media/image3.png"/><Relationship Id="rId11" Type="http://schemas.openxmlformats.org/officeDocument/2006/relationships/image" Target="../media/image6.svg"/><Relationship Id="rId24" Type="http://schemas.openxmlformats.org/officeDocument/2006/relationships/image" Target="../media/image18.svg"/><Relationship Id="rId5" Type="http://schemas.openxmlformats.org/officeDocument/2006/relationships/image" Target="../media/image2.svg"/><Relationship Id="rId15" Type="http://schemas.openxmlformats.org/officeDocument/2006/relationships/image" Target="../media/image10.svg"/><Relationship Id="rId23" Type="http://schemas.openxmlformats.org/officeDocument/2006/relationships/image" Target="../media/image17.png"/><Relationship Id="rId10" Type="http://schemas.openxmlformats.org/officeDocument/2006/relationships/image" Target="../media/image5.png"/><Relationship Id="rId19" Type="http://schemas.openxmlformats.org/officeDocument/2006/relationships/image" Target="../media/image13.png"/><Relationship Id="rId4" Type="http://schemas.openxmlformats.org/officeDocument/2006/relationships/image" Target="../media/image1.png"/><Relationship Id="rId9" Type="http://schemas.openxmlformats.org/officeDocument/2006/relationships/chart" Target="../charts/chart6.xml"/><Relationship Id="rId14" Type="http://schemas.openxmlformats.org/officeDocument/2006/relationships/image" Target="../media/image9.pn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12</xdr:col>
      <xdr:colOff>24190</xdr:colOff>
      <xdr:row>44</xdr:row>
      <xdr:rowOff>129887</xdr:rowOff>
    </xdr:from>
    <xdr:to>
      <xdr:col>17</xdr:col>
      <xdr:colOff>84667</xdr:colOff>
      <xdr:row>59</xdr:row>
      <xdr:rowOff>12095</xdr:rowOff>
    </xdr:to>
    <xdr:graphicFrame macro="">
      <xdr:nvGraphicFramePr>
        <xdr:cNvPr id="3" name="Chart 2">
          <a:extLst>
            <a:ext uri="{FF2B5EF4-FFF2-40B4-BE49-F238E27FC236}">
              <a16:creationId xmlns:a16="http://schemas.microsoft.com/office/drawing/2014/main" id="{118BE1B2-BC4C-49B8-ADC8-0C5082DAD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64575</xdr:rowOff>
    </xdr:from>
    <xdr:to>
      <xdr:col>28</xdr:col>
      <xdr:colOff>25830</xdr:colOff>
      <xdr:row>59</xdr:row>
      <xdr:rowOff>167897</xdr:rowOff>
    </xdr:to>
    <xdr:sp macro="" textlink="">
      <xdr:nvSpPr>
        <xdr:cNvPr id="3" name="Rectangle: Rounded Corners 2">
          <a:extLst>
            <a:ext uri="{FF2B5EF4-FFF2-40B4-BE49-F238E27FC236}">
              <a16:creationId xmlns:a16="http://schemas.microsoft.com/office/drawing/2014/main" id="{655D5B9B-E48D-D62B-731B-BA62DD41E603}"/>
            </a:ext>
          </a:extLst>
        </xdr:cNvPr>
        <xdr:cNvSpPr/>
      </xdr:nvSpPr>
      <xdr:spPr>
        <a:xfrm>
          <a:off x="0" y="251733"/>
          <a:ext cx="17257725" cy="10958480"/>
        </a:xfrm>
        <a:prstGeom prst="roundRect">
          <a:avLst>
            <a:gd name="adj" fmla="val 2610"/>
          </a:avLst>
        </a:prstGeom>
        <a:solidFill>
          <a:sysClr val="window" lastClr="FFFFFF"/>
        </a:solid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606737</xdr:colOff>
      <xdr:row>2</xdr:row>
      <xdr:rowOff>151044</xdr:rowOff>
    </xdr:from>
    <xdr:to>
      <xdr:col>21</xdr:col>
      <xdr:colOff>599296</xdr:colOff>
      <xdr:row>7</xdr:row>
      <xdr:rowOff>41012</xdr:rowOff>
    </xdr:to>
    <xdr:sp macro="" textlink="">
      <xdr:nvSpPr>
        <xdr:cNvPr id="4" name="Rectangle: Rounded Corners 3">
          <a:extLst>
            <a:ext uri="{FF2B5EF4-FFF2-40B4-BE49-F238E27FC236}">
              <a16:creationId xmlns:a16="http://schemas.microsoft.com/office/drawing/2014/main" id="{9A8AF235-6889-8AA9-7E29-CE354DEE070A}"/>
            </a:ext>
          </a:extLst>
        </xdr:cNvPr>
        <xdr:cNvSpPr/>
      </xdr:nvSpPr>
      <xdr:spPr>
        <a:xfrm>
          <a:off x="2427788" y="512671"/>
          <a:ext cx="10931779" cy="794036"/>
        </a:xfrm>
        <a:prstGeom prst="roundRect">
          <a:avLst/>
        </a:prstGeom>
        <a:solidFill>
          <a:schemeClr val="accent3">
            <a:lumMod val="50000"/>
          </a:schemeClr>
        </a:solidFill>
        <a:ln w="5715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aseline="0">
              <a:solidFill>
                <a:schemeClr val="lt1"/>
              </a:solidFill>
              <a:effectLst/>
              <a:latin typeface="Arial Black" panose="020B0A04020102020204" pitchFamily="34" charset="0"/>
              <a:ea typeface="+mn-ea"/>
              <a:cs typeface="+mn-cs"/>
            </a:rPr>
            <a:t>E-COMMERCE </a:t>
          </a:r>
          <a:r>
            <a:rPr lang="en-US" sz="2800">
              <a:latin typeface="Arial Black" panose="020B0A04020102020204" pitchFamily="34" charset="0"/>
            </a:rPr>
            <a:t>SALES</a:t>
          </a:r>
          <a:r>
            <a:rPr lang="en-US" sz="2800" baseline="0">
              <a:latin typeface="Arial Black" panose="020B0A04020102020204" pitchFamily="34" charset="0"/>
            </a:rPr>
            <a:t> PERFORMANCE DASHBOARD</a:t>
          </a:r>
          <a:endParaRPr lang="en-US" sz="2800">
            <a:latin typeface="Arial Black" panose="020B0A04020102020204" pitchFamily="34" charset="0"/>
          </a:endParaRPr>
        </a:p>
      </xdr:txBody>
    </xdr:sp>
    <xdr:clientData/>
  </xdr:twoCellAnchor>
  <xdr:twoCellAnchor>
    <xdr:from>
      <xdr:col>3</xdr:col>
      <xdr:colOff>340179</xdr:colOff>
      <xdr:row>37</xdr:row>
      <xdr:rowOff>27192</xdr:rowOff>
    </xdr:from>
    <xdr:to>
      <xdr:col>18</xdr:col>
      <xdr:colOff>310816</xdr:colOff>
      <xdr:row>57</xdr:row>
      <xdr:rowOff>13822</xdr:rowOff>
    </xdr:to>
    <xdr:sp macro="" textlink="">
      <xdr:nvSpPr>
        <xdr:cNvPr id="5" name="Rectangle: Rounded Corners 4">
          <a:extLst>
            <a:ext uri="{FF2B5EF4-FFF2-40B4-BE49-F238E27FC236}">
              <a16:creationId xmlns:a16="http://schemas.microsoft.com/office/drawing/2014/main" id="{9AE56580-49BE-A325-271C-87A681702DB1}"/>
            </a:ext>
          </a:extLst>
        </xdr:cNvPr>
        <xdr:cNvSpPr/>
      </xdr:nvSpPr>
      <xdr:spPr>
        <a:xfrm>
          <a:off x="2174995" y="6704718"/>
          <a:ext cx="9154742" cy="3596104"/>
        </a:xfrm>
        <a:prstGeom prst="roundRect">
          <a:avLst>
            <a:gd name="adj" fmla="val 13006"/>
          </a:avLst>
        </a:prstGeom>
        <a:pattFill prst="pct5">
          <a:fgClr>
            <a:schemeClr val="lt1"/>
          </a:fgClr>
          <a:bgClr>
            <a:schemeClr val="bg1"/>
          </a:bgClr>
        </a:pattFill>
        <a:ln w="28575">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baseline="0">
              <a:latin typeface="Arial Black" panose="020B0A04020102020204" pitchFamily="34" charset="0"/>
            </a:rPr>
            <a:t>        Revenue by Month</a:t>
          </a:r>
          <a:endParaRPr lang="en-US" sz="1800" b="1">
            <a:latin typeface="Arial Black" panose="020B0A04020102020204" pitchFamily="34" charset="0"/>
          </a:endParaRPr>
        </a:p>
      </xdr:txBody>
    </xdr:sp>
    <xdr:clientData/>
  </xdr:twoCellAnchor>
  <xdr:twoCellAnchor>
    <xdr:from>
      <xdr:col>22</xdr:col>
      <xdr:colOff>258305</xdr:colOff>
      <xdr:row>3</xdr:row>
      <xdr:rowOff>40821</xdr:rowOff>
    </xdr:from>
    <xdr:to>
      <xdr:col>27</xdr:col>
      <xdr:colOff>452034</xdr:colOff>
      <xdr:row>16</xdr:row>
      <xdr:rowOff>5892</xdr:rowOff>
    </xdr:to>
    <xdr:sp macro="" textlink="">
      <xdr:nvSpPr>
        <xdr:cNvPr id="8" name="Rectangle: Rounded Corners 7">
          <a:extLst>
            <a:ext uri="{FF2B5EF4-FFF2-40B4-BE49-F238E27FC236}">
              <a16:creationId xmlns:a16="http://schemas.microsoft.com/office/drawing/2014/main" id="{50E94466-F614-2787-17BD-254341213FD6}"/>
            </a:ext>
          </a:extLst>
        </xdr:cNvPr>
        <xdr:cNvSpPr/>
      </xdr:nvSpPr>
      <xdr:spPr>
        <a:xfrm>
          <a:off x="13742984" y="571500"/>
          <a:ext cx="3255336" cy="2264678"/>
        </a:xfrm>
        <a:prstGeom prst="roundRect">
          <a:avLst>
            <a:gd name="adj" fmla="val 11749"/>
          </a:avLst>
        </a:prstGeom>
        <a:pattFill prst="pct5">
          <a:fgClr>
            <a:schemeClr val="lt1"/>
          </a:fgClr>
          <a:bgClr>
            <a:schemeClr val="bg1"/>
          </a:bgClr>
        </a:pattFill>
        <a:ln w="28575">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u="none">
              <a:latin typeface="Arial Black" panose="020B0A04020102020204" pitchFamily="34" charset="0"/>
            </a:rPr>
            <a:t>       Category</a:t>
          </a:r>
        </a:p>
      </xdr:txBody>
    </xdr:sp>
    <xdr:clientData/>
  </xdr:twoCellAnchor>
  <xdr:twoCellAnchor>
    <xdr:from>
      <xdr:col>3</xdr:col>
      <xdr:colOff>331676</xdr:colOff>
      <xdr:row>17</xdr:row>
      <xdr:rowOff>162393</xdr:rowOff>
    </xdr:from>
    <xdr:to>
      <xdr:col>14</xdr:col>
      <xdr:colOff>239485</xdr:colOff>
      <xdr:row>35</xdr:row>
      <xdr:rowOff>49968</xdr:rowOff>
    </xdr:to>
    <xdr:sp macro="" textlink="">
      <xdr:nvSpPr>
        <xdr:cNvPr id="11" name="Rectangle: Rounded Corners 10">
          <a:extLst>
            <a:ext uri="{FF2B5EF4-FFF2-40B4-BE49-F238E27FC236}">
              <a16:creationId xmlns:a16="http://schemas.microsoft.com/office/drawing/2014/main" id="{ABD503FE-52B7-4091-8BC9-1C77FB65A269}"/>
            </a:ext>
          </a:extLst>
        </xdr:cNvPr>
        <xdr:cNvSpPr/>
      </xdr:nvSpPr>
      <xdr:spPr>
        <a:xfrm>
          <a:off x="2167971" y="3347803"/>
          <a:ext cx="6653383" cy="3260362"/>
        </a:xfrm>
        <a:prstGeom prst="roundRect">
          <a:avLst/>
        </a:prstGeom>
        <a:solidFill>
          <a:schemeClr val="lt1"/>
        </a:solidFill>
        <a:ln w="19050">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latin typeface="Arial Black" panose="020B0A04020102020204" pitchFamily="34" charset="0"/>
            </a:rPr>
            <a:t>      Product</a:t>
          </a:r>
          <a:r>
            <a:rPr lang="en-US" sz="1800" b="1" baseline="0">
              <a:latin typeface="Arial Black" panose="020B0A04020102020204" pitchFamily="34" charset="0"/>
            </a:rPr>
            <a:t> Name</a:t>
          </a:r>
          <a:endParaRPr lang="en-US" sz="1800" b="1">
            <a:latin typeface="Arial Black" panose="020B0A04020102020204" pitchFamily="34" charset="0"/>
          </a:endParaRPr>
        </a:p>
      </xdr:txBody>
    </xdr:sp>
    <xdr:clientData/>
  </xdr:twoCellAnchor>
  <xdr:twoCellAnchor>
    <xdr:from>
      <xdr:col>0</xdr:col>
      <xdr:colOff>238882</xdr:colOff>
      <xdr:row>8</xdr:row>
      <xdr:rowOff>108857</xdr:rowOff>
    </xdr:from>
    <xdr:to>
      <xdr:col>3</xdr:col>
      <xdr:colOff>125481</xdr:colOff>
      <xdr:row>57</xdr:row>
      <xdr:rowOff>54428</xdr:rowOff>
    </xdr:to>
    <xdr:sp macro="" textlink="">
      <xdr:nvSpPr>
        <xdr:cNvPr id="2" name="Rectangle: Rounded Corners 1">
          <a:extLst>
            <a:ext uri="{FF2B5EF4-FFF2-40B4-BE49-F238E27FC236}">
              <a16:creationId xmlns:a16="http://schemas.microsoft.com/office/drawing/2014/main" id="{844FA2E7-9346-5955-011F-201FA25C3F2B}"/>
            </a:ext>
          </a:extLst>
        </xdr:cNvPr>
        <xdr:cNvSpPr/>
      </xdr:nvSpPr>
      <xdr:spPr>
        <a:xfrm>
          <a:off x="238882" y="1524000"/>
          <a:ext cx="1723563" cy="8613321"/>
        </a:xfrm>
        <a:prstGeom prst="roundRect">
          <a:avLst>
            <a:gd name="adj" fmla="val 11465"/>
          </a:avLst>
        </a:prstGeom>
        <a:solidFill>
          <a:sysClr val="window" lastClr="FFFFFF"/>
        </a:solidFill>
        <a:ln w="28575">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600" b="1">
            <a:latin typeface="Arial Black" panose="020B0A04020102020204" pitchFamily="34" charset="0"/>
          </a:endParaRPr>
        </a:p>
      </xdr:txBody>
    </xdr:sp>
    <xdr:clientData/>
  </xdr:twoCellAnchor>
  <xdr:twoCellAnchor editAs="oneCell">
    <xdr:from>
      <xdr:col>0</xdr:col>
      <xdr:colOff>374316</xdr:colOff>
      <xdr:row>9</xdr:row>
      <xdr:rowOff>136072</xdr:rowOff>
    </xdr:from>
    <xdr:to>
      <xdr:col>2</xdr:col>
      <xdr:colOff>561473</xdr:colOff>
      <xdr:row>21</xdr:row>
      <xdr:rowOff>160422</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C3BA0B8C-5481-44D9-BAA9-4253A6D02B3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74316" y="1953654"/>
              <a:ext cx="1417052" cy="2137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362570</xdr:colOff>
      <xdr:row>34</xdr:row>
      <xdr:rowOff>121987</xdr:rowOff>
    </xdr:from>
    <xdr:to>
      <xdr:col>3</xdr:col>
      <xdr:colOff>2222</xdr:colOff>
      <xdr:row>56</xdr:row>
      <xdr:rowOff>14652</xdr:rowOff>
    </xdr:to>
    <mc:AlternateContent xmlns:mc="http://schemas.openxmlformats.org/markup-compatibility/2006" xmlns:a14="http://schemas.microsoft.com/office/drawing/2010/main">
      <mc:Choice Requires="a14">
        <xdr:graphicFrame macro="">
          <xdr:nvGraphicFramePr>
            <xdr:cNvPr id="12" name="Month_Name 2">
              <a:extLst>
                <a:ext uri="{FF2B5EF4-FFF2-40B4-BE49-F238E27FC236}">
                  <a16:creationId xmlns:a16="http://schemas.microsoft.com/office/drawing/2014/main" id="{CBE05DC6-668F-4D72-8164-6F094101BD03}"/>
                </a:ext>
              </a:extLst>
            </xdr:cNvPr>
            <xdr:cNvGraphicFramePr/>
          </xdr:nvGraphicFramePr>
          <xdr:xfrm>
            <a:off x="0" y="0"/>
            <a:ext cx="0" cy="0"/>
          </xdr:xfrm>
          <a:graphic>
            <a:graphicData uri="http://schemas.microsoft.com/office/drawing/2010/slicer">
              <sle:slicer xmlns:sle="http://schemas.microsoft.com/office/drawing/2010/slicer" name="Month_Name 2"/>
            </a:graphicData>
          </a:graphic>
        </xdr:graphicFrame>
      </mc:Choice>
      <mc:Fallback xmlns="">
        <xdr:sp macro="" textlink="">
          <xdr:nvSpPr>
            <xdr:cNvPr id="0" name=""/>
            <xdr:cNvSpPr>
              <a:spLocks noTextEdit="1"/>
            </xdr:cNvSpPr>
          </xdr:nvSpPr>
          <xdr:spPr>
            <a:xfrm>
              <a:off x="362570" y="6136345"/>
              <a:ext cx="1470223" cy="3824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373126</xdr:colOff>
      <xdr:row>23</xdr:row>
      <xdr:rowOff>4638</xdr:rowOff>
    </xdr:from>
    <xdr:to>
      <xdr:col>2</xdr:col>
      <xdr:colOff>593602</xdr:colOff>
      <xdr:row>33</xdr:row>
      <xdr:rowOff>107811</xdr:rowOff>
    </xdr:to>
    <mc:AlternateContent xmlns:mc="http://schemas.openxmlformats.org/markup-compatibility/2006" xmlns:a14="http://schemas.microsoft.com/office/drawing/2010/main">
      <mc:Choice Requires="a14">
        <xdr:graphicFrame macro="">
          <xdr:nvGraphicFramePr>
            <xdr:cNvPr id="16" name="Year 1">
              <a:extLst>
                <a:ext uri="{FF2B5EF4-FFF2-40B4-BE49-F238E27FC236}">
                  <a16:creationId xmlns:a16="http://schemas.microsoft.com/office/drawing/2014/main" id="{D3D917B2-453F-4A49-9D9C-4877E9D4A11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73126" y="4210878"/>
              <a:ext cx="1439676" cy="1931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511342</xdr:colOff>
      <xdr:row>21</xdr:row>
      <xdr:rowOff>90860</xdr:rowOff>
    </xdr:from>
    <xdr:to>
      <xdr:col>14</xdr:col>
      <xdr:colOff>20053</xdr:colOff>
      <xdr:row>34</xdr:row>
      <xdr:rowOff>3626</xdr:rowOff>
    </xdr:to>
    <xdr:graphicFrame macro="">
      <xdr:nvGraphicFramePr>
        <xdr:cNvPr id="20" name="Product Name">
          <a:extLst>
            <a:ext uri="{FF2B5EF4-FFF2-40B4-BE49-F238E27FC236}">
              <a16:creationId xmlns:a16="http://schemas.microsoft.com/office/drawing/2014/main" id="{1FCD78F6-D985-4E22-A82E-E0F62AC17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462643</xdr:colOff>
      <xdr:row>40</xdr:row>
      <xdr:rowOff>47037</xdr:rowOff>
    </xdr:from>
    <xdr:to>
      <xdr:col>18</xdr:col>
      <xdr:colOff>140368</xdr:colOff>
      <xdr:row>56</xdr:row>
      <xdr:rowOff>25832</xdr:rowOff>
    </xdr:to>
    <xdr:graphicFrame macro="">
      <xdr:nvGraphicFramePr>
        <xdr:cNvPr id="13" name="Chart 12">
          <a:extLst>
            <a:ext uri="{FF2B5EF4-FFF2-40B4-BE49-F238E27FC236}">
              <a16:creationId xmlns:a16="http://schemas.microsoft.com/office/drawing/2014/main" id="{84A07257-7BD7-400D-880E-2666252E4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353785</xdr:colOff>
      <xdr:row>6</xdr:row>
      <xdr:rowOff>0</xdr:rowOff>
    </xdr:from>
    <xdr:to>
      <xdr:col>27</xdr:col>
      <xdr:colOff>330869</xdr:colOff>
      <xdr:row>15</xdr:row>
      <xdr:rowOff>116237</xdr:rowOff>
    </xdr:to>
    <xdr:graphicFrame macro="">
      <xdr:nvGraphicFramePr>
        <xdr:cNvPr id="15" name="Chart 14">
          <a:extLst>
            <a:ext uri="{FF2B5EF4-FFF2-40B4-BE49-F238E27FC236}">
              <a16:creationId xmlns:a16="http://schemas.microsoft.com/office/drawing/2014/main" id="{C770F246-73D6-4C5A-8313-6D706335F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544462</xdr:colOff>
      <xdr:row>8</xdr:row>
      <xdr:rowOff>155226</xdr:rowOff>
    </xdr:from>
    <xdr:to>
      <xdr:col>9</xdr:col>
      <xdr:colOff>187158</xdr:colOff>
      <xdr:row>15</xdr:row>
      <xdr:rowOff>147052</xdr:rowOff>
    </xdr:to>
    <xdr:sp macro="" textlink="">
      <xdr:nvSpPr>
        <xdr:cNvPr id="7" name="Rectangle: Rounded Corners 6">
          <a:extLst>
            <a:ext uri="{FF2B5EF4-FFF2-40B4-BE49-F238E27FC236}">
              <a16:creationId xmlns:a16="http://schemas.microsoft.com/office/drawing/2014/main" id="{DAC4DDA7-AD8E-2C5D-AC69-CBA7F9357B85}"/>
            </a:ext>
          </a:extLst>
        </xdr:cNvPr>
        <xdr:cNvSpPr/>
      </xdr:nvSpPr>
      <xdr:spPr>
        <a:xfrm>
          <a:off x="2389304" y="1652489"/>
          <a:ext cx="3345749" cy="1301931"/>
        </a:xfrm>
        <a:prstGeom prst="roundRect">
          <a:avLst>
            <a:gd name="adj" fmla="val 0"/>
          </a:avLst>
        </a:prstGeom>
        <a:pattFill prst="pct5">
          <a:fgClr>
            <a:schemeClr val="lt1"/>
          </a:fgClr>
          <a:bgClr>
            <a:schemeClr val="bg1"/>
          </a:bgClr>
        </a:pattFill>
        <a:ln w="28575">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latin typeface="Arial Black" panose="020B0A04020102020204" pitchFamily="34" charset="0"/>
            </a:rPr>
            <a:t>       </a:t>
          </a:r>
          <a:r>
            <a:rPr lang="en-US" sz="1800" b="1" baseline="0">
              <a:latin typeface="Arial Black" panose="020B0A04020102020204" pitchFamily="34" charset="0"/>
            </a:rPr>
            <a:t> Revenue</a:t>
          </a:r>
          <a:endParaRPr lang="en-US" sz="1800" b="1">
            <a:latin typeface="Arial Black" panose="020B0A04020102020204" pitchFamily="34" charset="0"/>
          </a:endParaRPr>
        </a:p>
      </xdr:txBody>
    </xdr:sp>
    <xdr:clientData/>
  </xdr:twoCellAnchor>
  <xdr:twoCellAnchor>
    <xdr:from>
      <xdr:col>4</xdr:col>
      <xdr:colOff>232474</xdr:colOff>
      <xdr:row>11</xdr:row>
      <xdr:rowOff>60765</xdr:rowOff>
    </xdr:from>
    <xdr:to>
      <xdr:col>9</xdr:col>
      <xdr:colOff>154982</xdr:colOff>
      <xdr:row>14</xdr:row>
      <xdr:rowOff>167898</xdr:rowOff>
    </xdr:to>
    <xdr:sp macro="" textlink="'Pivot Table'!A37">
      <xdr:nvSpPr>
        <xdr:cNvPr id="17" name="TextBox 16">
          <a:extLst>
            <a:ext uri="{FF2B5EF4-FFF2-40B4-BE49-F238E27FC236}">
              <a16:creationId xmlns:a16="http://schemas.microsoft.com/office/drawing/2014/main" id="{AAF38519-65C8-4713-88A1-4358976123AB}"/>
            </a:ext>
          </a:extLst>
        </xdr:cNvPr>
        <xdr:cNvSpPr txBox="1"/>
      </xdr:nvSpPr>
      <xdr:spPr>
        <a:xfrm>
          <a:off x="2660542" y="2049714"/>
          <a:ext cx="2970508" cy="649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3A77816-92FD-4F84-AF6D-EFC0A9B649E5}" type="TxLink">
            <a:rPr lang="en-US" sz="3600" b="1" i="0" u="none" strike="noStrike">
              <a:solidFill>
                <a:srgbClr val="000000"/>
              </a:solidFill>
              <a:latin typeface="Arial" panose="020B0604020202020204" pitchFamily="34" charset="0"/>
              <a:ea typeface="Calibri"/>
              <a:cs typeface="Arial" panose="020B0604020202020204" pitchFamily="34" charset="0"/>
            </a:rPr>
            <a:pPr algn="l"/>
            <a:t> </a:t>
          </a:fld>
          <a:endParaRPr lang="en-US" sz="3600" b="1">
            <a:latin typeface="Arial" panose="020B0604020202020204" pitchFamily="34" charset="0"/>
            <a:cs typeface="Arial" panose="020B0604020202020204" pitchFamily="34" charset="0"/>
          </a:endParaRPr>
        </a:p>
      </xdr:txBody>
    </xdr:sp>
    <xdr:clientData/>
  </xdr:twoCellAnchor>
  <xdr:twoCellAnchor editAs="oneCell">
    <xdr:from>
      <xdr:col>3</xdr:col>
      <xdr:colOff>568271</xdr:colOff>
      <xdr:row>8</xdr:row>
      <xdr:rowOff>175021</xdr:rowOff>
    </xdr:from>
    <xdr:to>
      <xdr:col>4</xdr:col>
      <xdr:colOff>531999</xdr:colOff>
      <xdr:row>12</xdr:row>
      <xdr:rowOff>17010</xdr:rowOff>
    </xdr:to>
    <xdr:pic>
      <xdr:nvPicPr>
        <xdr:cNvPr id="33" name="Graphic 32" descr="Coins with solid fill">
          <a:extLst>
            <a:ext uri="{FF2B5EF4-FFF2-40B4-BE49-F238E27FC236}">
              <a16:creationId xmlns:a16="http://schemas.microsoft.com/office/drawing/2014/main" id="{E7AE8778-E396-898D-F54A-D17BB1078E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389322" y="1621529"/>
          <a:ext cx="570745" cy="565244"/>
        </a:xfrm>
        <a:prstGeom prst="rect">
          <a:avLst/>
        </a:prstGeom>
      </xdr:spPr>
    </xdr:pic>
    <xdr:clientData/>
  </xdr:twoCellAnchor>
  <xdr:twoCellAnchor>
    <xdr:from>
      <xdr:col>10</xdr:col>
      <xdr:colOff>70649</xdr:colOff>
      <xdr:row>8</xdr:row>
      <xdr:rowOff>128682</xdr:rowOff>
    </xdr:from>
    <xdr:to>
      <xdr:col>15</xdr:col>
      <xdr:colOff>320844</xdr:colOff>
      <xdr:row>15</xdr:row>
      <xdr:rowOff>120316</xdr:rowOff>
    </xdr:to>
    <xdr:sp macro="" textlink="">
      <xdr:nvSpPr>
        <xdr:cNvPr id="39" name="Rectangle: Rounded Corners 38">
          <a:extLst>
            <a:ext uri="{FF2B5EF4-FFF2-40B4-BE49-F238E27FC236}">
              <a16:creationId xmlns:a16="http://schemas.microsoft.com/office/drawing/2014/main" id="{39CCBDC9-BCE6-450B-847F-49E9FCE781C7}"/>
            </a:ext>
          </a:extLst>
        </xdr:cNvPr>
        <xdr:cNvSpPr/>
      </xdr:nvSpPr>
      <xdr:spPr>
        <a:xfrm>
          <a:off x="6233491" y="1625945"/>
          <a:ext cx="3324932" cy="1301739"/>
        </a:xfrm>
        <a:prstGeom prst="roundRect">
          <a:avLst>
            <a:gd name="adj" fmla="val 0"/>
          </a:avLst>
        </a:prstGeom>
        <a:pattFill prst="pct5">
          <a:fgClr>
            <a:schemeClr val="lt1"/>
          </a:fgClr>
          <a:bgClr>
            <a:schemeClr val="bg1"/>
          </a:bgClr>
        </a:pattFill>
        <a:ln w="28575">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latin typeface="Arial Black" panose="020B0A04020102020204" pitchFamily="34" charset="0"/>
            </a:rPr>
            <a:t>       </a:t>
          </a:r>
          <a:r>
            <a:rPr lang="en-US" sz="1400" b="1" baseline="0">
              <a:latin typeface="Arial Black" panose="020B0A04020102020204" pitchFamily="34" charset="0"/>
            </a:rPr>
            <a:t>  </a:t>
          </a:r>
          <a:r>
            <a:rPr lang="en-US" sz="1800" b="1" baseline="0">
              <a:latin typeface="Arial Black" panose="020B0A04020102020204" pitchFamily="34" charset="0"/>
            </a:rPr>
            <a:t>Quantity</a:t>
          </a:r>
          <a:endParaRPr lang="en-US" sz="1800" b="1">
            <a:latin typeface="Arial Black" panose="020B0A04020102020204" pitchFamily="34" charset="0"/>
          </a:endParaRPr>
        </a:p>
      </xdr:txBody>
    </xdr:sp>
    <xdr:clientData/>
  </xdr:twoCellAnchor>
  <xdr:twoCellAnchor>
    <xdr:from>
      <xdr:col>16</xdr:col>
      <xdr:colOff>200526</xdr:colOff>
      <xdr:row>8</xdr:row>
      <xdr:rowOff>139269</xdr:rowOff>
    </xdr:from>
    <xdr:to>
      <xdr:col>21</xdr:col>
      <xdr:colOff>481262</xdr:colOff>
      <xdr:row>15</xdr:row>
      <xdr:rowOff>133685</xdr:rowOff>
    </xdr:to>
    <xdr:sp macro="" textlink="">
      <xdr:nvSpPr>
        <xdr:cNvPr id="41" name="Rectangle: Rounded Corners 40">
          <a:extLst>
            <a:ext uri="{FF2B5EF4-FFF2-40B4-BE49-F238E27FC236}">
              <a16:creationId xmlns:a16="http://schemas.microsoft.com/office/drawing/2014/main" id="{D255DADA-5548-4107-977B-0E8E1FBBFDDF}"/>
            </a:ext>
          </a:extLst>
        </xdr:cNvPr>
        <xdr:cNvSpPr/>
      </xdr:nvSpPr>
      <xdr:spPr>
        <a:xfrm>
          <a:off x="10053052" y="1636532"/>
          <a:ext cx="3355473" cy="1304521"/>
        </a:xfrm>
        <a:prstGeom prst="roundRect">
          <a:avLst>
            <a:gd name="adj" fmla="val 0"/>
          </a:avLst>
        </a:prstGeom>
        <a:pattFill prst="pct5">
          <a:fgClr>
            <a:schemeClr val="lt1"/>
          </a:fgClr>
          <a:bgClr>
            <a:schemeClr val="bg1"/>
          </a:bgClr>
        </a:pattFill>
        <a:ln w="28575">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latin typeface="Arial Black" panose="020B0A04020102020204" pitchFamily="34" charset="0"/>
            </a:rPr>
            <a:t>       Total Orders</a:t>
          </a:r>
        </a:p>
      </xdr:txBody>
    </xdr:sp>
    <xdr:clientData/>
  </xdr:twoCellAnchor>
  <xdr:twoCellAnchor>
    <xdr:from>
      <xdr:col>17</xdr:col>
      <xdr:colOff>25831</xdr:colOff>
      <xdr:row>11</xdr:row>
      <xdr:rowOff>49789</xdr:rowOff>
    </xdr:from>
    <xdr:to>
      <xdr:col>21</xdr:col>
      <xdr:colOff>180817</xdr:colOff>
      <xdr:row>14</xdr:row>
      <xdr:rowOff>129151</xdr:rowOff>
    </xdr:to>
    <xdr:sp macro="" textlink="'Pivot Table'!A42">
      <xdr:nvSpPr>
        <xdr:cNvPr id="43" name="TextBox 42">
          <a:extLst>
            <a:ext uri="{FF2B5EF4-FFF2-40B4-BE49-F238E27FC236}">
              <a16:creationId xmlns:a16="http://schemas.microsoft.com/office/drawing/2014/main" id="{19B47010-FF56-4ED2-8C70-19D415EEB53F}"/>
            </a:ext>
          </a:extLst>
        </xdr:cNvPr>
        <xdr:cNvSpPr txBox="1"/>
      </xdr:nvSpPr>
      <xdr:spPr>
        <a:xfrm>
          <a:off x="10358034" y="2038738"/>
          <a:ext cx="2583054" cy="621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00EFF3-D303-4E1A-8AFF-529C8CE041B9}" type="TxLink">
            <a:rPr lang="en-US" sz="3600" b="1" i="0" u="none" strike="noStrike">
              <a:solidFill>
                <a:srgbClr val="000000"/>
              </a:solidFill>
              <a:latin typeface="Arial" panose="020B0604020202020204" pitchFamily="34" charset="0"/>
              <a:ea typeface="Calibri"/>
              <a:cs typeface="Arial" panose="020B0604020202020204" pitchFamily="34" charset="0"/>
            </a:rPr>
            <a:pPr/>
            <a:t>1500</a:t>
          </a:fld>
          <a:endParaRPr lang="en-US" sz="3600" b="1">
            <a:latin typeface="Arial" panose="020B0604020202020204" pitchFamily="34" charset="0"/>
            <a:cs typeface="Arial" panose="020B0604020202020204" pitchFamily="34" charset="0"/>
          </a:endParaRPr>
        </a:p>
      </xdr:txBody>
    </xdr:sp>
    <xdr:clientData/>
  </xdr:twoCellAnchor>
  <xdr:twoCellAnchor>
    <xdr:from>
      <xdr:col>11</xdr:col>
      <xdr:colOff>38745</xdr:colOff>
      <xdr:row>11</xdr:row>
      <xdr:rowOff>93578</xdr:rowOff>
    </xdr:from>
    <xdr:to>
      <xdr:col>15</xdr:col>
      <xdr:colOff>90406</xdr:colOff>
      <xdr:row>14</xdr:row>
      <xdr:rowOff>147052</xdr:rowOff>
    </xdr:to>
    <xdr:sp macro="" textlink="'Pivot Table'!A32">
      <xdr:nvSpPr>
        <xdr:cNvPr id="44" name="TextBox 43">
          <a:extLst>
            <a:ext uri="{FF2B5EF4-FFF2-40B4-BE49-F238E27FC236}">
              <a16:creationId xmlns:a16="http://schemas.microsoft.com/office/drawing/2014/main" id="{4AF859CD-5A25-4D3F-974C-93050F38D839}"/>
            </a:ext>
          </a:extLst>
        </xdr:cNvPr>
        <xdr:cNvSpPr txBox="1"/>
      </xdr:nvSpPr>
      <xdr:spPr>
        <a:xfrm>
          <a:off x="6728847" y="2082527"/>
          <a:ext cx="2479728" cy="5959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1EC4BE4-D98B-4A5E-AEF7-B195FC34E71A}" type="TxLink">
            <a:rPr lang="en-US" sz="3600" b="1" i="0" u="none" strike="noStrike">
              <a:solidFill>
                <a:srgbClr val="000000"/>
              </a:solidFill>
              <a:latin typeface="Arial" panose="020B0604020202020204" pitchFamily="34" charset="0"/>
              <a:ea typeface="Calibri"/>
              <a:cs typeface="Arial" panose="020B0604020202020204" pitchFamily="34" charset="0"/>
            </a:rPr>
            <a:pPr algn="l"/>
            <a:t>3453</a:t>
          </a:fld>
          <a:endParaRPr lang="en-US" sz="3600" b="1">
            <a:latin typeface="Arial" panose="020B0604020202020204" pitchFamily="34" charset="0"/>
            <a:cs typeface="Arial" panose="020B0604020202020204" pitchFamily="34" charset="0"/>
          </a:endParaRPr>
        </a:p>
      </xdr:txBody>
    </xdr:sp>
    <xdr:clientData/>
  </xdr:twoCellAnchor>
  <xdr:twoCellAnchor editAs="oneCell">
    <xdr:from>
      <xdr:col>16</xdr:col>
      <xdr:colOff>221102</xdr:colOff>
      <xdr:row>8</xdr:row>
      <xdr:rowOff>123949</xdr:rowOff>
    </xdr:from>
    <xdr:to>
      <xdr:col>17</xdr:col>
      <xdr:colOff>168636</xdr:colOff>
      <xdr:row>11</xdr:row>
      <xdr:rowOff>129153</xdr:rowOff>
    </xdr:to>
    <xdr:pic>
      <xdr:nvPicPr>
        <xdr:cNvPr id="46" name="Graphic 45" descr="Shopping cart with solid fill">
          <a:extLst>
            <a:ext uri="{FF2B5EF4-FFF2-40B4-BE49-F238E27FC236}">
              <a16:creationId xmlns:a16="http://schemas.microsoft.com/office/drawing/2014/main" id="{C2C5C323-930E-49A3-9464-D176D06507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946288" y="1570457"/>
          <a:ext cx="554551" cy="547645"/>
        </a:xfrm>
        <a:prstGeom prst="rect">
          <a:avLst/>
        </a:prstGeom>
      </xdr:spPr>
    </xdr:pic>
    <xdr:clientData/>
  </xdr:twoCellAnchor>
  <xdr:twoCellAnchor>
    <xdr:from>
      <xdr:col>21</xdr:col>
      <xdr:colOff>511342</xdr:colOff>
      <xdr:row>18</xdr:row>
      <xdr:rowOff>13609</xdr:rowOff>
    </xdr:from>
    <xdr:to>
      <xdr:col>27</xdr:col>
      <xdr:colOff>446313</xdr:colOff>
      <xdr:row>35</xdr:row>
      <xdr:rowOff>50132</xdr:rowOff>
    </xdr:to>
    <xdr:sp macro="" textlink="">
      <xdr:nvSpPr>
        <xdr:cNvPr id="21" name="Rectangle: Rounded Corners 20">
          <a:extLst>
            <a:ext uri="{FF2B5EF4-FFF2-40B4-BE49-F238E27FC236}">
              <a16:creationId xmlns:a16="http://schemas.microsoft.com/office/drawing/2014/main" id="{4D66A2FA-AB12-44A4-8C63-564B575D85CA}"/>
            </a:ext>
          </a:extLst>
        </xdr:cNvPr>
        <xdr:cNvSpPr/>
      </xdr:nvSpPr>
      <xdr:spPr>
        <a:xfrm>
          <a:off x="13365079" y="3262135"/>
          <a:ext cx="3604602" cy="3104576"/>
        </a:xfrm>
        <a:prstGeom prst="roundRect">
          <a:avLst>
            <a:gd name="adj" fmla="val 11749"/>
          </a:avLst>
        </a:prstGeom>
        <a:pattFill prst="pct5">
          <a:fgClr>
            <a:schemeClr val="lt1"/>
          </a:fgClr>
          <a:bgClr>
            <a:schemeClr val="bg1"/>
          </a:bgClr>
        </a:pattFill>
        <a:ln w="28575">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u="none">
              <a:latin typeface="Arial Black" panose="020B0A04020102020204" pitchFamily="34" charset="0"/>
            </a:rPr>
            <a:t>   Payment</a:t>
          </a:r>
          <a:r>
            <a:rPr lang="en-US" sz="1800" b="1" u="none" baseline="0">
              <a:latin typeface="Arial Black" panose="020B0A04020102020204" pitchFamily="34" charset="0"/>
            </a:rPr>
            <a:t> Method</a:t>
          </a:r>
          <a:endParaRPr lang="en-US" sz="1800" b="1" u="none">
            <a:latin typeface="Arial Black" panose="020B0A04020102020204" pitchFamily="34" charset="0"/>
          </a:endParaRPr>
        </a:p>
      </xdr:txBody>
    </xdr:sp>
    <xdr:clientData/>
  </xdr:twoCellAnchor>
  <xdr:twoCellAnchor>
    <xdr:from>
      <xdr:col>22</xdr:col>
      <xdr:colOff>12492</xdr:colOff>
      <xdr:row>21</xdr:row>
      <xdr:rowOff>57011</xdr:rowOff>
    </xdr:from>
    <xdr:to>
      <xdr:col>27</xdr:col>
      <xdr:colOff>337278</xdr:colOff>
      <xdr:row>34</xdr:row>
      <xdr:rowOff>32657</xdr:rowOff>
    </xdr:to>
    <xdr:graphicFrame macro="">
      <xdr:nvGraphicFramePr>
        <xdr:cNvPr id="22" name="Chart 21">
          <a:extLst>
            <a:ext uri="{FF2B5EF4-FFF2-40B4-BE49-F238E27FC236}">
              <a16:creationId xmlns:a16="http://schemas.microsoft.com/office/drawing/2014/main" id="{34E037C5-D2D5-46EA-B286-2CCFCAAA0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551447</xdr:colOff>
      <xdr:row>37</xdr:row>
      <xdr:rowOff>27191</xdr:rowOff>
    </xdr:from>
    <xdr:to>
      <xdr:col>27</xdr:col>
      <xdr:colOff>435428</xdr:colOff>
      <xdr:row>57</xdr:row>
      <xdr:rowOff>47092</xdr:rowOff>
    </xdr:to>
    <xdr:sp macro="" textlink="">
      <xdr:nvSpPr>
        <xdr:cNvPr id="18" name="Rectangle: Rounded Corners 17">
          <a:extLst>
            <a:ext uri="{FF2B5EF4-FFF2-40B4-BE49-F238E27FC236}">
              <a16:creationId xmlns:a16="http://schemas.microsoft.com/office/drawing/2014/main" id="{544813AC-4188-4C43-9F32-501E811B2F1E}"/>
            </a:ext>
          </a:extLst>
        </xdr:cNvPr>
        <xdr:cNvSpPr/>
      </xdr:nvSpPr>
      <xdr:spPr>
        <a:xfrm>
          <a:off x="11570368" y="6704717"/>
          <a:ext cx="5388428" cy="3629375"/>
        </a:xfrm>
        <a:prstGeom prst="roundRect">
          <a:avLst>
            <a:gd name="adj" fmla="val 13006"/>
          </a:avLst>
        </a:prstGeom>
        <a:pattFill prst="pct5">
          <a:fgClr>
            <a:schemeClr val="lt1"/>
          </a:fgClr>
          <a:bgClr>
            <a:schemeClr val="bg1"/>
          </a:bgClr>
        </a:pattFill>
        <a:ln w="28575">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baseline="0">
              <a:latin typeface="Arial Black" panose="020B0A04020102020204" pitchFamily="34" charset="0"/>
            </a:rPr>
            <a:t>        </a:t>
          </a:r>
          <a:r>
            <a:rPr lang="en-US" sz="1800" b="1">
              <a:latin typeface="Arial Black" panose="020B0A04020102020204" pitchFamily="34" charset="0"/>
            </a:rPr>
            <a:t>Product Revenue Contribution</a:t>
          </a:r>
          <a:r>
            <a:rPr lang="en-US" sz="1800">
              <a:latin typeface="Arial Black" panose="020B0A04020102020204" pitchFamily="34" charset="0"/>
            </a:rPr>
            <a:t> </a:t>
          </a:r>
        </a:p>
        <a:p>
          <a:pPr algn="l"/>
          <a:endParaRPr lang="en-US" sz="1800" b="1">
            <a:latin typeface="Arial Black" panose="020B0A04020102020204" pitchFamily="34" charset="0"/>
          </a:endParaRPr>
        </a:p>
      </xdr:txBody>
    </xdr:sp>
    <xdr:clientData/>
  </xdr:twoCellAnchor>
  <xdr:twoCellAnchor>
    <xdr:from>
      <xdr:col>19</xdr:col>
      <xdr:colOff>60158</xdr:colOff>
      <xdr:row>40</xdr:row>
      <xdr:rowOff>18814</xdr:rowOff>
    </xdr:from>
    <xdr:to>
      <xdr:col>27</xdr:col>
      <xdr:colOff>206646</xdr:colOff>
      <xdr:row>56</xdr:row>
      <xdr:rowOff>65937</xdr:rowOff>
    </xdr:to>
    <xdr:graphicFrame macro="">
      <xdr:nvGraphicFramePr>
        <xdr:cNvPr id="19" name="Chart 18">
          <a:extLst>
            <a:ext uri="{FF2B5EF4-FFF2-40B4-BE49-F238E27FC236}">
              <a16:creationId xmlns:a16="http://schemas.microsoft.com/office/drawing/2014/main" id="{3637DF99-00CB-4297-A6A8-971E62373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498714</xdr:colOff>
      <xdr:row>18</xdr:row>
      <xdr:rowOff>59594</xdr:rowOff>
    </xdr:from>
    <xdr:to>
      <xdr:col>4</xdr:col>
      <xdr:colOff>400374</xdr:colOff>
      <xdr:row>21</xdr:row>
      <xdr:rowOff>25830</xdr:rowOff>
    </xdr:to>
    <xdr:pic>
      <xdr:nvPicPr>
        <xdr:cNvPr id="23" name="Graphic 22" descr="Research with solid fill">
          <a:extLst>
            <a:ext uri="{FF2B5EF4-FFF2-40B4-BE49-F238E27FC236}">
              <a16:creationId xmlns:a16="http://schemas.microsoft.com/office/drawing/2014/main" id="{61049A38-BA7C-5ECF-0A66-1551A5D886D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319765" y="3314238"/>
          <a:ext cx="508677" cy="508677"/>
        </a:xfrm>
        <a:prstGeom prst="rect">
          <a:avLst/>
        </a:prstGeom>
      </xdr:spPr>
    </xdr:pic>
    <xdr:clientData/>
  </xdr:twoCellAnchor>
  <xdr:twoCellAnchor editAs="oneCell">
    <xdr:from>
      <xdr:col>3</xdr:col>
      <xdr:colOff>442068</xdr:colOff>
      <xdr:row>37</xdr:row>
      <xdr:rowOff>93353</xdr:rowOff>
    </xdr:from>
    <xdr:to>
      <xdr:col>4</xdr:col>
      <xdr:colOff>387460</xdr:colOff>
      <xdr:row>40</xdr:row>
      <xdr:rowOff>103322</xdr:rowOff>
    </xdr:to>
    <xdr:pic>
      <xdr:nvPicPr>
        <xdr:cNvPr id="27" name="Graphic 26" descr="Target with solid fill">
          <a:extLst>
            <a:ext uri="{FF2B5EF4-FFF2-40B4-BE49-F238E27FC236}">
              <a16:creationId xmlns:a16="http://schemas.microsoft.com/office/drawing/2014/main" id="{47D29A9A-611A-D910-A3E5-6BEAD06978F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63119" y="6783455"/>
          <a:ext cx="552409" cy="552409"/>
        </a:xfrm>
        <a:prstGeom prst="rect">
          <a:avLst/>
        </a:prstGeom>
      </xdr:spPr>
    </xdr:pic>
    <xdr:clientData/>
  </xdr:twoCellAnchor>
  <xdr:twoCellAnchor editAs="oneCell">
    <xdr:from>
      <xdr:col>19</xdr:col>
      <xdr:colOff>160927</xdr:colOff>
      <xdr:row>37</xdr:row>
      <xdr:rowOff>33700</xdr:rowOff>
    </xdr:from>
    <xdr:to>
      <xdr:col>20</xdr:col>
      <xdr:colOff>124212</xdr:colOff>
      <xdr:row>40</xdr:row>
      <xdr:rowOff>61563</xdr:rowOff>
    </xdr:to>
    <xdr:pic>
      <xdr:nvPicPr>
        <xdr:cNvPr id="29" name="Graphic 28" descr="Upward trend with solid fill">
          <a:extLst>
            <a:ext uri="{FF2B5EF4-FFF2-40B4-BE49-F238E27FC236}">
              <a16:creationId xmlns:a16="http://schemas.microsoft.com/office/drawing/2014/main" id="{BAD12EA3-78C4-498A-311B-81CBB34BDCA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788483" y="6647107"/>
          <a:ext cx="574766" cy="564086"/>
        </a:xfrm>
        <a:prstGeom prst="rect">
          <a:avLst/>
        </a:prstGeom>
      </xdr:spPr>
    </xdr:pic>
    <xdr:clientData/>
  </xdr:twoCellAnchor>
  <xdr:twoCellAnchor editAs="oneCell">
    <xdr:from>
      <xdr:col>22</xdr:col>
      <xdr:colOff>133767</xdr:colOff>
      <xdr:row>18</xdr:row>
      <xdr:rowOff>57443</xdr:rowOff>
    </xdr:from>
    <xdr:to>
      <xdr:col>23</xdr:col>
      <xdr:colOff>126106</xdr:colOff>
      <xdr:row>21</xdr:row>
      <xdr:rowOff>29892</xdr:rowOff>
    </xdr:to>
    <xdr:pic>
      <xdr:nvPicPr>
        <xdr:cNvPr id="9" name="Graphic 1" descr="Mathematics with solid fill">
          <a:extLst>
            <a:ext uri="{FF2B5EF4-FFF2-40B4-BE49-F238E27FC236}">
              <a16:creationId xmlns:a16="http://schemas.microsoft.com/office/drawing/2014/main" id="{F2B2CA47-3297-EAEA-368D-FF986856C8F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555853" y="3388472"/>
          <a:ext cx="601939" cy="527620"/>
        </a:xfrm>
        <a:prstGeom prst="rect">
          <a:avLst/>
        </a:prstGeom>
      </xdr:spPr>
    </xdr:pic>
    <xdr:clientData/>
  </xdr:twoCellAnchor>
  <xdr:twoCellAnchor>
    <xdr:from>
      <xdr:col>14</xdr:col>
      <xdr:colOff>500743</xdr:colOff>
      <xdr:row>18</xdr:row>
      <xdr:rowOff>13608</xdr:rowOff>
    </xdr:from>
    <xdr:to>
      <xdr:col>21</xdr:col>
      <xdr:colOff>270710</xdr:colOff>
      <xdr:row>35</xdr:row>
      <xdr:rowOff>43543</xdr:rowOff>
    </xdr:to>
    <xdr:sp macro="" textlink="">
      <xdr:nvSpPr>
        <xdr:cNvPr id="24" name="Rectangle: Rounded Corners 23">
          <a:extLst>
            <a:ext uri="{FF2B5EF4-FFF2-40B4-BE49-F238E27FC236}">
              <a16:creationId xmlns:a16="http://schemas.microsoft.com/office/drawing/2014/main" id="{257177DB-FAC9-41FC-B0F5-C16E889C95DE}"/>
            </a:ext>
          </a:extLst>
        </xdr:cNvPr>
        <xdr:cNvSpPr/>
      </xdr:nvSpPr>
      <xdr:spPr>
        <a:xfrm>
          <a:off x="9073243" y="3262134"/>
          <a:ext cx="4051204" cy="3097988"/>
        </a:xfrm>
        <a:prstGeom prst="roundRect">
          <a:avLst>
            <a:gd name="adj" fmla="val 11749"/>
          </a:avLst>
        </a:prstGeom>
        <a:pattFill prst="pct5">
          <a:fgClr>
            <a:schemeClr val="lt1"/>
          </a:fgClr>
          <a:bgClr>
            <a:schemeClr val="bg1"/>
          </a:bgClr>
        </a:pattFill>
        <a:ln w="28575">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u="none">
              <a:latin typeface="Arial Black" panose="020B0A04020102020204" pitchFamily="34" charset="0"/>
            </a:rPr>
            <a:t>         Customer</a:t>
          </a:r>
          <a:r>
            <a:rPr lang="en-US" sz="1800" b="1" u="none" baseline="0">
              <a:latin typeface="Arial Black" panose="020B0A04020102020204" pitchFamily="34" charset="0"/>
            </a:rPr>
            <a:t> Type</a:t>
          </a:r>
          <a:endParaRPr lang="en-US" sz="1800" b="1" u="none">
            <a:latin typeface="Arial Black" panose="020B0A04020102020204" pitchFamily="34" charset="0"/>
          </a:endParaRPr>
        </a:p>
      </xdr:txBody>
    </xdr:sp>
    <xdr:clientData/>
  </xdr:twoCellAnchor>
  <xdr:twoCellAnchor>
    <xdr:from>
      <xdr:col>15</xdr:col>
      <xdr:colOff>43359</xdr:colOff>
      <xdr:row>20</xdr:row>
      <xdr:rowOff>173431</xdr:rowOff>
    </xdr:from>
    <xdr:to>
      <xdr:col>21</xdr:col>
      <xdr:colOff>146682</xdr:colOff>
      <xdr:row>34</xdr:row>
      <xdr:rowOff>108856</xdr:rowOff>
    </xdr:to>
    <xdr:graphicFrame macro="">
      <xdr:nvGraphicFramePr>
        <xdr:cNvPr id="26" name="Chart 25">
          <a:extLst>
            <a:ext uri="{FF2B5EF4-FFF2-40B4-BE49-F238E27FC236}">
              <a16:creationId xmlns:a16="http://schemas.microsoft.com/office/drawing/2014/main" id="{7096411C-F9EA-48D8-BFD9-D09F6F959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15</xdr:col>
      <xdr:colOff>122880</xdr:colOff>
      <xdr:row>17</xdr:row>
      <xdr:rowOff>174173</xdr:rowOff>
    </xdr:from>
    <xdr:to>
      <xdr:col>16</xdr:col>
      <xdr:colOff>123177</xdr:colOff>
      <xdr:row>21</xdr:row>
      <xdr:rowOff>54429</xdr:rowOff>
    </xdr:to>
    <xdr:pic>
      <xdr:nvPicPr>
        <xdr:cNvPr id="30" name="Graphic 1" descr="Money with solid fill">
          <a:extLst>
            <a:ext uri="{FF2B5EF4-FFF2-40B4-BE49-F238E27FC236}">
              <a16:creationId xmlns:a16="http://schemas.microsoft.com/office/drawing/2014/main" id="{4717062E-272B-4077-90CC-D706F914903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321309" y="3181352"/>
          <a:ext cx="612618" cy="587827"/>
        </a:xfrm>
        <a:prstGeom prst="rect">
          <a:avLst/>
        </a:prstGeom>
      </xdr:spPr>
    </xdr:pic>
    <xdr:clientData/>
  </xdr:twoCellAnchor>
  <xdr:twoCellAnchor editAs="oneCell">
    <xdr:from>
      <xdr:col>22</xdr:col>
      <xdr:colOff>365550</xdr:colOff>
      <xdr:row>3</xdr:row>
      <xdr:rowOff>77491</xdr:rowOff>
    </xdr:from>
    <xdr:to>
      <xdr:col>23</xdr:col>
      <xdr:colOff>288737</xdr:colOff>
      <xdr:row>6</xdr:row>
      <xdr:rowOff>297</xdr:rowOff>
    </xdr:to>
    <xdr:pic>
      <xdr:nvPicPr>
        <xdr:cNvPr id="31" name="Graphic 30" descr="Lightbulb with solid fill">
          <a:extLst>
            <a:ext uri="{FF2B5EF4-FFF2-40B4-BE49-F238E27FC236}">
              <a16:creationId xmlns:a16="http://schemas.microsoft.com/office/drawing/2014/main" id="{88A3B3C9-234B-4BFC-9440-710F7C9ED24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850229" y="608170"/>
          <a:ext cx="535508" cy="453187"/>
        </a:xfrm>
        <a:prstGeom prst="rect">
          <a:avLst/>
        </a:prstGeom>
      </xdr:spPr>
    </xdr:pic>
    <xdr:clientData/>
  </xdr:twoCellAnchor>
  <xdr:twoCellAnchor editAs="oneCell">
    <xdr:from>
      <xdr:col>10</xdr:col>
      <xdr:colOff>54430</xdr:colOff>
      <xdr:row>8</xdr:row>
      <xdr:rowOff>122465</xdr:rowOff>
    </xdr:from>
    <xdr:to>
      <xdr:col>11</xdr:col>
      <xdr:colOff>54430</xdr:colOff>
      <xdr:row>11</xdr:row>
      <xdr:rowOff>122465</xdr:rowOff>
    </xdr:to>
    <xdr:pic>
      <xdr:nvPicPr>
        <xdr:cNvPr id="34" name="Graphic 33" descr="List with solid fill">
          <a:extLst>
            <a:ext uri="{FF2B5EF4-FFF2-40B4-BE49-F238E27FC236}">
              <a16:creationId xmlns:a16="http://schemas.microsoft.com/office/drawing/2014/main" id="{BAF9459C-AF72-5EF9-AFD1-6635A50536F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6191251" y="1537608"/>
          <a:ext cx="612322" cy="530678"/>
        </a:xfrm>
        <a:prstGeom prst="rect">
          <a:avLst/>
        </a:prstGeom>
      </xdr:spPr>
    </xdr:pic>
    <xdr:clientData/>
  </xdr:twoCellAnchor>
  <xdr:twoCellAnchor editAs="oneCell">
    <xdr:from>
      <xdr:col>0</xdr:col>
      <xdr:colOff>0</xdr:colOff>
      <xdr:row>1</xdr:row>
      <xdr:rowOff>32758</xdr:rowOff>
    </xdr:from>
    <xdr:to>
      <xdr:col>3</xdr:col>
      <xdr:colOff>270547</xdr:colOff>
      <xdr:row>8</xdr:row>
      <xdr:rowOff>62459</xdr:rowOff>
    </xdr:to>
    <xdr:pic>
      <xdr:nvPicPr>
        <xdr:cNvPr id="37" name="Picture 36">
          <a:extLst>
            <a:ext uri="{FF2B5EF4-FFF2-40B4-BE49-F238E27FC236}">
              <a16:creationId xmlns:a16="http://schemas.microsoft.com/office/drawing/2014/main" id="{E51B0728-D0DF-2728-F9F2-6421A37EA03B}"/>
            </a:ext>
          </a:extLst>
        </xdr:cNvPr>
        <xdr:cNvPicPr>
          <a:picLocks noChangeAspect="1"/>
        </xdr:cNvPicPr>
      </xdr:nvPicPr>
      <xdr:blipFill rotWithShape="1">
        <a:blip xmlns:r="http://schemas.openxmlformats.org/officeDocument/2006/relationships" r:embed="rId25">
          <a:extLst>
            <a:ext uri="{BEBA8EAE-BF5A-486C-A8C5-ECC9F3942E4B}">
              <a14:imgProps xmlns:a14="http://schemas.microsoft.com/office/drawing/2010/main">
                <a14:imgLayer r:embed="rId26">
                  <a14:imgEffect>
                    <a14:backgroundRemoval t="10000" b="90000" l="10000" r="90000"/>
                  </a14:imgEffect>
                </a14:imgLayer>
              </a14:imgProps>
            </a:ext>
            <a:ext uri="{28A0092B-C50C-407E-A947-70E740481C1C}">
              <a14:useLocalDpi xmlns:a14="http://schemas.microsoft.com/office/drawing/2010/main" val="0"/>
            </a:ext>
          </a:extLst>
        </a:blip>
        <a:srcRect l="23016" t="11297" r="26984" b="31748"/>
        <a:stretch>
          <a:fillRect/>
        </a:stretch>
      </xdr:blipFill>
      <xdr:spPr>
        <a:xfrm>
          <a:off x="0" y="220135"/>
          <a:ext cx="2106842" cy="13413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er Siahaan" refreshedDate="46222.801114351852" createdVersion="8" refreshedVersion="8" minRefreshableVersion="3" recordCount="1500" xr:uid="{0101F80E-1C4C-44A3-ACBC-AA15169907F9}">
  <cacheSource type="worksheet">
    <worksheetSource ref="A1:N1501" sheet="dataset_e-commerce_sales_tr _ta"/>
  </cacheSource>
  <cacheFields count="17">
    <cacheField name="Order_ID" numFmtId="0">
      <sharedItems containsSemiMixedTypes="0" containsString="0" containsNumber="1" containsInteger="1" minValue="1001" maxValue="1499" count="499">
        <n v="1001"/>
        <n v="1002"/>
        <n v="1004"/>
        <n v="1005"/>
        <n v="1006"/>
        <n v="1007"/>
        <n v="1008"/>
        <n v="1009"/>
        <n v="1010"/>
        <n v="1011"/>
        <n v="1012"/>
        <n v="1013"/>
        <n v="1014"/>
        <n v="1015"/>
        <n v="1016"/>
        <n v="1017"/>
        <n v="1018"/>
        <n v="1019"/>
        <n v="1021"/>
        <n v="1022"/>
        <n v="1023"/>
        <n v="1024"/>
        <n v="1025"/>
        <n v="1026"/>
        <n v="1027"/>
        <n v="1028"/>
        <n v="1029"/>
        <n v="1030"/>
        <n v="1031"/>
        <n v="1032"/>
        <n v="1033"/>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1"/>
        <n v="1202"/>
        <n v="1203"/>
        <n v="1204"/>
        <n v="1205"/>
        <n v="1206"/>
        <n v="1207"/>
        <n v="1208"/>
        <n v="1209"/>
        <n v="1210"/>
        <n v="1211"/>
        <n v="1212"/>
        <n v="1213"/>
        <n v="1214"/>
        <n v="1215"/>
        <n v="1216"/>
        <n v="1217"/>
        <n v="1218"/>
        <n v="1219"/>
        <n v="1220"/>
        <n v="1221"/>
        <n v="1222"/>
        <n v="1223"/>
        <n v="1224"/>
        <n v="1225"/>
        <n v="1227"/>
        <n v="1228"/>
        <n v="1229"/>
        <n v="1230"/>
        <n v="1231"/>
        <n v="1232"/>
        <n v="1233"/>
        <n v="1234"/>
        <n v="1235"/>
        <n v="1236"/>
        <n v="1238"/>
        <n v="1239"/>
        <n v="1240"/>
        <n v="1241"/>
        <n v="1243"/>
        <n v="1244"/>
        <n v="1245"/>
        <n v="1246"/>
        <n v="1247"/>
        <n v="1248"/>
        <n v="1249"/>
        <n v="1250"/>
        <n v="1251"/>
        <n v="1252"/>
        <n v="1254"/>
        <n v="1255"/>
        <n v="1256"/>
        <n v="1257"/>
        <n v="1259"/>
        <n v="1260"/>
        <n v="1261"/>
        <n v="1262"/>
        <n v="1263"/>
        <n v="1264"/>
        <n v="1265"/>
        <n v="1266"/>
        <n v="1267"/>
        <n v="1268"/>
        <n v="1269"/>
        <n v="1270"/>
        <n v="1271"/>
        <n v="1272"/>
        <n v="1273"/>
        <n v="1274"/>
        <n v="1275"/>
        <n v="1276"/>
        <n v="1277"/>
        <n v="1278"/>
        <n v="1279"/>
        <n v="1280"/>
        <n v="1281"/>
        <n v="1282"/>
        <n v="1283"/>
        <n v="1284"/>
        <n v="1286"/>
        <n v="1287"/>
        <n v="1288"/>
        <n v="1289"/>
        <n v="1290"/>
        <n v="1291"/>
        <n v="1292"/>
        <n v="1293"/>
        <n v="1294"/>
        <n v="1296"/>
        <n v="1297"/>
        <n v="1298"/>
        <n v="1299"/>
        <n v="1301"/>
        <n v="1302"/>
        <n v="1303"/>
        <n v="1304"/>
        <n v="1305"/>
        <n v="1306"/>
        <n v="1307"/>
        <n v="1308"/>
        <n v="1309"/>
        <n v="1310"/>
        <n v="1311"/>
        <n v="1312"/>
        <n v="1313"/>
        <n v="1314"/>
        <n v="1315"/>
        <n v="1316"/>
        <n v="1317"/>
        <n v="1318"/>
        <n v="1319"/>
        <n v="1320"/>
        <n v="1322"/>
        <n v="1323"/>
        <n v="1324"/>
        <n v="1325"/>
        <n v="1326"/>
        <n v="1327"/>
        <n v="1328"/>
        <n v="1329"/>
        <n v="1330"/>
        <n v="1331"/>
        <n v="1332"/>
        <n v="1333"/>
        <n v="1334"/>
        <n v="1335"/>
        <n v="1336"/>
        <n v="1337"/>
        <n v="1338"/>
        <n v="1339"/>
        <n v="1341"/>
        <n v="1003"/>
        <n v="1020"/>
        <n v="1034"/>
        <n v="1120"/>
        <n v="1200"/>
        <n v="1226"/>
        <n v="1237"/>
        <n v="1242"/>
        <n v="1253"/>
        <n v="1258"/>
        <n v="1285"/>
        <n v="1295"/>
        <n v="1300"/>
        <n v="1321"/>
        <n v="1340"/>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sharedItems>
    </cacheField>
    <cacheField name="Order_Date" numFmtId="164">
      <sharedItems containsSemiMixedTypes="0" containsNonDate="0" containsDate="1" containsString="0" minDate="2022-01-03T00:00:00" maxDate="2026-05-16T00:00:00" count="1142">
        <d v="2023-08-06T00:00:00"/>
        <d v="2022-06-06T00:00:00"/>
        <d v="2023-06-20T00:00:00"/>
        <d v="2024-11-03T00:00:00"/>
        <d v="2023-01-13T00:00:00"/>
        <d v="2023-04-06T00:00:00"/>
        <d v="2022-06-23T00:00:00"/>
        <d v="2023-03-11T00:00:00"/>
        <d v="2024-10-13T00:00:00"/>
        <d v="2023-12-18T00:00:00"/>
        <d v="2023-01-21T00:00:00"/>
        <d v="2023-05-29T00:00:00"/>
        <d v="2023-12-14T00:00:00"/>
        <d v="2024-10-16T00:00:00"/>
        <d v="2022-05-05T00:00:00"/>
        <d v="2023-01-18T00:00:00"/>
        <d v="2022-12-19T00:00:00"/>
        <d v="2023-07-23T00:00:00"/>
        <d v="2023-08-31T00:00:00"/>
        <d v="2023-04-22T00:00:00"/>
        <d v="2023-08-13T00:00:00"/>
        <d v="2022-08-23T00:00:00"/>
        <d v="2022-04-21T00:00:00"/>
        <d v="2023-03-05T00:00:00"/>
        <d v="2022-04-03T00:00:00"/>
        <d v="2022-07-30T00:00:00"/>
        <d v="2023-09-02T00:00:00"/>
        <d v="2023-09-03T00:00:00"/>
        <d v="2022-09-04T00:00:00"/>
        <d v="2024-12-02T00:00:00"/>
        <d v="2023-02-22T00:00:00"/>
        <d v="2022-11-14T00:00:00"/>
        <d v="2023-12-09T00:00:00"/>
        <d v="2022-05-28T00:00:00"/>
        <d v="2024-06-14T00:00:00"/>
        <d v="2022-04-18T00:00:00"/>
        <d v="2024-01-05T00:00:00"/>
        <d v="2024-06-25T00:00:00"/>
        <d v="2023-03-25T00:00:00"/>
        <d v="2024-06-15T00:00:00"/>
        <d v="2023-11-17T00:00:00"/>
        <d v="2023-04-15T00:00:00"/>
        <d v="2023-06-23T00:00:00"/>
        <d v="2023-10-23T00:00:00"/>
        <d v="2024-08-20T00:00:00"/>
        <d v="2024-03-01T00:00:00"/>
        <d v="2022-05-22T00:00:00"/>
        <d v="2023-09-26T00:00:00"/>
        <d v="2024-05-08T00:00:00"/>
        <d v="2024-10-30T00:00:00"/>
        <d v="2023-01-22T00:00:00"/>
        <d v="2023-08-04T00:00:00"/>
        <d v="2024-07-24T00:00:00"/>
        <d v="2023-09-20T00:00:00"/>
        <d v="2022-03-27T00:00:00"/>
        <d v="2024-02-17T00:00:00"/>
        <d v="2022-07-15T00:00:00"/>
        <d v="2023-11-15T00:00:00"/>
        <d v="2024-04-12T00:00:00"/>
        <d v="2023-10-08T00:00:00"/>
        <d v="2023-04-30T00:00:00"/>
        <d v="2023-09-24T00:00:00"/>
        <d v="2022-02-28T00:00:00"/>
        <d v="2023-05-24T00:00:00"/>
        <d v="2024-11-12T00:00:00"/>
        <d v="2023-08-02T00:00:00"/>
        <d v="2023-11-13T00:00:00"/>
        <d v="2022-10-26T00:00:00"/>
        <d v="2022-05-10T00:00:00"/>
        <d v="2023-10-20T00:00:00"/>
        <d v="2022-09-29T00:00:00"/>
        <d v="2023-01-16T00:00:00"/>
        <d v="2023-03-12T00:00:00"/>
        <d v="2023-04-05T00:00:00"/>
        <d v="2023-12-11T00:00:00"/>
        <d v="2022-11-02T00:00:00"/>
        <d v="2024-10-09T00:00:00"/>
        <d v="2024-06-23T00:00:00"/>
        <d v="2022-05-01T00:00:00"/>
        <d v="2023-08-23T00:00:00"/>
        <d v="2023-05-28T00:00:00"/>
        <d v="2023-01-09T00:00:00"/>
        <d v="2024-01-27T00:00:00"/>
        <d v="2024-01-31T00:00:00"/>
        <d v="2022-02-10T00:00:00"/>
        <d v="2022-03-13T00:00:00"/>
        <d v="2023-07-04T00:00:00"/>
        <d v="2023-12-19T00:00:00"/>
        <d v="2024-01-13T00:00:00"/>
        <d v="2022-07-24T00:00:00"/>
        <d v="2024-02-25T00:00:00"/>
        <d v="2022-06-16T00:00:00"/>
        <d v="2023-01-07T00:00:00"/>
        <d v="2023-02-09T00:00:00"/>
        <d v="2022-10-29T00:00:00"/>
        <d v="2022-09-25T00:00:00"/>
        <d v="2022-01-19T00:00:00"/>
        <d v="2022-02-20T00:00:00"/>
        <d v="2023-08-16T00:00:00"/>
        <d v="2023-03-23T00:00:00"/>
        <d v="2024-08-12T00:00:00"/>
        <d v="2022-04-20T00:00:00"/>
        <d v="2024-12-17T00:00:00"/>
        <d v="2024-07-28T00:00:00"/>
        <d v="2023-06-21T00:00:00"/>
        <d v="2024-10-25T00:00:00"/>
        <d v="2022-06-07T00:00:00"/>
        <d v="2023-08-25T00:00:00"/>
        <d v="2022-02-24T00:00:00"/>
        <d v="2022-07-31T00:00:00"/>
        <d v="2024-06-18T00:00:00"/>
        <d v="2022-02-03T00:00:00"/>
        <d v="2022-03-12T00:00:00"/>
        <d v="2024-04-16T00:00:00"/>
        <d v="2024-05-11T00:00:00"/>
        <d v="2023-12-30T00:00:00"/>
        <d v="2023-03-04T00:00:00"/>
        <d v="2022-01-10T00:00:00"/>
        <d v="2023-03-20T00:00:00"/>
        <d v="2023-05-11T00:00:00"/>
        <d v="2023-03-02T00:00:00"/>
        <d v="2023-04-24T00:00:00"/>
        <d v="2022-09-18T00:00:00"/>
        <d v="2022-05-31T00:00:00"/>
        <d v="2023-07-16T00:00:00"/>
        <d v="2022-05-12T00:00:00"/>
        <d v="2023-08-27T00:00:00"/>
        <d v="2024-09-13T00:00:00"/>
        <d v="2023-08-14T00:00:00"/>
        <d v="2023-08-24T00:00:00"/>
        <d v="2023-02-15T00:00:00"/>
        <d v="2024-05-23T00:00:00"/>
        <d v="2023-12-07T00:00:00"/>
        <d v="2024-04-23T00:00:00"/>
        <d v="2023-02-21T00:00:00"/>
        <d v="2024-06-06T00:00:00"/>
        <d v="2023-10-27T00:00:00"/>
        <d v="2023-01-28T00:00:00"/>
        <d v="2023-08-09T00:00:00"/>
        <d v="2022-06-24T00:00:00"/>
        <d v="2024-12-27T00:00:00"/>
        <d v="2022-06-28T00:00:00"/>
        <d v="2024-10-04T00:00:00"/>
        <d v="2024-05-15T00:00:00"/>
        <d v="2024-11-13T00:00:00"/>
        <d v="2022-12-29T00:00:00"/>
        <d v="2022-09-08T00:00:00"/>
        <d v="2023-11-01T00:00:00"/>
        <d v="2022-01-04T00:00:00"/>
        <d v="2022-10-02T00:00:00"/>
        <d v="2023-05-22T00:00:00"/>
        <d v="2024-03-07T00:00:00"/>
        <d v="2022-08-21T00:00:00"/>
        <d v="2023-09-12T00:00:00"/>
        <d v="2023-02-14T00:00:00"/>
        <d v="2022-12-24T00:00:00"/>
        <d v="2022-03-28T00:00:00"/>
        <d v="2024-12-28T00:00:00"/>
        <d v="2024-04-26T00:00:00"/>
        <d v="2023-11-21T00:00:00"/>
        <d v="2023-04-27T00:00:00"/>
        <d v="2022-11-30T00:00:00"/>
        <d v="2023-12-03T00:00:00"/>
        <d v="2023-11-27T00:00:00"/>
        <d v="2023-02-17T00:00:00"/>
        <d v="2022-12-23T00:00:00"/>
        <d v="2024-10-14T00:00:00"/>
        <d v="2024-12-05T00:00:00"/>
        <d v="2023-07-24T00:00:00"/>
        <d v="2024-05-22T00:00:00"/>
        <d v="2022-04-04T00:00:00"/>
        <d v="2024-12-14T00:00:00"/>
        <d v="2023-07-02T00:00:00"/>
        <d v="2023-08-03T00:00:00"/>
        <d v="2022-11-16T00:00:00"/>
        <d v="2023-09-04T00:00:00"/>
        <d v="2022-01-27T00:00:00"/>
        <d v="2022-06-01T00:00:00"/>
        <d v="2023-07-11T00:00:00"/>
        <d v="2023-03-13T00:00:00"/>
        <d v="2023-09-22T00:00:00"/>
        <d v="2023-12-26T00:00:00"/>
        <d v="2022-01-18T00:00:00"/>
        <d v="2024-08-21T00:00:00"/>
        <d v="2022-10-23T00:00:00"/>
        <d v="2023-01-23T00:00:00"/>
        <d v="2023-09-18T00:00:00"/>
        <d v="2023-03-14T00:00:00"/>
        <d v="2024-12-22T00:00:00"/>
        <d v="2023-11-06T00:00:00"/>
        <d v="2024-08-16T00:00:00"/>
        <d v="2023-07-18T00:00:00"/>
        <d v="2023-06-27T00:00:00"/>
        <d v="2023-01-10T00:00:00"/>
        <d v="2023-04-17T00:00:00"/>
        <d v="2022-06-08T00:00:00"/>
        <d v="2022-11-24T00:00:00"/>
        <d v="2024-11-25T00:00:00"/>
        <d v="2024-04-15T00:00:00"/>
        <d v="2024-07-25T00:00:00"/>
        <d v="2022-04-11T00:00:00"/>
        <d v="2023-11-22T00:00:00"/>
        <d v="2022-06-29T00:00:00"/>
        <d v="2022-05-11T00:00:00"/>
        <d v="2022-02-06T00:00:00"/>
        <d v="2024-08-08T00:00:00"/>
        <d v="2024-05-31T00:00:00"/>
        <d v="2023-06-28T00:00:00"/>
        <d v="2022-09-21T00:00:00"/>
        <d v="2022-03-09T00:00:00"/>
        <d v="2024-09-10T00:00:00"/>
        <d v="2023-02-03T00:00:00"/>
        <d v="2022-11-23T00:00:00"/>
        <d v="2022-09-13T00:00:00"/>
        <d v="2024-05-07T00:00:00"/>
        <d v="2024-05-12T00:00:00"/>
        <d v="2022-06-11T00:00:00"/>
        <d v="2024-03-08T00:00:00"/>
        <d v="2023-01-31T00:00:00"/>
        <d v="2022-01-05T00:00:00"/>
        <d v="2024-11-29T00:00:00"/>
        <d v="2024-05-03T00:00:00"/>
        <d v="2022-06-04T00:00:00"/>
        <d v="2023-01-02T00:00:00"/>
        <d v="2022-10-12T00:00:00"/>
        <d v="2023-03-19T00:00:00"/>
        <d v="2023-12-16T00:00:00"/>
        <d v="2024-07-10T00:00:00"/>
        <d v="2022-10-19T00:00:00"/>
        <d v="2023-06-09T00:00:00"/>
        <d v="2022-10-27T00:00:00"/>
        <d v="2023-06-14T00:00:00"/>
        <d v="2023-05-09T00:00:00"/>
        <d v="2024-11-17T00:00:00"/>
        <d v="2023-05-12T00:00:00"/>
        <d v="2024-12-26T00:00:00"/>
        <d v="2022-06-05T00:00:00"/>
        <d v="2022-10-13T00:00:00"/>
        <d v="2022-05-06T00:00:00"/>
        <d v="2024-08-31T00:00:00"/>
        <d v="2022-02-23T00:00:00"/>
        <d v="2022-01-13T00:00:00"/>
        <d v="2023-01-08T00:00:00"/>
        <d v="2023-10-25T00:00:00"/>
        <d v="2023-08-07T00:00:00"/>
        <d v="2024-12-29T00:00:00"/>
        <d v="2022-07-12T00:00:00"/>
        <d v="2022-04-10T00:00:00"/>
        <d v="2022-04-27T00:00:00"/>
        <d v="2023-01-01T00:00:00"/>
        <d v="2022-08-26T00:00:00"/>
        <d v="2022-01-12T00:00:00"/>
        <d v="2022-07-20T00:00:00"/>
        <d v="2023-02-10T00:00:00"/>
        <d v="2024-11-04T00:00:00"/>
        <d v="2023-12-12T00:00:00"/>
        <d v="2023-05-18T00:00:00"/>
        <d v="2024-01-01T00:00:00"/>
        <d v="2022-05-03T00:00:00"/>
        <d v="2024-07-29T00:00:00"/>
        <d v="2023-03-18T00:00:00"/>
        <d v="2023-05-23T00:00:00"/>
        <d v="2024-06-24T00:00:00"/>
        <d v="2023-01-06T00:00:00"/>
        <d v="2022-04-09T00:00:00"/>
        <d v="2023-06-29T00:00:00"/>
        <d v="2022-12-17T00:00:00"/>
        <d v="2023-06-17T00:00:00"/>
        <d v="2022-05-26T00:00:00"/>
        <d v="2024-10-31T00:00:00"/>
        <d v="2023-10-15T00:00:00"/>
        <d v="2022-04-17T00:00:00"/>
        <d v="2022-03-22T00:00:00"/>
        <d v="2024-04-22T00:00:00"/>
        <d v="2023-10-21T00:00:00"/>
        <d v="2022-03-21T00:00:00"/>
        <d v="2024-11-16T00:00:00"/>
        <d v="2024-01-18T00:00:00"/>
        <d v="2022-05-16T00:00:00"/>
        <d v="2022-11-05T00:00:00"/>
        <d v="2023-07-14T00:00:00"/>
        <d v="2023-12-01T00:00:00"/>
        <d v="2023-12-04T00:00:00"/>
        <d v="2022-07-07T00:00:00"/>
        <d v="2023-08-22T00:00:00"/>
        <d v="2022-09-15T00:00:00"/>
        <d v="2022-09-27T00:00:00"/>
        <d v="2024-05-27T00:00:00"/>
        <d v="2022-02-22T00:00:00"/>
        <d v="2023-12-24T00:00:00"/>
        <d v="2023-09-09T00:00:00"/>
        <d v="2023-10-16T00:00:00"/>
        <d v="2023-09-25T00:00:00"/>
        <d v="2022-12-21T00:00:00"/>
        <d v="2023-03-30T00:00:00"/>
        <d v="2023-12-28T00:00:00"/>
        <d v="2022-09-17T00:00:00"/>
        <d v="2024-12-01T00:00:00"/>
        <d v="2023-03-26T00:00:00"/>
        <d v="2023-11-16T00:00:00"/>
        <d v="2024-05-04T00:00:00"/>
        <d v="2024-05-30T00:00:00"/>
        <d v="2022-12-12T00:00:00"/>
        <d v="2022-01-30T00:00:00"/>
        <d v="2023-04-29T00:00:00"/>
        <d v="2022-01-29T00:00:00"/>
        <d v="2024-05-20T00:00:00"/>
        <d v="2023-12-17T00:00:00"/>
        <d v="2024-12-21T00:00:00"/>
        <d v="2022-02-26T00:00:00"/>
        <d v="2022-10-28T00:00:00"/>
        <d v="2022-01-11T00:00:00"/>
        <d v="2023-09-23T00:00:00"/>
        <d v="2023-08-28T00:00:00"/>
        <d v="2022-02-08T00:00:00"/>
        <d v="2022-05-20T00:00:00"/>
        <d v="2022-01-24T00:00:00"/>
        <d v="2022-01-09T00:00:00"/>
        <d v="2022-05-17T00:00:00"/>
        <d v="2022-12-22T00:00:00"/>
        <d v="2022-06-20T00:00:00"/>
        <d v="2024-07-11T00:00:00"/>
        <d v="2023-05-13T00:00:00"/>
        <d v="2023-05-04T00:00:00"/>
        <d v="2024-04-02T00:00:00"/>
        <d v="2023-02-11T00:00:00"/>
        <d v="2023-10-18T00:00:00"/>
        <d v="2023-04-02T00:00:00"/>
        <d v="2023-05-05T00:00:00"/>
        <d v="2022-04-07T00:00:00"/>
        <d v="2024-09-29T00:00:00"/>
        <d v="2022-10-17T00:00:00"/>
        <d v="2022-01-16T00:00:00"/>
        <d v="2023-12-25T00:00:00"/>
        <d v="2024-09-18T00:00:00"/>
        <d v="2023-09-21T00:00:00"/>
        <d v="2022-03-07T00:00:00"/>
        <d v="2023-05-01T00:00:00"/>
        <d v="2023-02-26T00:00:00"/>
        <d v="2022-12-14T00:00:00"/>
        <d v="2023-04-03T00:00:00"/>
        <d v="2023-11-03T00:00:00"/>
        <d v="2023-11-11T00:00:00"/>
        <d v="2022-11-19T00:00:00"/>
        <d v="2024-07-05T00:00:00"/>
        <d v="2024-08-13T00:00:00"/>
        <d v="2022-05-18T00:00:00"/>
        <d v="2023-12-02T00:00:00"/>
        <d v="2023-08-17T00:00:00"/>
        <d v="2023-06-18T00:00:00"/>
        <d v="2023-05-06T00:00:00"/>
        <d v="2023-10-05T00:00:00"/>
        <d v="2024-09-08T00:00:00"/>
        <d v="2024-05-19T00:00:00"/>
        <d v="2024-06-12T00:00:00"/>
        <d v="2022-07-18T00:00:00"/>
        <d v="2024-09-12T00:00:00"/>
        <d v="2024-06-17T00:00:00"/>
        <d v="2023-07-19T00:00:00"/>
        <d v="2023-10-01T00:00:00"/>
        <d v="2022-05-13T00:00:00"/>
        <d v="2024-11-28T00:00:00"/>
        <d v="2023-12-27T00:00:00"/>
        <d v="2023-12-23T00:00:00"/>
        <d v="2022-10-05T00:00:00"/>
        <d v="2023-01-12T00:00:00"/>
        <d v="2024-10-15T00:00:00"/>
        <d v="2024-11-20T00:00:00"/>
        <d v="2023-03-31T00:00:00"/>
        <d v="2023-11-12T00:00:00"/>
        <d v="2024-05-13T00:00:00"/>
        <d v="2022-10-31T00:00:00"/>
        <d v="2023-04-04T00:00:00"/>
        <d v="2023-05-02T00:00:00"/>
        <d v="2024-01-24T00:00:00"/>
        <d v="2022-12-07T00:00:00"/>
        <d v="2023-06-15T00:00:00"/>
        <d v="2024-04-19T00:00:00"/>
        <d v="2023-10-17T00:00:00"/>
        <d v="2024-02-13T00:00:00"/>
        <d v="2022-11-29T00:00:00"/>
        <d v="2022-12-06T00:00:00"/>
        <d v="2023-01-03T00:00:00"/>
        <d v="2024-03-06T00:00:00"/>
        <d v="2022-01-26T00:00:00"/>
        <d v="2023-07-03T00:00:00"/>
        <d v="2023-10-12T00:00:00"/>
        <d v="2023-08-26T00:00:00"/>
        <d v="2023-11-10T00:00:00"/>
        <d v="2024-12-07T00:00:00"/>
        <d v="2022-02-21T00:00:00"/>
        <d v="2024-12-15T00:00:00"/>
        <d v="2024-10-02T00:00:00"/>
        <d v="2023-04-19T00:00:00"/>
        <d v="2022-03-03T00:00:00"/>
        <d v="2023-09-16T00:00:00"/>
        <d v="2022-08-16T00:00:00"/>
        <d v="2024-04-17T00:00:00"/>
        <d v="2022-03-19T00:00:00"/>
        <d v="2022-09-20T00:00:00"/>
        <d v="2022-06-26T00:00:00"/>
        <d v="2023-01-30T00:00:00"/>
        <d v="2024-02-06T00:00:00"/>
        <d v="2024-02-20T00:00:00"/>
        <d v="2023-09-17T00:00:00"/>
        <d v="2024-12-03T00:00:00"/>
        <d v="2023-12-29T00:00:00"/>
        <d v="2024-04-08T00:00:00"/>
        <d v="2023-10-22T00:00:00"/>
        <d v="2023-09-14T00:00:00"/>
        <d v="2022-08-14T00:00:00"/>
        <d v="2024-07-01T00:00:00"/>
        <d v="2022-04-02T00:00:00"/>
        <d v="2023-07-28T00:00:00"/>
        <d v="2023-02-28T00:00:00"/>
        <d v="2023-07-22T00:00:00"/>
        <d v="2024-11-30T00:00:00"/>
        <d v="2023-08-18T00:00:00"/>
        <d v="2023-08-12T00:00:00"/>
        <d v="2023-11-08T00:00:00"/>
        <d v="2023-03-10T00:00:00"/>
        <d v="2024-10-03T00:00:00"/>
        <d v="2022-08-13T00:00:00"/>
        <d v="2023-02-16T00:00:00"/>
        <d v="2024-05-17T00:00:00"/>
        <d v="2023-05-08T00:00:00"/>
        <d v="2023-10-04T00:00:00"/>
        <d v="2022-09-02T00:00:00"/>
        <d v="2022-01-15T00:00:00"/>
        <d v="2022-05-24T00:00:00"/>
        <d v="2022-08-09T00:00:00"/>
        <d v="2023-12-10T00:00:00"/>
        <d v="2022-06-14T00:00:00"/>
        <d v="2022-05-29T00:00:00"/>
        <d v="2023-02-18T00:00:00"/>
        <d v="2022-03-06T00:00:00"/>
        <d v="2022-12-15T00:00:00"/>
        <d v="2024-06-10T00:00:00"/>
        <d v="2022-06-21T00:00:00"/>
        <d v="2022-07-19T00:00:00"/>
        <d v="2024-07-30T00:00:00"/>
        <d v="2023-05-25T00:00:00"/>
        <d v="2023-09-29T00:00:00"/>
        <d v="2022-03-04T00:00:00"/>
        <d v="2023-12-15T00:00:00"/>
        <d v="2023-11-26T00:00:00"/>
        <d v="2023-01-04T00:00:00"/>
        <d v="2022-08-15T00:00:00"/>
        <d v="2023-07-13T00:00:00"/>
        <d v="2024-10-07T00:00:00"/>
        <d v="2022-04-06T00:00:00"/>
        <d v="2022-12-20T00:00:00"/>
        <d v="2024-08-22T00:00:00"/>
        <d v="2023-05-10T00:00:00"/>
        <d v="2022-08-20T00:00:00"/>
        <d v="2022-04-19T00:00:00"/>
        <d v="2023-09-08T00:00:00"/>
        <d v="2024-09-03T00:00:00"/>
        <d v="2023-09-01T00:00:00"/>
        <d v="2022-03-11T00:00:00"/>
        <d v="2022-12-05T00:00:00"/>
        <d v="2023-06-04T00:00:00"/>
        <d v="2023-10-19T00:00:00"/>
        <d v="2022-02-16T00:00:00"/>
        <d v="2023-03-21T00:00:00"/>
        <d v="2022-05-15T00:00:00"/>
        <d v="2023-08-05T00:00:00"/>
        <d v="2022-11-20T00:00:00"/>
        <d v="2022-07-28T00:00:00"/>
        <d v="2023-02-06T00:00:00"/>
        <d v="2022-12-09T00:00:00"/>
        <d v="2024-03-16T00:00:00"/>
        <d v="2022-10-04T00:00:00"/>
        <d v="2023-10-31T00:00:00"/>
        <d v="2022-04-23T00:00:00"/>
        <d v="2023-01-24T00:00:00"/>
        <d v="2023-04-23T00:00:00"/>
        <d v="2023-11-09T00:00:00"/>
        <d v="2022-12-03T00:00:00"/>
        <d v="2022-06-09T00:00:00"/>
        <d v="2022-09-03T00:00:00"/>
        <d v="2023-02-05T00:00:00"/>
        <d v="2022-11-01T00:00:00"/>
        <d v="2022-03-18T00:00:00"/>
        <d v="2022-01-08T00:00:00"/>
        <d v="2023-08-20T00:00:00"/>
        <d v="2023-12-08T00:00:00"/>
        <d v="2022-11-04T00:00:00"/>
        <d v="2022-03-29T00:00:00"/>
        <d v="2023-02-23T00:00:00"/>
        <d v="2023-07-01T00:00:00"/>
        <d v="2024-05-02T00:00:00"/>
        <d v="2024-07-14T00:00:00"/>
        <d v="2023-11-30T00:00:00"/>
        <d v="2023-03-29T00:00:00"/>
        <d v="2023-12-06T00:00:00"/>
        <d v="2023-05-20T00:00:00"/>
        <d v="2023-05-03T00:00:00"/>
        <d v="2023-12-21T00:00:00"/>
        <d v="2022-12-18T00:00:00"/>
        <d v="2023-06-19T00:00:00"/>
        <d v="2023-06-30T00:00:00"/>
        <d v="2024-09-26T00:00:00"/>
        <d v="2022-01-03T00:00:00"/>
        <d v="2023-08-01T00:00:00"/>
        <d v="2023-08-15T00:00:00"/>
        <d v="2024-01-19T00:00:00"/>
        <d v="2024-03-04T00:00:00"/>
        <d v="2024-09-11T00:00:00"/>
        <d v="2022-07-23T00:00:00"/>
        <d v="2022-08-24T00:00:00"/>
        <d v="2023-02-12T00:00:00"/>
        <d v="2023-06-05T00:00:00"/>
        <d v="2023-02-24T00:00:00"/>
        <d v="2024-12-04T00:00:00"/>
        <d v="2023-04-13T00:00:00"/>
        <d v="2022-02-13T00:00:00"/>
        <d v="2022-04-08T00:00:00"/>
        <d v="2022-08-11T00:00:00"/>
        <d v="2024-04-20T00:00:00"/>
        <d v="2023-06-02T00:00:00"/>
        <d v="2024-11-02T00:00:00"/>
        <d v="2023-05-16T00:00:00"/>
        <d v="2024-02-29T00:00:00"/>
        <d v="2022-02-15T00:00:00"/>
        <d v="2023-11-25T00:00:00"/>
        <d v="2022-11-13T00:00:00"/>
        <d v="2022-04-05T00:00:00"/>
        <d v="2022-11-18T00:00:00"/>
        <d v="2023-07-26T00:00:00"/>
        <d v="2024-01-26T00:00:00"/>
        <d v="2023-09-19T00:00:00"/>
        <d v="2023-03-22T00:00:00"/>
        <d v="2023-12-22T00:00:00"/>
        <d v="2024-06-20T00:00:00"/>
        <d v="2024-06-03T00:00:00"/>
        <d v="2022-10-22T00:00:00"/>
        <d v="2024-02-09T00:00:00"/>
        <d v="2024-07-06T00:00:00"/>
        <d v="2024-02-26T00:00:00"/>
        <d v="2024-10-10T00:00:00"/>
        <d v="2024-08-25T00:00:00"/>
        <d v="2022-08-10T00:00:00"/>
        <d v="2024-12-18T00:00:00"/>
        <d v="2024-10-12T00:00:00"/>
        <d v="2024-12-11T00:00:00"/>
        <d v="2024-05-18T00:00:00"/>
        <d v="2024-06-26T00:00:00"/>
        <d v="2022-12-11T00:00:00"/>
        <d v="2023-10-26T00:00:00"/>
        <d v="2023-06-01T00:00:00"/>
        <d v="2022-02-01T00:00:00"/>
        <d v="2023-04-09T00:00:00"/>
        <d v="2023-01-25T00:00:00"/>
        <d v="2023-03-09T00:00:00"/>
        <d v="2022-08-02T00:00:00"/>
        <d v="2023-12-20T00:00:00"/>
        <d v="2022-08-07T00:00:00"/>
        <d v="2022-10-15T00:00:00"/>
        <d v="2024-01-02T00:00:00"/>
        <d v="2022-07-10T00:00:00"/>
        <d v="2023-01-20T00:00:00"/>
        <d v="2024-07-03T00:00:00"/>
        <d v="2023-07-15T00:00:00"/>
        <d v="2023-08-10T00:00:00"/>
        <d v="2024-02-10T00:00:00"/>
        <d v="2024-11-26T00:00:00"/>
        <d v="2024-06-16T00:00:00"/>
        <d v="2022-03-01T00:00:00"/>
        <d v="2024-01-17T00:00:00"/>
        <d v="2023-06-10T00:00:00"/>
        <d v="2023-11-24T00:00:00"/>
        <d v="2024-08-04T00:00:00"/>
        <d v="2024-10-08T00:00:00"/>
        <d v="2023-05-19T00:00:00"/>
        <d v="2024-04-10T00:00:00"/>
        <d v="2023-04-11T00:00:00"/>
        <d v="2023-04-07T00:00:00"/>
        <d v="2024-12-13T00:00:00"/>
        <d v="2024-12-20T00:00:00"/>
        <d v="2023-11-23T00:00:00"/>
        <d v="2024-07-02T00:00:00"/>
        <d v="2024-02-03T00:00:00"/>
        <d v="2022-02-05T00:00:00"/>
        <d v="2022-03-25T00:00:00"/>
        <d v="2022-11-22T00:00:00"/>
        <d v="2022-08-06T00:00:00"/>
        <d v="2022-09-30T00:00:00"/>
        <d v="2022-07-13T00:00:00"/>
        <d v="2023-05-30T00:00:00"/>
        <d v="2022-06-02T00:00:00"/>
        <d v="2023-05-26T00:00:00"/>
        <d v="2023-06-16T00:00:00"/>
        <d v="2022-11-28T00:00:00"/>
        <d v="2023-04-12T00:00:00"/>
        <d v="2023-01-05T00:00:00"/>
        <d v="2022-02-12T00:00:00"/>
        <d v="2023-07-07T00:00:00"/>
        <d v="2023-07-17T00:00:00"/>
        <d v="2024-08-24T00:00:00"/>
        <d v="2024-12-12T00:00:00"/>
        <d v="2024-11-08T00:00:00"/>
        <d v="2023-08-29T00:00:00"/>
        <d v="2024-09-16T00:00:00"/>
        <d v="2022-11-12T00:00:00"/>
        <d v="2023-01-11T00:00:00"/>
        <d v="2024-10-20T00:00:00"/>
        <d v="2022-03-31T00:00:00"/>
        <d v="2023-02-13T00:00:00"/>
        <d v="2024-04-03T00:00:00"/>
        <d v="2024-07-23T00:00:00"/>
        <d v="2023-10-24T00:00:00"/>
        <d v="2022-11-06T00:00:00"/>
        <d v="2023-10-28T00:00:00"/>
        <d v="2024-06-21T00:00:00"/>
        <d v="2023-01-19T00:00:00"/>
        <d v="2022-07-06T00:00:00"/>
        <d v="2024-01-30T00:00:00"/>
        <d v="2024-10-17T00:00:00"/>
        <d v="2024-07-27T00:00:00"/>
        <d v="2022-08-12T00:00:00"/>
        <d v="2022-02-09T00:00:00"/>
        <d v="2023-10-30T00:00:00"/>
        <d v="2024-02-15T00:00:00"/>
        <d v="2024-08-17T00:00:00"/>
        <d v="2022-09-23T00:00:00"/>
        <d v="2024-01-03T00:00:00"/>
        <d v="2024-07-07T00:00:00"/>
        <d v="2024-02-16T00:00:00"/>
        <d v="2023-07-06T00:00:00"/>
        <d v="2022-10-07T00:00:00"/>
        <d v="2022-05-25T00:00:00"/>
        <d v="2024-01-06T00:00:00"/>
        <d v="2023-03-15T00:00:00"/>
        <d v="2024-03-14T00:00:00"/>
        <d v="2022-12-01T00:00:00"/>
        <d v="2022-11-25T00:00:00"/>
        <d v="2022-04-30T00:00:00"/>
        <d v="2023-11-02T00:00:00"/>
        <d v="2023-10-14T00:00:00"/>
        <d v="2022-08-28T00:00:00"/>
        <d v="2022-09-05T00:00:00"/>
        <d v="2024-10-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sharedItems>
      <fieldGroup par="16"/>
    </cacheField>
    <cacheField name="Year" numFmtId="0">
      <sharedItems containsSemiMixedTypes="0" containsString="0" containsNumber="1" containsInteger="1" minValue="2022" maxValue="2026" count="5">
        <n v="2023"/>
        <n v="2022"/>
        <n v="2024"/>
        <n v="2025"/>
        <n v="2026"/>
      </sharedItems>
    </cacheField>
    <cacheField name="Month" numFmtId="0">
      <sharedItems containsSemiMixedTypes="0" containsString="0" containsNumber="1" containsInteger="1" minValue="1" maxValue="12"/>
    </cacheField>
    <cacheField name="Month_Name" numFmtId="0">
      <sharedItems count="12">
        <s v="Agustus"/>
        <s v="Juni"/>
        <s v="November"/>
        <s v="Januari"/>
        <s v="April"/>
        <s v="Maret"/>
        <s v="Oktober"/>
        <s v="Desember"/>
        <s v="Mei"/>
        <s v="Juli"/>
        <s v="September"/>
        <s v="Februari"/>
      </sharedItems>
    </cacheField>
    <cacheField name="Quarter" numFmtId="0">
      <sharedItems containsSemiMixedTypes="0" containsString="0" containsNumber="1" containsInteger="1" minValue="1" maxValue="4"/>
    </cacheField>
    <cacheField name="Product_Name" numFmtId="0">
      <sharedItems count="10">
        <s v="Laptop"/>
        <s v="Headphones"/>
        <s v="Watch"/>
        <s v="Mobile Case"/>
        <s v="Tablet"/>
        <s v="Book"/>
        <s v="Backpack"/>
        <s v="Smartwatch"/>
        <s v="Water Bottle"/>
        <s v="Shoes"/>
      </sharedItems>
    </cacheField>
    <cacheField name="Category" numFmtId="0">
      <sharedItems count="4">
        <s v="Electronics"/>
        <s v="Other"/>
        <s v="Books"/>
        <s v="Fashion"/>
      </sharedItems>
    </cacheField>
    <cacheField name="Region" numFmtId="0">
      <sharedItems count="6">
        <s v="Chennai"/>
        <s v="Delhi"/>
        <s v="Pune"/>
        <s v="Hyderabad"/>
        <s v="Bangalore"/>
        <s v="Mumbai"/>
      </sharedItems>
    </cacheField>
    <cacheField name="Customer_Type" numFmtId="0">
      <sharedItems count="4">
        <s v="Premium"/>
        <s v="New"/>
        <s v="Returning"/>
        <s v="Premimum" u="1"/>
      </sharedItems>
    </cacheField>
    <cacheField name="Payment_Method" numFmtId="0">
      <sharedItems count="3">
        <s v="Card"/>
        <s v="UPI"/>
        <s v="COD"/>
      </sharedItems>
    </cacheField>
    <cacheField name="Quantity" numFmtId="1">
      <sharedItems containsSemiMixedTypes="0" containsString="0" containsNumber="1" containsInteger="1" minValue="1" maxValue="5"/>
    </cacheField>
    <cacheField name="Unit_Price" numFmtId="165">
      <sharedItems containsSemiMixedTypes="0" containsString="0" containsNumber="1" containsInteger="1" minValue="100" maxValue="69296"/>
    </cacheField>
    <cacheField name="Total_Sales" numFmtId="165">
      <sharedItems containsSemiMixedTypes="0" containsString="0" containsNumber="1" containsInteger="1" minValue="129" maxValue="137032"/>
    </cacheField>
    <cacheField name="Months (Order_Date)" numFmtId="0" databaseField="0">
      <fieldGroup base="1">
        <rangePr groupBy="months" startDate="2022-01-03T00:00:00" endDate="2026-05-16T00:00:00"/>
        <groupItems count="14">
          <s v="&lt;03/01/2022"/>
          <s v="Jan"/>
          <s v="Feb"/>
          <s v="Mar"/>
          <s v="Apr"/>
          <s v="Mei"/>
          <s v="Jun"/>
          <s v="Jul"/>
          <s v="Agu"/>
          <s v="Sep"/>
          <s v="Okt"/>
          <s v="Nov"/>
          <s v="Des"/>
          <s v="&gt;16/05/2026"/>
        </groupItems>
      </fieldGroup>
    </cacheField>
    <cacheField name="Quarters (Order_Date)" numFmtId="0" databaseField="0">
      <fieldGroup base="1">
        <rangePr groupBy="quarters" startDate="2022-01-03T00:00:00" endDate="2026-05-16T00:00:00"/>
        <groupItems count="6">
          <s v="&lt;03/01/2022"/>
          <s v="Qtr1"/>
          <s v="Qtr2"/>
          <s v="Qtr3"/>
          <s v="Qtr4"/>
          <s v="&gt;16/05/2026"/>
        </groupItems>
      </fieldGroup>
    </cacheField>
    <cacheField name="Years (Order_Date)" numFmtId="0" databaseField="0">
      <fieldGroup base="1">
        <rangePr groupBy="years" startDate="2022-01-03T00:00:00" endDate="2026-05-16T00:00:00"/>
        <groupItems count="7">
          <s v="&lt;03/01/2022"/>
          <s v="2022"/>
          <s v="2023"/>
          <s v="2024"/>
          <s v="2025"/>
          <s v="2026"/>
          <s v="&gt;16/05/2026"/>
        </groupItems>
      </fieldGroup>
    </cacheField>
  </cacheFields>
  <extLst>
    <ext xmlns:x14="http://schemas.microsoft.com/office/spreadsheetml/2009/9/main" uri="{725AE2AE-9491-48be-B2B4-4EB974FC3084}">
      <x14:pivotCacheDefinition pivotCacheId="1066533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8"/>
    <x v="0"/>
    <n v="3"/>
    <x v="0"/>
    <x v="0"/>
    <x v="0"/>
    <x v="0"/>
    <x v="0"/>
    <n v="2"/>
    <n v="50353"/>
    <n v="100706"/>
  </r>
  <r>
    <x v="1"/>
    <x v="1"/>
    <x v="1"/>
    <n v="6"/>
    <x v="1"/>
    <n v="2"/>
    <x v="1"/>
    <x v="0"/>
    <x v="1"/>
    <x v="1"/>
    <x v="1"/>
    <n v="2"/>
    <n v="2008"/>
    <n v="4016"/>
  </r>
  <r>
    <x v="2"/>
    <x v="2"/>
    <x v="0"/>
    <n v="6"/>
    <x v="1"/>
    <n v="2"/>
    <x v="2"/>
    <x v="1"/>
    <x v="2"/>
    <x v="0"/>
    <x v="0"/>
    <n v="2"/>
    <n v="10072"/>
    <n v="20144"/>
  </r>
  <r>
    <x v="3"/>
    <x v="3"/>
    <x v="2"/>
    <n v="11"/>
    <x v="2"/>
    <n v="4"/>
    <x v="3"/>
    <x v="1"/>
    <x v="2"/>
    <x v="1"/>
    <x v="1"/>
    <n v="2"/>
    <n v="920"/>
    <n v="1840"/>
  </r>
  <r>
    <x v="3"/>
    <x v="4"/>
    <x v="0"/>
    <n v="1"/>
    <x v="3"/>
    <n v="1"/>
    <x v="3"/>
    <x v="1"/>
    <x v="2"/>
    <x v="1"/>
    <x v="1"/>
    <n v="2"/>
    <n v="920"/>
    <n v="1840"/>
  </r>
  <r>
    <x v="3"/>
    <x v="5"/>
    <x v="0"/>
    <n v="4"/>
    <x v="4"/>
    <n v="2"/>
    <x v="3"/>
    <x v="1"/>
    <x v="2"/>
    <x v="1"/>
    <x v="1"/>
    <n v="2"/>
    <n v="920"/>
    <n v="1840"/>
  </r>
  <r>
    <x v="4"/>
    <x v="6"/>
    <x v="1"/>
    <n v="6"/>
    <x v="1"/>
    <n v="2"/>
    <x v="4"/>
    <x v="0"/>
    <x v="1"/>
    <x v="2"/>
    <x v="2"/>
    <n v="1"/>
    <n v="13225"/>
    <n v="13225"/>
  </r>
  <r>
    <x v="4"/>
    <x v="7"/>
    <x v="0"/>
    <n v="3"/>
    <x v="5"/>
    <n v="1"/>
    <x v="4"/>
    <x v="0"/>
    <x v="1"/>
    <x v="2"/>
    <x v="2"/>
    <n v="1"/>
    <n v="13225"/>
    <n v="13225"/>
  </r>
  <r>
    <x v="4"/>
    <x v="8"/>
    <x v="2"/>
    <n v="10"/>
    <x v="6"/>
    <n v="4"/>
    <x v="4"/>
    <x v="0"/>
    <x v="1"/>
    <x v="2"/>
    <x v="2"/>
    <n v="1"/>
    <n v="13225"/>
    <n v="13225"/>
  </r>
  <r>
    <x v="4"/>
    <x v="9"/>
    <x v="0"/>
    <n v="12"/>
    <x v="7"/>
    <n v="4"/>
    <x v="4"/>
    <x v="0"/>
    <x v="1"/>
    <x v="2"/>
    <x v="2"/>
    <n v="1"/>
    <n v="13225"/>
    <n v="13225"/>
  </r>
  <r>
    <x v="5"/>
    <x v="10"/>
    <x v="0"/>
    <n v="1"/>
    <x v="3"/>
    <n v="1"/>
    <x v="5"/>
    <x v="2"/>
    <x v="3"/>
    <x v="0"/>
    <x v="1"/>
    <n v="3"/>
    <n v="621"/>
    <n v="1863"/>
  </r>
  <r>
    <x v="6"/>
    <x v="0"/>
    <x v="0"/>
    <n v="8"/>
    <x v="0"/>
    <n v="3"/>
    <x v="6"/>
    <x v="3"/>
    <x v="4"/>
    <x v="1"/>
    <x v="2"/>
    <n v="2"/>
    <n v="905"/>
    <n v="1810"/>
  </r>
  <r>
    <x v="6"/>
    <x v="11"/>
    <x v="0"/>
    <n v="5"/>
    <x v="8"/>
    <n v="2"/>
    <x v="6"/>
    <x v="3"/>
    <x v="4"/>
    <x v="1"/>
    <x v="2"/>
    <n v="2"/>
    <n v="905"/>
    <n v="1810"/>
  </r>
  <r>
    <x v="6"/>
    <x v="12"/>
    <x v="0"/>
    <n v="12"/>
    <x v="7"/>
    <n v="4"/>
    <x v="6"/>
    <x v="3"/>
    <x v="4"/>
    <x v="1"/>
    <x v="2"/>
    <n v="2"/>
    <n v="905"/>
    <n v="1810"/>
  </r>
  <r>
    <x v="6"/>
    <x v="13"/>
    <x v="2"/>
    <n v="10"/>
    <x v="6"/>
    <n v="4"/>
    <x v="6"/>
    <x v="3"/>
    <x v="4"/>
    <x v="1"/>
    <x v="2"/>
    <n v="2"/>
    <n v="905"/>
    <n v="1810"/>
  </r>
  <r>
    <x v="7"/>
    <x v="14"/>
    <x v="1"/>
    <n v="5"/>
    <x v="8"/>
    <n v="2"/>
    <x v="7"/>
    <x v="0"/>
    <x v="3"/>
    <x v="2"/>
    <x v="0"/>
    <n v="1"/>
    <n v="8563"/>
    <n v="8563"/>
  </r>
  <r>
    <x v="7"/>
    <x v="15"/>
    <x v="0"/>
    <n v="1"/>
    <x v="3"/>
    <n v="1"/>
    <x v="7"/>
    <x v="0"/>
    <x v="3"/>
    <x v="2"/>
    <x v="0"/>
    <n v="1"/>
    <n v="8563"/>
    <n v="8563"/>
  </r>
  <r>
    <x v="7"/>
    <x v="16"/>
    <x v="1"/>
    <n v="12"/>
    <x v="7"/>
    <n v="4"/>
    <x v="7"/>
    <x v="0"/>
    <x v="3"/>
    <x v="2"/>
    <x v="0"/>
    <n v="1"/>
    <n v="8563"/>
    <n v="8563"/>
  </r>
  <r>
    <x v="8"/>
    <x v="17"/>
    <x v="0"/>
    <n v="7"/>
    <x v="9"/>
    <n v="3"/>
    <x v="8"/>
    <x v="1"/>
    <x v="0"/>
    <x v="1"/>
    <x v="1"/>
    <n v="1"/>
    <n v="268"/>
    <n v="268"/>
  </r>
  <r>
    <x v="8"/>
    <x v="18"/>
    <x v="0"/>
    <n v="8"/>
    <x v="0"/>
    <n v="3"/>
    <x v="8"/>
    <x v="1"/>
    <x v="0"/>
    <x v="1"/>
    <x v="1"/>
    <n v="1"/>
    <n v="268"/>
    <n v="268"/>
  </r>
  <r>
    <x v="8"/>
    <x v="19"/>
    <x v="0"/>
    <n v="4"/>
    <x v="4"/>
    <n v="2"/>
    <x v="8"/>
    <x v="1"/>
    <x v="0"/>
    <x v="1"/>
    <x v="1"/>
    <n v="1"/>
    <n v="268"/>
    <n v="268"/>
  </r>
  <r>
    <x v="8"/>
    <x v="20"/>
    <x v="0"/>
    <n v="8"/>
    <x v="0"/>
    <n v="3"/>
    <x v="8"/>
    <x v="1"/>
    <x v="0"/>
    <x v="1"/>
    <x v="1"/>
    <n v="1"/>
    <n v="268"/>
    <n v="268"/>
  </r>
  <r>
    <x v="9"/>
    <x v="21"/>
    <x v="1"/>
    <n v="8"/>
    <x v="0"/>
    <n v="3"/>
    <x v="0"/>
    <x v="0"/>
    <x v="3"/>
    <x v="2"/>
    <x v="0"/>
    <n v="2"/>
    <n v="54018"/>
    <n v="108036"/>
  </r>
  <r>
    <x v="9"/>
    <x v="22"/>
    <x v="1"/>
    <n v="4"/>
    <x v="4"/>
    <n v="2"/>
    <x v="0"/>
    <x v="0"/>
    <x v="3"/>
    <x v="2"/>
    <x v="0"/>
    <n v="2"/>
    <n v="54018"/>
    <n v="108036"/>
  </r>
  <r>
    <x v="9"/>
    <x v="23"/>
    <x v="0"/>
    <n v="3"/>
    <x v="5"/>
    <n v="1"/>
    <x v="0"/>
    <x v="0"/>
    <x v="3"/>
    <x v="2"/>
    <x v="0"/>
    <n v="2"/>
    <n v="54018"/>
    <n v="108036"/>
  </r>
  <r>
    <x v="9"/>
    <x v="24"/>
    <x v="1"/>
    <n v="4"/>
    <x v="4"/>
    <n v="2"/>
    <x v="0"/>
    <x v="0"/>
    <x v="3"/>
    <x v="2"/>
    <x v="0"/>
    <n v="2"/>
    <n v="54018"/>
    <n v="108036"/>
  </r>
  <r>
    <x v="10"/>
    <x v="25"/>
    <x v="1"/>
    <n v="7"/>
    <x v="9"/>
    <n v="3"/>
    <x v="1"/>
    <x v="0"/>
    <x v="1"/>
    <x v="2"/>
    <x v="1"/>
    <n v="3"/>
    <n v="4762"/>
    <n v="14286"/>
  </r>
  <r>
    <x v="11"/>
    <x v="26"/>
    <x v="0"/>
    <n v="9"/>
    <x v="10"/>
    <n v="3"/>
    <x v="9"/>
    <x v="3"/>
    <x v="2"/>
    <x v="2"/>
    <x v="2"/>
    <n v="2"/>
    <n v="4880"/>
    <n v="9760"/>
  </r>
  <r>
    <x v="11"/>
    <x v="27"/>
    <x v="0"/>
    <n v="9"/>
    <x v="10"/>
    <n v="3"/>
    <x v="9"/>
    <x v="3"/>
    <x v="2"/>
    <x v="2"/>
    <x v="2"/>
    <n v="2"/>
    <n v="4880"/>
    <n v="9760"/>
  </r>
  <r>
    <x v="11"/>
    <x v="7"/>
    <x v="0"/>
    <n v="3"/>
    <x v="5"/>
    <n v="1"/>
    <x v="9"/>
    <x v="3"/>
    <x v="2"/>
    <x v="2"/>
    <x v="2"/>
    <n v="2"/>
    <n v="4880"/>
    <n v="9760"/>
  </r>
  <r>
    <x v="12"/>
    <x v="28"/>
    <x v="1"/>
    <n v="9"/>
    <x v="10"/>
    <n v="3"/>
    <x v="2"/>
    <x v="1"/>
    <x v="0"/>
    <x v="2"/>
    <x v="0"/>
    <n v="1"/>
    <n v="8508"/>
    <n v="8508"/>
  </r>
  <r>
    <x v="12"/>
    <x v="29"/>
    <x v="2"/>
    <n v="12"/>
    <x v="7"/>
    <n v="4"/>
    <x v="2"/>
    <x v="1"/>
    <x v="0"/>
    <x v="2"/>
    <x v="0"/>
    <n v="1"/>
    <n v="8508"/>
    <n v="8508"/>
  </r>
  <r>
    <x v="12"/>
    <x v="30"/>
    <x v="0"/>
    <n v="2"/>
    <x v="11"/>
    <n v="1"/>
    <x v="2"/>
    <x v="1"/>
    <x v="0"/>
    <x v="2"/>
    <x v="0"/>
    <n v="1"/>
    <n v="8508"/>
    <n v="8508"/>
  </r>
  <r>
    <x v="13"/>
    <x v="31"/>
    <x v="1"/>
    <n v="11"/>
    <x v="2"/>
    <n v="4"/>
    <x v="3"/>
    <x v="1"/>
    <x v="0"/>
    <x v="1"/>
    <x v="1"/>
    <n v="4"/>
    <n v="119"/>
    <n v="476"/>
  </r>
  <r>
    <x v="13"/>
    <x v="32"/>
    <x v="0"/>
    <n v="12"/>
    <x v="7"/>
    <n v="4"/>
    <x v="3"/>
    <x v="1"/>
    <x v="0"/>
    <x v="1"/>
    <x v="1"/>
    <n v="4"/>
    <n v="119"/>
    <n v="476"/>
  </r>
  <r>
    <x v="13"/>
    <x v="33"/>
    <x v="1"/>
    <n v="5"/>
    <x v="8"/>
    <n v="2"/>
    <x v="3"/>
    <x v="1"/>
    <x v="0"/>
    <x v="1"/>
    <x v="1"/>
    <n v="4"/>
    <n v="119"/>
    <n v="476"/>
  </r>
  <r>
    <x v="13"/>
    <x v="34"/>
    <x v="2"/>
    <n v="6"/>
    <x v="1"/>
    <n v="2"/>
    <x v="3"/>
    <x v="1"/>
    <x v="0"/>
    <x v="1"/>
    <x v="1"/>
    <n v="4"/>
    <n v="119"/>
    <n v="476"/>
  </r>
  <r>
    <x v="14"/>
    <x v="35"/>
    <x v="1"/>
    <n v="4"/>
    <x v="4"/>
    <n v="2"/>
    <x v="4"/>
    <x v="0"/>
    <x v="5"/>
    <x v="1"/>
    <x v="2"/>
    <n v="1"/>
    <n v="37589"/>
    <n v="37589"/>
  </r>
  <r>
    <x v="14"/>
    <x v="36"/>
    <x v="2"/>
    <n v="1"/>
    <x v="3"/>
    <n v="1"/>
    <x v="4"/>
    <x v="0"/>
    <x v="5"/>
    <x v="1"/>
    <x v="2"/>
    <n v="1"/>
    <n v="37589"/>
    <n v="37589"/>
  </r>
  <r>
    <x v="14"/>
    <x v="37"/>
    <x v="2"/>
    <n v="6"/>
    <x v="1"/>
    <n v="2"/>
    <x v="4"/>
    <x v="0"/>
    <x v="5"/>
    <x v="1"/>
    <x v="2"/>
    <n v="1"/>
    <n v="37589"/>
    <n v="37589"/>
  </r>
  <r>
    <x v="15"/>
    <x v="38"/>
    <x v="0"/>
    <n v="3"/>
    <x v="5"/>
    <n v="1"/>
    <x v="5"/>
    <x v="2"/>
    <x v="1"/>
    <x v="0"/>
    <x v="1"/>
    <n v="1"/>
    <n v="781"/>
    <n v="781"/>
  </r>
  <r>
    <x v="16"/>
    <x v="39"/>
    <x v="2"/>
    <n v="6"/>
    <x v="1"/>
    <n v="2"/>
    <x v="6"/>
    <x v="3"/>
    <x v="5"/>
    <x v="0"/>
    <x v="1"/>
    <n v="5"/>
    <n v="809"/>
    <n v="4045"/>
  </r>
  <r>
    <x v="16"/>
    <x v="40"/>
    <x v="0"/>
    <n v="11"/>
    <x v="2"/>
    <n v="4"/>
    <x v="6"/>
    <x v="3"/>
    <x v="5"/>
    <x v="0"/>
    <x v="1"/>
    <n v="5"/>
    <n v="809"/>
    <n v="4045"/>
  </r>
  <r>
    <x v="16"/>
    <x v="41"/>
    <x v="0"/>
    <n v="4"/>
    <x v="4"/>
    <n v="2"/>
    <x v="6"/>
    <x v="3"/>
    <x v="5"/>
    <x v="0"/>
    <x v="1"/>
    <n v="5"/>
    <n v="809"/>
    <n v="4045"/>
  </r>
  <r>
    <x v="16"/>
    <x v="42"/>
    <x v="0"/>
    <n v="6"/>
    <x v="1"/>
    <n v="2"/>
    <x v="6"/>
    <x v="3"/>
    <x v="5"/>
    <x v="0"/>
    <x v="1"/>
    <n v="5"/>
    <n v="809"/>
    <n v="4045"/>
  </r>
  <r>
    <x v="17"/>
    <x v="43"/>
    <x v="0"/>
    <n v="10"/>
    <x v="6"/>
    <n v="4"/>
    <x v="7"/>
    <x v="0"/>
    <x v="2"/>
    <x v="0"/>
    <x v="1"/>
    <n v="2"/>
    <n v="4129"/>
    <n v="8258"/>
  </r>
  <r>
    <x v="17"/>
    <x v="44"/>
    <x v="2"/>
    <n v="8"/>
    <x v="0"/>
    <n v="3"/>
    <x v="7"/>
    <x v="0"/>
    <x v="2"/>
    <x v="0"/>
    <x v="1"/>
    <n v="2"/>
    <n v="4129"/>
    <n v="8258"/>
  </r>
  <r>
    <x v="17"/>
    <x v="28"/>
    <x v="1"/>
    <n v="9"/>
    <x v="10"/>
    <n v="3"/>
    <x v="7"/>
    <x v="0"/>
    <x v="2"/>
    <x v="0"/>
    <x v="1"/>
    <n v="2"/>
    <n v="4129"/>
    <n v="8258"/>
  </r>
  <r>
    <x v="17"/>
    <x v="45"/>
    <x v="2"/>
    <n v="3"/>
    <x v="5"/>
    <n v="1"/>
    <x v="7"/>
    <x v="0"/>
    <x v="2"/>
    <x v="0"/>
    <x v="1"/>
    <n v="2"/>
    <n v="4129"/>
    <n v="8258"/>
  </r>
  <r>
    <x v="17"/>
    <x v="46"/>
    <x v="1"/>
    <n v="5"/>
    <x v="8"/>
    <n v="2"/>
    <x v="7"/>
    <x v="0"/>
    <x v="2"/>
    <x v="0"/>
    <x v="1"/>
    <n v="2"/>
    <n v="4129"/>
    <n v="8258"/>
  </r>
  <r>
    <x v="18"/>
    <x v="47"/>
    <x v="0"/>
    <n v="9"/>
    <x v="10"/>
    <n v="3"/>
    <x v="0"/>
    <x v="0"/>
    <x v="2"/>
    <x v="0"/>
    <x v="2"/>
    <n v="2"/>
    <n v="68516"/>
    <n v="137032"/>
  </r>
  <r>
    <x v="18"/>
    <x v="48"/>
    <x v="2"/>
    <n v="5"/>
    <x v="8"/>
    <n v="2"/>
    <x v="0"/>
    <x v="0"/>
    <x v="2"/>
    <x v="0"/>
    <x v="2"/>
    <n v="2"/>
    <n v="68516"/>
    <n v="137032"/>
  </r>
  <r>
    <x v="18"/>
    <x v="49"/>
    <x v="2"/>
    <n v="10"/>
    <x v="6"/>
    <n v="4"/>
    <x v="0"/>
    <x v="0"/>
    <x v="2"/>
    <x v="0"/>
    <x v="2"/>
    <n v="2"/>
    <n v="68516"/>
    <n v="137032"/>
  </r>
  <r>
    <x v="18"/>
    <x v="50"/>
    <x v="0"/>
    <n v="1"/>
    <x v="3"/>
    <n v="1"/>
    <x v="0"/>
    <x v="0"/>
    <x v="2"/>
    <x v="0"/>
    <x v="2"/>
    <n v="2"/>
    <n v="68516"/>
    <n v="137032"/>
  </r>
  <r>
    <x v="19"/>
    <x v="51"/>
    <x v="0"/>
    <n v="8"/>
    <x v="0"/>
    <n v="3"/>
    <x v="1"/>
    <x v="0"/>
    <x v="5"/>
    <x v="1"/>
    <x v="0"/>
    <n v="1"/>
    <n v="3985"/>
    <n v="3985"/>
  </r>
  <r>
    <x v="19"/>
    <x v="15"/>
    <x v="0"/>
    <n v="1"/>
    <x v="3"/>
    <n v="1"/>
    <x v="1"/>
    <x v="0"/>
    <x v="5"/>
    <x v="1"/>
    <x v="0"/>
    <n v="1"/>
    <n v="3985"/>
    <n v="3985"/>
  </r>
  <r>
    <x v="20"/>
    <x v="52"/>
    <x v="2"/>
    <n v="7"/>
    <x v="9"/>
    <n v="3"/>
    <x v="9"/>
    <x v="3"/>
    <x v="5"/>
    <x v="2"/>
    <x v="1"/>
    <n v="1"/>
    <n v="2380"/>
    <n v="2380"/>
  </r>
  <r>
    <x v="20"/>
    <x v="53"/>
    <x v="0"/>
    <n v="9"/>
    <x v="10"/>
    <n v="3"/>
    <x v="9"/>
    <x v="3"/>
    <x v="5"/>
    <x v="2"/>
    <x v="1"/>
    <n v="1"/>
    <n v="2380"/>
    <n v="2380"/>
  </r>
  <r>
    <x v="21"/>
    <x v="54"/>
    <x v="1"/>
    <n v="3"/>
    <x v="5"/>
    <n v="1"/>
    <x v="2"/>
    <x v="1"/>
    <x v="4"/>
    <x v="1"/>
    <x v="1"/>
    <n v="3"/>
    <n v="13522"/>
    <n v="40566"/>
  </r>
  <r>
    <x v="21"/>
    <x v="16"/>
    <x v="1"/>
    <n v="12"/>
    <x v="7"/>
    <n v="4"/>
    <x v="2"/>
    <x v="1"/>
    <x v="4"/>
    <x v="1"/>
    <x v="1"/>
    <n v="3"/>
    <n v="13522"/>
    <n v="40566"/>
  </r>
  <r>
    <x v="21"/>
    <x v="55"/>
    <x v="2"/>
    <n v="2"/>
    <x v="11"/>
    <n v="1"/>
    <x v="2"/>
    <x v="1"/>
    <x v="4"/>
    <x v="1"/>
    <x v="1"/>
    <n v="3"/>
    <n v="13522"/>
    <n v="40566"/>
  </r>
  <r>
    <x v="21"/>
    <x v="56"/>
    <x v="1"/>
    <n v="7"/>
    <x v="9"/>
    <n v="3"/>
    <x v="2"/>
    <x v="1"/>
    <x v="4"/>
    <x v="1"/>
    <x v="1"/>
    <n v="3"/>
    <n v="13522"/>
    <n v="40566"/>
  </r>
  <r>
    <x v="21"/>
    <x v="57"/>
    <x v="0"/>
    <n v="11"/>
    <x v="2"/>
    <n v="4"/>
    <x v="2"/>
    <x v="1"/>
    <x v="4"/>
    <x v="1"/>
    <x v="1"/>
    <n v="3"/>
    <n v="13522"/>
    <n v="40566"/>
  </r>
  <r>
    <x v="21"/>
    <x v="58"/>
    <x v="2"/>
    <n v="4"/>
    <x v="4"/>
    <n v="2"/>
    <x v="2"/>
    <x v="1"/>
    <x v="4"/>
    <x v="1"/>
    <x v="1"/>
    <n v="3"/>
    <n v="13522"/>
    <n v="40566"/>
  </r>
  <r>
    <x v="21"/>
    <x v="59"/>
    <x v="0"/>
    <n v="10"/>
    <x v="6"/>
    <n v="4"/>
    <x v="2"/>
    <x v="1"/>
    <x v="4"/>
    <x v="1"/>
    <x v="1"/>
    <n v="3"/>
    <n v="13522"/>
    <n v="40566"/>
  </r>
  <r>
    <x v="21"/>
    <x v="60"/>
    <x v="0"/>
    <n v="4"/>
    <x v="4"/>
    <n v="2"/>
    <x v="2"/>
    <x v="1"/>
    <x v="4"/>
    <x v="1"/>
    <x v="1"/>
    <n v="3"/>
    <n v="13522"/>
    <n v="40566"/>
  </r>
  <r>
    <x v="22"/>
    <x v="61"/>
    <x v="0"/>
    <n v="9"/>
    <x v="10"/>
    <n v="3"/>
    <x v="3"/>
    <x v="1"/>
    <x v="2"/>
    <x v="0"/>
    <x v="2"/>
    <n v="1"/>
    <n v="340"/>
    <n v="340"/>
  </r>
  <r>
    <x v="22"/>
    <x v="62"/>
    <x v="1"/>
    <n v="2"/>
    <x v="11"/>
    <n v="1"/>
    <x v="3"/>
    <x v="1"/>
    <x v="2"/>
    <x v="0"/>
    <x v="2"/>
    <n v="1"/>
    <n v="340"/>
    <n v="340"/>
  </r>
  <r>
    <x v="22"/>
    <x v="63"/>
    <x v="0"/>
    <n v="5"/>
    <x v="8"/>
    <n v="2"/>
    <x v="3"/>
    <x v="1"/>
    <x v="2"/>
    <x v="0"/>
    <x v="2"/>
    <n v="1"/>
    <n v="340"/>
    <n v="340"/>
  </r>
  <r>
    <x v="22"/>
    <x v="64"/>
    <x v="2"/>
    <n v="11"/>
    <x v="2"/>
    <n v="4"/>
    <x v="3"/>
    <x v="1"/>
    <x v="2"/>
    <x v="0"/>
    <x v="2"/>
    <n v="1"/>
    <n v="340"/>
    <n v="340"/>
  </r>
  <r>
    <x v="22"/>
    <x v="65"/>
    <x v="0"/>
    <n v="8"/>
    <x v="0"/>
    <n v="3"/>
    <x v="3"/>
    <x v="1"/>
    <x v="2"/>
    <x v="0"/>
    <x v="2"/>
    <n v="1"/>
    <n v="340"/>
    <n v="340"/>
  </r>
  <r>
    <x v="23"/>
    <x v="66"/>
    <x v="0"/>
    <n v="11"/>
    <x v="2"/>
    <n v="4"/>
    <x v="4"/>
    <x v="0"/>
    <x v="4"/>
    <x v="2"/>
    <x v="1"/>
    <n v="1"/>
    <n v="34153"/>
    <n v="34153"/>
  </r>
  <r>
    <x v="23"/>
    <x v="67"/>
    <x v="1"/>
    <n v="10"/>
    <x v="6"/>
    <n v="4"/>
    <x v="4"/>
    <x v="0"/>
    <x v="4"/>
    <x v="2"/>
    <x v="1"/>
    <n v="1"/>
    <n v="34153"/>
    <n v="34153"/>
  </r>
  <r>
    <x v="24"/>
    <x v="68"/>
    <x v="1"/>
    <n v="5"/>
    <x v="8"/>
    <n v="2"/>
    <x v="5"/>
    <x v="2"/>
    <x v="1"/>
    <x v="2"/>
    <x v="1"/>
    <n v="1"/>
    <n v="884"/>
    <n v="884"/>
  </r>
  <r>
    <x v="24"/>
    <x v="69"/>
    <x v="0"/>
    <n v="10"/>
    <x v="6"/>
    <n v="4"/>
    <x v="5"/>
    <x v="2"/>
    <x v="1"/>
    <x v="2"/>
    <x v="1"/>
    <n v="1"/>
    <n v="884"/>
    <n v="884"/>
  </r>
  <r>
    <x v="24"/>
    <x v="70"/>
    <x v="1"/>
    <n v="9"/>
    <x v="10"/>
    <n v="3"/>
    <x v="5"/>
    <x v="2"/>
    <x v="1"/>
    <x v="2"/>
    <x v="1"/>
    <n v="1"/>
    <n v="884"/>
    <n v="884"/>
  </r>
  <r>
    <x v="25"/>
    <x v="71"/>
    <x v="0"/>
    <n v="1"/>
    <x v="3"/>
    <n v="1"/>
    <x v="6"/>
    <x v="3"/>
    <x v="2"/>
    <x v="1"/>
    <x v="2"/>
    <n v="1"/>
    <n v="1961"/>
    <n v="1961"/>
  </r>
  <r>
    <x v="26"/>
    <x v="72"/>
    <x v="0"/>
    <n v="3"/>
    <x v="5"/>
    <n v="1"/>
    <x v="7"/>
    <x v="0"/>
    <x v="2"/>
    <x v="0"/>
    <x v="1"/>
    <n v="1"/>
    <n v="7608"/>
    <n v="7608"/>
  </r>
  <r>
    <x v="26"/>
    <x v="73"/>
    <x v="0"/>
    <n v="4"/>
    <x v="4"/>
    <n v="2"/>
    <x v="7"/>
    <x v="0"/>
    <x v="2"/>
    <x v="0"/>
    <x v="1"/>
    <n v="1"/>
    <n v="7608"/>
    <n v="7608"/>
  </r>
  <r>
    <x v="27"/>
    <x v="74"/>
    <x v="0"/>
    <n v="12"/>
    <x v="7"/>
    <n v="4"/>
    <x v="8"/>
    <x v="1"/>
    <x v="3"/>
    <x v="0"/>
    <x v="2"/>
    <n v="5"/>
    <n v="126"/>
    <n v="630"/>
  </r>
  <r>
    <x v="28"/>
    <x v="75"/>
    <x v="1"/>
    <n v="11"/>
    <x v="2"/>
    <n v="4"/>
    <x v="0"/>
    <x v="0"/>
    <x v="3"/>
    <x v="1"/>
    <x v="2"/>
    <n v="1"/>
    <n v="68088"/>
    <n v="68088"/>
  </r>
  <r>
    <x v="28"/>
    <x v="76"/>
    <x v="2"/>
    <n v="10"/>
    <x v="6"/>
    <n v="4"/>
    <x v="0"/>
    <x v="0"/>
    <x v="3"/>
    <x v="1"/>
    <x v="2"/>
    <n v="1"/>
    <n v="68088"/>
    <n v="68088"/>
  </r>
  <r>
    <x v="28"/>
    <x v="77"/>
    <x v="2"/>
    <n v="6"/>
    <x v="1"/>
    <n v="2"/>
    <x v="0"/>
    <x v="0"/>
    <x v="3"/>
    <x v="1"/>
    <x v="2"/>
    <n v="1"/>
    <n v="68088"/>
    <n v="68088"/>
  </r>
  <r>
    <x v="29"/>
    <x v="78"/>
    <x v="1"/>
    <n v="5"/>
    <x v="8"/>
    <n v="2"/>
    <x v="1"/>
    <x v="0"/>
    <x v="1"/>
    <x v="1"/>
    <x v="1"/>
    <n v="3"/>
    <n v="2723"/>
    <n v="8169"/>
  </r>
  <r>
    <x v="29"/>
    <x v="79"/>
    <x v="0"/>
    <n v="8"/>
    <x v="0"/>
    <n v="3"/>
    <x v="1"/>
    <x v="0"/>
    <x v="1"/>
    <x v="1"/>
    <x v="1"/>
    <n v="3"/>
    <n v="2723"/>
    <n v="8169"/>
  </r>
  <r>
    <x v="29"/>
    <x v="80"/>
    <x v="0"/>
    <n v="5"/>
    <x v="8"/>
    <n v="2"/>
    <x v="1"/>
    <x v="0"/>
    <x v="1"/>
    <x v="1"/>
    <x v="1"/>
    <n v="3"/>
    <n v="2723"/>
    <n v="8169"/>
  </r>
  <r>
    <x v="30"/>
    <x v="81"/>
    <x v="0"/>
    <n v="1"/>
    <x v="3"/>
    <n v="1"/>
    <x v="9"/>
    <x v="3"/>
    <x v="5"/>
    <x v="1"/>
    <x v="2"/>
    <n v="1"/>
    <n v="4157"/>
    <n v="4157"/>
  </r>
  <r>
    <x v="30"/>
    <x v="82"/>
    <x v="2"/>
    <n v="1"/>
    <x v="3"/>
    <n v="1"/>
    <x v="9"/>
    <x v="3"/>
    <x v="5"/>
    <x v="1"/>
    <x v="2"/>
    <n v="1"/>
    <n v="4157"/>
    <n v="4157"/>
  </r>
  <r>
    <x v="30"/>
    <x v="83"/>
    <x v="2"/>
    <n v="1"/>
    <x v="3"/>
    <n v="1"/>
    <x v="9"/>
    <x v="3"/>
    <x v="5"/>
    <x v="1"/>
    <x v="2"/>
    <n v="1"/>
    <n v="4157"/>
    <n v="4157"/>
  </r>
  <r>
    <x v="30"/>
    <x v="84"/>
    <x v="1"/>
    <n v="2"/>
    <x v="11"/>
    <n v="1"/>
    <x v="9"/>
    <x v="3"/>
    <x v="5"/>
    <x v="1"/>
    <x v="2"/>
    <n v="1"/>
    <n v="4157"/>
    <n v="4157"/>
  </r>
  <r>
    <x v="31"/>
    <x v="62"/>
    <x v="1"/>
    <n v="2"/>
    <x v="11"/>
    <n v="1"/>
    <x v="3"/>
    <x v="1"/>
    <x v="1"/>
    <x v="2"/>
    <x v="1"/>
    <n v="3"/>
    <n v="414"/>
    <n v="1242"/>
  </r>
  <r>
    <x v="31"/>
    <x v="85"/>
    <x v="1"/>
    <n v="3"/>
    <x v="5"/>
    <n v="1"/>
    <x v="3"/>
    <x v="1"/>
    <x v="1"/>
    <x v="2"/>
    <x v="1"/>
    <n v="3"/>
    <n v="414"/>
    <n v="1242"/>
  </r>
  <r>
    <x v="31"/>
    <x v="86"/>
    <x v="0"/>
    <n v="7"/>
    <x v="9"/>
    <n v="3"/>
    <x v="3"/>
    <x v="1"/>
    <x v="1"/>
    <x v="2"/>
    <x v="1"/>
    <n v="3"/>
    <n v="414"/>
    <n v="1242"/>
  </r>
  <r>
    <x v="32"/>
    <x v="87"/>
    <x v="0"/>
    <n v="12"/>
    <x v="7"/>
    <n v="4"/>
    <x v="4"/>
    <x v="0"/>
    <x v="4"/>
    <x v="2"/>
    <x v="0"/>
    <n v="2"/>
    <n v="15134"/>
    <n v="30268"/>
  </r>
  <r>
    <x v="33"/>
    <x v="88"/>
    <x v="2"/>
    <n v="1"/>
    <x v="3"/>
    <n v="1"/>
    <x v="5"/>
    <x v="2"/>
    <x v="3"/>
    <x v="2"/>
    <x v="0"/>
    <n v="5"/>
    <n v="605"/>
    <n v="3025"/>
  </r>
  <r>
    <x v="34"/>
    <x v="89"/>
    <x v="1"/>
    <n v="7"/>
    <x v="9"/>
    <n v="3"/>
    <x v="6"/>
    <x v="3"/>
    <x v="1"/>
    <x v="2"/>
    <x v="0"/>
    <n v="3"/>
    <n v="1857"/>
    <n v="5571"/>
  </r>
  <r>
    <x v="34"/>
    <x v="90"/>
    <x v="2"/>
    <n v="2"/>
    <x v="11"/>
    <n v="1"/>
    <x v="6"/>
    <x v="3"/>
    <x v="1"/>
    <x v="2"/>
    <x v="0"/>
    <n v="3"/>
    <n v="1857"/>
    <n v="5571"/>
  </r>
  <r>
    <x v="35"/>
    <x v="91"/>
    <x v="1"/>
    <n v="6"/>
    <x v="1"/>
    <n v="2"/>
    <x v="7"/>
    <x v="0"/>
    <x v="0"/>
    <x v="2"/>
    <x v="2"/>
    <n v="1"/>
    <n v="5190"/>
    <n v="5190"/>
  </r>
  <r>
    <x v="35"/>
    <x v="92"/>
    <x v="0"/>
    <n v="1"/>
    <x v="3"/>
    <n v="1"/>
    <x v="7"/>
    <x v="0"/>
    <x v="0"/>
    <x v="2"/>
    <x v="2"/>
    <n v="1"/>
    <n v="5190"/>
    <n v="5190"/>
  </r>
  <r>
    <x v="35"/>
    <x v="93"/>
    <x v="0"/>
    <n v="2"/>
    <x v="11"/>
    <n v="1"/>
    <x v="7"/>
    <x v="0"/>
    <x v="0"/>
    <x v="2"/>
    <x v="2"/>
    <n v="1"/>
    <n v="5190"/>
    <n v="5190"/>
  </r>
  <r>
    <x v="35"/>
    <x v="94"/>
    <x v="1"/>
    <n v="10"/>
    <x v="6"/>
    <n v="4"/>
    <x v="7"/>
    <x v="0"/>
    <x v="0"/>
    <x v="2"/>
    <x v="2"/>
    <n v="1"/>
    <n v="5190"/>
    <n v="5190"/>
  </r>
  <r>
    <x v="36"/>
    <x v="95"/>
    <x v="1"/>
    <n v="9"/>
    <x v="10"/>
    <n v="3"/>
    <x v="8"/>
    <x v="1"/>
    <x v="4"/>
    <x v="0"/>
    <x v="2"/>
    <n v="4"/>
    <n v="338"/>
    <n v="1352"/>
  </r>
  <r>
    <x v="36"/>
    <x v="96"/>
    <x v="1"/>
    <n v="1"/>
    <x v="3"/>
    <n v="1"/>
    <x v="8"/>
    <x v="1"/>
    <x v="4"/>
    <x v="0"/>
    <x v="2"/>
    <n v="4"/>
    <n v="338"/>
    <n v="1352"/>
  </r>
  <r>
    <x v="37"/>
    <x v="97"/>
    <x v="1"/>
    <n v="2"/>
    <x v="11"/>
    <n v="1"/>
    <x v="0"/>
    <x v="0"/>
    <x v="3"/>
    <x v="1"/>
    <x v="2"/>
    <n v="1"/>
    <n v="52555"/>
    <n v="52555"/>
  </r>
  <r>
    <x v="37"/>
    <x v="98"/>
    <x v="0"/>
    <n v="8"/>
    <x v="0"/>
    <n v="3"/>
    <x v="0"/>
    <x v="0"/>
    <x v="3"/>
    <x v="1"/>
    <x v="2"/>
    <n v="1"/>
    <n v="52555"/>
    <n v="52555"/>
  </r>
  <r>
    <x v="37"/>
    <x v="99"/>
    <x v="0"/>
    <n v="3"/>
    <x v="5"/>
    <n v="1"/>
    <x v="0"/>
    <x v="0"/>
    <x v="3"/>
    <x v="1"/>
    <x v="2"/>
    <n v="1"/>
    <n v="52555"/>
    <n v="52555"/>
  </r>
  <r>
    <x v="38"/>
    <x v="43"/>
    <x v="0"/>
    <n v="10"/>
    <x v="6"/>
    <n v="4"/>
    <x v="1"/>
    <x v="0"/>
    <x v="1"/>
    <x v="2"/>
    <x v="1"/>
    <n v="1"/>
    <n v="2478"/>
    <n v="2478"/>
  </r>
  <r>
    <x v="38"/>
    <x v="79"/>
    <x v="0"/>
    <n v="8"/>
    <x v="0"/>
    <n v="3"/>
    <x v="1"/>
    <x v="0"/>
    <x v="1"/>
    <x v="2"/>
    <x v="1"/>
    <n v="1"/>
    <n v="2478"/>
    <n v="2478"/>
  </r>
  <r>
    <x v="38"/>
    <x v="100"/>
    <x v="2"/>
    <n v="8"/>
    <x v="0"/>
    <n v="3"/>
    <x v="1"/>
    <x v="0"/>
    <x v="1"/>
    <x v="2"/>
    <x v="1"/>
    <n v="1"/>
    <n v="2478"/>
    <n v="2478"/>
  </r>
  <r>
    <x v="39"/>
    <x v="101"/>
    <x v="1"/>
    <n v="4"/>
    <x v="4"/>
    <n v="2"/>
    <x v="9"/>
    <x v="3"/>
    <x v="0"/>
    <x v="2"/>
    <x v="2"/>
    <n v="2"/>
    <n v="4368"/>
    <n v="8736"/>
  </r>
  <r>
    <x v="39"/>
    <x v="4"/>
    <x v="0"/>
    <n v="1"/>
    <x v="3"/>
    <n v="1"/>
    <x v="9"/>
    <x v="3"/>
    <x v="0"/>
    <x v="2"/>
    <x v="2"/>
    <n v="2"/>
    <n v="4368"/>
    <n v="8736"/>
  </r>
  <r>
    <x v="39"/>
    <x v="98"/>
    <x v="0"/>
    <n v="8"/>
    <x v="0"/>
    <n v="3"/>
    <x v="9"/>
    <x v="3"/>
    <x v="0"/>
    <x v="2"/>
    <x v="2"/>
    <n v="2"/>
    <n v="4368"/>
    <n v="8736"/>
  </r>
  <r>
    <x v="40"/>
    <x v="102"/>
    <x v="2"/>
    <n v="12"/>
    <x v="7"/>
    <n v="4"/>
    <x v="2"/>
    <x v="1"/>
    <x v="2"/>
    <x v="2"/>
    <x v="1"/>
    <n v="5"/>
    <n v="4294"/>
    <n v="21470"/>
  </r>
  <r>
    <x v="40"/>
    <x v="103"/>
    <x v="2"/>
    <n v="7"/>
    <x v="9"/>
    <n v="3"/>
    <x v="2"/>
    <x v="1"/>
    <x v="2"/>
    <x v="2"/>
    <x v="1"/>
    <n v="5"/>
    <n v="4294"/>
    <n v="21470"/>
  </r>
  <r>
    <x v="41"/>
    <x v="104"/>
    <x v="0"/>
    <n v="6"/>
    <x v="1"/>
    <n v="2"/>
    <x v="3"/>
    <x v="1"/>
    <x v="0"/>
    <x v="0"/>
    <x v="0"/>
    <n v="5"/>
    <n v="877"/>
    <n v="4385"/>
  </r>
  <r>
    <x v="42"/>
    <x v="105"/>
    <x v="2"/>
    <n v="10"/>
    <x v="6"/>
    <n v="4"/>
    <x v="4"/>
    <x v="0"/>
    <x v="3"/>
    <x v="0"/>
    <x v="1"/>
    <n v="2"/>
    <n v="35059"/>
    <n v="70118"/>
  </r>
  <r>
    <x v="42"/>
    <x v="106"/>
    <x v="1"/>
    <n v="6"/>
    <x v="1"/>
    <n v="2"/>
    <x v="4"/>
    <x v="0"/>
    <x v="3"/>
    <x v="0"/>
    <x v="1"/>
    <n v="2"/>
    <n v="35059"/>
    <n v="70118"/>
  </r>
  <r>
    <x v="43"/>
    <x v="107"/>
    <x v="0"/>
    <n v="8"/>
    <x v="0"/>
    <n v="3"/>
    <x v="5"/>
    <x v="2"/>
    <x v="0"/>
    <x v="1"/>
    <x v="1"/>
    <n v="3"/>
    <n v="935"/>
    <n v="2805"/>
  </r>
  <r>
    <x v="43"/>
    <x v="108"/>
    <x v="1"/>
    <n v="2"/>
    <x v="11"/>
    <n v="1"/>
    <x v="5"/>
    <x v="2"/>
    <x v="0"/>
    <x v="1"/>
    <x v="1"/>
    <n v="3"/>
    <n v="935"/>
    <n v="2805"/>
  </r>
  <r>
    <x v="44"/>
    <x v="109"/>
    <x v="1"/>
    <n v="7"/>
    <x v="9"/>
    <n v="3"/>
    <x v="6"/>
    <x v="3"/>
    <x v="0"/>
    <x v="1"/>
    <x v="0"/>
    <n v="1"/>
    <n v="1978"/>
    <n v="1978"/>
  </r>
  <r>
    <x v="44"/>
    <x v="110"/>
    <x v="2"/>
    <n v="6"/>
    <x v="1"/>
    <n v="2"/>
    <x v="6"/>
    <x v="3"/>
    <x v="0"/>
    <x v="1"/>
    <x v="0"/>
    <n v="1"/>
    <n v="1978"/>
    <n v="1978"/>
  </r>
  <r>
    <x v="44"/>
    <x v="111"/>
    <x v="1"/>
    <n v="2"/>
    <x v="11"/>
    <n v="1"/>
    <x v="6"/>
    <x v="3"/>
    <x v="0"/>
    <x v="1"/>
    <x v="0"/>
    <n v="1"/>
    <n v="1978"/>
    <n v="1978"/>
  </r>
  <r>
    <x v="44"/>
    <x v="112"/>
    <x v="1"/>
    <n v="3"/>
    <x v="5"/>
    <n v="1"/>
    <x v="6"/>
    <x v="3"/>
    <x v="0"/>
    <x v="1"/>
    <x v="0"/>
    <n v="1"/>
    <n v="1978"/>
    <n v="1978"/>
  </r>
  <r>
    <x v="45"/>
    <x v="113"/>
    <x v="2"/>
    <n v="4"/>
    <x v="4"/>
    <n v="2"/>
    <x v="7"/>
    <x v="0"/>
    <x v="5"/>
    <x v="0"/>
    <x v="0"/>
    <n v="2"/>
    <n v="14326"/>
    <n v="28652"/>
  </r>
  <r>
    <x v="45"/>
    <x v="114"/>
    <x v="2"/>
    <n v="5"/>
    <x v="8"/>
    <n v="2"/>
    <x v="7"/>
    <x v="0"/>
    <x v="5"/>
    <x v="0"/>
    <x v="0"/>
    <n v="2"/>
    <n v="14326"/>
    <n v="28652"/>
  </r>
  <r>
    <x v="45"/>
    <x v="115"/>
    <x v="0"/>
    <n v="12"/>
    <x v="7"/>
    <n v="4"/>
    <x v="7"/>
    <x v="0"/>
    <x v="5"/>
    <x v="0"/>
    <x v="0"/>
    <n v="2"/>
    <n v="14326"/>
    <n v="28652"/>
  </r>
  <r>
    <x v="46"/>
    <x v="116"/>
    <x v="0"/>
    <n v="3"/>
    <x v="5"/>
    <n v="1"/>
    <x v="8"/>
    <x v="1"/>
    <x v="5"/>
    <x v="1"/>
    <x v="0"/>
    <n v="3"/>
    <n v="100"/>
    <n v="300"/>
  </r>
  <r>
    <x v="46"/>
    <x v="117"/>
    <x v="1"/>
    <n v="1"/>
    <x v="3"/>
    <n v="1"/>
    <x v="8"/>
    <x v="1"/>
    <x v="5"/>
    <x v="1"/>
    <x v="0"/>
    <n v="3"/>
    <n v="100"/>
    <n v="300"/>
  </r>
  <r>
    <x v="46"/>
    <x v="118"/>
    <x v="0"/>
    <n v="3"/>
    <x v="5"/>
    <n v="1"/>
    <x v="8"/>
    <x v="1"/>
    <x v="5"/>
    <x v="1"/>
    <x v="0"/>
    <n v="3"/>
    <n v="100"/>
    <n v="300"/>
  </r>
  <r>
    <x v="46"/>
    <x v="119"/>
    <x v="0"/>
    <n v="5"/>
    <x v="8"/>
    <n v="2"/>
    <x v="8"/>
    <x v="1"/>
    <x v="5"/>
    <x v="1"/>
    <x v="0"/>
    <n v="3"/>
    <n v="100"/>
    <n v="300"/>
  </r>
  <r>
    <x v="46"/>
    <x v="120"/>
    <x v="0"/>
    <n v="3"/>
    <x v="5"/>
    <n v="1"/>
    <x v="8"/>
    <x v="1"/>
    <x v="5"/>
    <x v="1"/>
    <x v="0"/>
    <n v="3"/>
    <n v="100"/>
    <n v="300"/>
  </r>
  <r>
    <x v="46"/>
    <x v="121"/>
    <x v="0"/>
    <n v="4"/>
    <x v="4"/>
    <n v="2"/>
    <x v="8"/>
    <x v="1"/>
    <x v="5"/>
    <x v="1"/>
    <x v="0"/>
    <n v="3"/>
    <n v="100"/>
    <n v="300"/>
  </r>
  <r>
    <x v="46"/>
    <x v="122"/>
    <x v="1"/>
    <n v="9"/>
    <x v="10"/>
    <n v="3"/>
    <x v="8"/>
    <x v="1"/>
    <x v="5"/>
    <x v="1"/>
    <x v="0"/>
    <n v="3"/>
    <n v="100"/>
    <n v="300"/>
  </r>
  <r>
    <x v="47"/>
    <x v="123"/>
    <x v="1"/>
    <n v="5"/>
    <x v="8"/>
    <n v="2"/>
    <x v="0"/>
    <x v="0"/>
    <x v="0"/>
    <x v="1"/>
    <x v="2"/>
    <n v="2"/>
    <n v="54846"/>
    <n v="109692"/>
  </r>
  <r>
    <x v="48"/>
    <x v="124"/>
    <x v="0"/>
    <n v="7"/>
    <x v="9"/>
    <n v="3"/>
    <x v="1"/>
    <x v="0"/>
    <x v="0"/>
    <x v="1"/>
    <x v="0"/>
    <n v="3"/>
    <n v="4855"/>
    <n v="14565"/>
  </r>
  <r>
    <x v="48"/>
    <x v="125"/>
    <x v="1"/>
    <n v="5"/>
    <x v="8"/>
    <n v="2"/>
    <x v="1"/>
    <x v="0"/>
    <x v="0"/>
    <x v="1"/>
    <x v="0"/>
    <n v="3"/>
    <n v="4855"/>
    <n v="14565"/>
  </r>
  <r>
    <x v="49"/>
    <x v="126"/>
    <x v="0"/>
    <n v="8"/>
    <x v="0"/>
    <n v="3"/>
    <x v="9"/>
    <x v="3"/>
    <x v="3"/>
    <x v="0"/>
    <x v="1"/>
    <n v="3"/>
    <n v="1718"/>
    <n v="5154"/>
  </r>
  <r>
    <x v="49"/>
    <x v="127"/>
    <x v="2"/>
    <n v="9"/>
    <x v="10"/>
    <n v="3"/>
    <x v="9"/>
    <x v="3"/>
    <x v="3"/>
    <x v="0"/>
    <x v="1"/>
    <n v="3"/>
    <n v="1718"/>
    <n v="5154"/>
  </r>
  <r>
    <x v="49"/>
    <x v="128"/>
    <x v="0"/>
    <n v="8"/>
    <x v="0"/>
    <n v="3"/>
    <x v="9"/>
    <x v="3"/>
    <x v="3"/>
    <x v="0"/>
    <x v="1"/>
    <n v="3"/>
    <n v="1718"/>
    <n v="5154"/>
  </r>
  <r>
    <x v="49"/>
    <x v="129"/>
    <x v="0"/>
    <n v="8"/>
    <x v="0"/>
    <n v="3"/>
    <x v="9"/>
    <x v="3"/>
    <x v="3"/>
    <x v="0"/>
    <x v="1"/>
    <n v="3"/>
    <n v="1718"/>
    <n v="5154"/>
  </r>
  <r>
    <x v="50"/>
    <x v="130"/>
    <x v="0"/>
    <n v="2"/>
    <x v="11"/>
    <n v="1"/>
    <x v="2"/>
    <x v="1"/>
    <x v="2"/>
    <x v="1"/>
    <x v="2"/>
    <n v="5"/>
    <n v="17415"/>
    <n v="87075"/>
  </r>
  <r>
    <x v="50"/>
    <x v="131"/>
    <x v="2"/>
    <n v="5"/>
    <x v="8"/>
    <n v="2"/>
    <x v="2"/>
    <x v="1"/>
    <x v="2"/>
    <x v="1"/>
    <x v="2"/>
    <n v="5"/>
    <n v="17415"/>
    <n v="87075"/>
  </r>
  <r>
    <x v="51"/>
    <x v="132"/>
    <x v="0"/>
    <n v="12"/>
    <x v="7"/>
    <n v="4"/>
    <x v="3"/>
    <x v="1"/>
    <x v="5"/>
    <x v="1"/>
    <x v="1"/>
    <n v="3"/>
    <n v="661"/>
    <n v="1983"/>
  </r>
  <r>
    <x v="51"/>
    <x v="133"/>
    <x v="2"/>
    <n v="4"/>
    <x v="4"/>
    <n v="2"/>
    <x v="3"/>
    <x v="1"/>
    <x v="5"/>
    <x v="1"/>
    <x v="1"/>
    <n v="3"/>
    <n v="661"/>
    <n v="1983"/>
  </r>
  <r>
    <x v="51"/>
    <x v="134"/>
    <x v="0"/>
    <n v="2"/>
    <x v="11"/>
    <n v="1"/>
    <x v="3"/>
    <x v="1"/>
    <x v="5"/>
    <x v="1"/>
    <x v="1"/>
    <n v="3"/>
    <n v="661"/>
    <n v="1983"/>
  </r>
  <r>
    <x v="51"/>
    <x v="135"/>
    <x v="2"/>
    <n v="6"/>
    <x v="1"/>
    <n v="2"/>
    <x v="3"/>
    <x v="1"/>
    <x v="5"/>
    <x v="1"/>
    <x v="1"/>
    <n v="3"/>
    <n v="661"/>
    <n v="1983"/>
  </r>
  <r>
    <x v="52"/>
    <x v="136"/>
    <x v="0"/>
    <n v="10"/>
    <x v="6"/>
    <n v="4"/>
    <x v="4"/>
    <x v="0"/>
    <x v="2"/>
    <x v="2"/>
    <x v="0"/>
    <n v="2"/>
    <n v="30075"/>
    <n v="60150"/>
  </r>
  <r>
    <x v="52"/>
    <x v="137"/>
    <x v="0"/>
    <n v="1"/>
    <x v="3"/>
    <n v="1"/>
    <x v="4"/>
    <x v="0"/>
    <x v="2"/>
    <x v="2"/>
    <x v="0"/>
    <n v="2"/>
    <n v="30075"/>
    <n v="60150"/>
  </r>
  <r>
    <x v="53"/>
    <x v="138"/>
    <x v="0"/>
    <n v="8"/>
    <x v="0"/>
    <n v="3"/>
    <x v="5"/>
    <x v="2"/>
    <x v="3"/>
    <x v="0"/>
    <x v="0"/>
    <n v="3"/>
    <n v="387"/>
    <n v="1161"/>
  </r>
  <r>
    <x v="53"/>
    <x v="139"/>
    <x v="1"/>
    <n v="6"/>
    <x v="1"/>
    <n v="2"/>
    <x v="5"/>
    <x v="2"/>
    <x v="3"/>
    <x v="0"/>
    <x v="0"/>
    <n v="3"/>
    <n v="387"/>
    <n v="1161"/>
  </r>
  <r>
    <x v="54"/>
    <x v="140"/>
    <x v="2"/>
    <n v="12"/>
    <x v="7"/>
    <n v="4"/>
    <x v="6"/>
    <x v="3"/>
    <x v="5"/>
    <x v="1"/>
    <x v="1"/>
    <n v="5"/>
    <n v="1084"/>
    <n v="5420"/>
  </r>
  <r>
    <x v="54"/>
    <x v="141"/>
    <x v="1"/>
    <n v="6"/>
    <x v="1"/>
    <n v="2"/>
    <x v="6"/>
    <x v="3"/>
    <x v="5"/>
    <x v="1"/>
    <x v="1"/>
    <n v="5"/>
    <n v="1084"/>
    <n v="5420"/>
  </r>
  <r>
    <x v="54"/>
    <x v="128"/>
    <x v="0"/>
    <n v="8"/>
    <x v="0"/>
    <n v="3"/>
    <x v="6"/>
    <x v="3"/>
    <x v="5"/>
    <x v="1"/>
    <x v="1"/>
    <n v="5"/>
    <n v="1084"/>
    <n v="5420"/>
  </r>
  <r>
    <x v="54"/>
    <x v="142"/>
    <x v="2"/>
    <n v="10"/>
    <x v="6"/>
    <n v="4"/>
    <x v="6"/>
    <x v="3"/>
    <x v="5"/>
    <x v="1"/>
    <x v="1"/>
    <n v="5"/>
    <n v="1084"/>
    <n v="5420"/>
  </r>
  <r>
    <x v="55"/>
    <x v="143"/>
    <x v="2"/>
    <n v="5"/>
    <x v="8"/>
    <n v="2"/>
    <x v="7"/>
    <x v="0"/>
    <x v="5"/>
    <x v="1"/>
    <x v="0"/>
    <n v="1"/>
    <n v="11559"/>
    <n v="11559"/>
  </r>
  <r>
    <x v="55"/>
    <x v="144"/>
    <x v="2"/>
    <n v="11"/>
    <x v="2"/>
    <n v="4"/>
    <x v="7"/>
    <x v="0"/>
    <x v="5"/>
    <x v="1"/>
    <x v="0"/>
    <n v="1"/>
    <n v="11559"/>
    <n v="11559"/>
  </r>
  <r>
    <x v="55"/>
    <x v="145"/>
    <x v="1"/>
    <n v="12"/>
    <x v="7"/>
    <n v="4"/>
    <x v="7"/>
    <x v="0"/>
    <x v="5"/>
    <x v="1"/>
    <x v="0"/>
    <n v="1"/>
    <n v="11559"/>
    <n v="11559"/>
  </r>
  <r>
    <x v="55"/>
    <x v="112"/>
    <x v="1"/>
    <n v="3"/>
    <x v="5"/>
    <n v="1"/>
    <x v="7"/>
    <x v="0"/>
    <x v="5"/>
    <x v="1"/>
    <x v="0"/>
    <n v="1"/>
    <n v="11559"/>
    <n v="11559"/>
  </r>
  <r>
    <x v="55"/>
    <x v="61"/>
    <x v="0"/>
    <n v="9"/>
    <x v="10"/>
    <n v="3"/>
    <x v="7"/>
    <x v="0"/>
    <x v="5"/>
    <x v="1"/>
    <x v="0"/>
    <n v="1"/>
    <n v="11559"/>
    <n v="11559"/>
  </r>
  <r>
    <x v="55"/>
    <x v="146"/>
    <x v="1"/>
    <n v="9"/>
    <x v="10"/>
    <n v="3"/>
    <x v="7"/>
    <x v="0"/>
    <x v="5"/>
    <x v="1"/>
    <x v="0"/>
    <n v="1"/>
    <n v="11559"/>
    <n v="11559"/>
  </r>
  <r>
    <x v="56"/>
    <x v="147"/>
    <x v="0"/>
    <n v="11"/>
    <x v="2"/>
    <n v="4"/>
    <x v="8"/>
    <x v="1"/>
    <x v="1"/>
    <x v="0"/>
    <x v="1"/>
    <n v="5"/>
    <n v="717"/>
    <n v="3585"/>
  </r>
  <r>
    <x v="57"/>
    <x v="148"/>
    <x v="1"/>
    <n v="1"/>
    <x v="3"/>
    <n v="1"/>
    <x v="0"/>
    <x v="0"/>
    <x v="2"/>
    <x v="2"/>
    <x v="2"/>
    <n v="2"/>
    <n v="51590"/>
    <n v="103180"/>
  </r>
  <r>
    <x v="57"/>
    <x v="149"/>
    <x v="1"/>
    <n v="10"/>
    <x v="6"/>
    <n v="4"/>
    <x v="0"/>
    <x v="0"/>
    <x v="2"/>
    <x v="2"/>
    <x v="2"/>
    <n v="2"/>
    <n v="51590"/>
    <n v="103180"/>
  </r>
  <r>
    <x v="57"/>
    <x v="150"/>
    <x v="0"/>
    <n v="5"/>
    <x v="8"/>
    <n v="2"/>
    <x v="0"/>
    <x v="0"/>
    <x v="2"/>
    <x v="2"/>
    <x v="2"/>
    <n v="2"/>
    <n v="51590"/>
    <n v="103180"/>
  </r>
  <r>
    <x v="58"/>
    <x v="62"/>
    <x v="1"/>
    <n v="2"/>
    <x v="11"/>
    <n v="1"/>
    <x v="1"/>
    <x v="0"/>
    <x v="4"/>
    <x v="1"/>
    <x v="1"/>
    <n v="2"/>
    <n v="2555"/>
    <n v="5110"/>
  </r>
  <r>
    <x v="58"/>
    <x v="151"/>
    <x v="2"/>
    <n v="3"/>
    <x v="5"/>
    <n v="1"/>
    <x v="1"/>
    <x v="0"/>
    <x v="4"/>
    <x v="1"/>
    <x v="1"/>
    <n v="2"/>
    <n v="2555"/>
    <n v="5110"/>
  </r>
  <r>
    <x v="58"/>
    <x v="152"/>
    <x v="1"/>
    <n v="8"/>
    <x v="0"/>
    <n v="3"/>
    <x v="1"/>
    <x v="0"/>
    <x v="4"/>
    <x v="1"/>
    <x v="1"/>
    <n v="2"/>
    <n v="2555"/>
    <n v="5110"/>
  </r>
  <r>
    <x v="58"/>
    <x v="153"/>
    <x v="0"/>
    <n v="9"/>
    <x v="10"/>
    <n v="3"/>
    <x v="1"/>
    <x v="0"/>
    <x v="4"/>
    <x v="1"/>
    <x v="1"/>
    <n v="2"/>
    <n v="2555"/>
    <n v="5110"/>
  </r>
  <r>
    <x v="59"/>
    <x v="154"/>
    <x v="0"/>
    <n v="2"/>
    <x v="11"/>
    <n v="1"/>
    <x v="9"/>
    <x v="3"/>
    <x v="2"/>
    <x v="1"/>
    <x v="2"/>
    <n v="3"/>
    <n v="3601"/>
    <n v="10803"/>
  </r>
  <r>
    <x v="59"/>
    <x v="155"/>
    <x v="1"/>
    <n v="12"/>
    <x v="7"/>
    <n v="4"/>
    <x v="9"/>
    <x v="3"/>
    <x v="2"/>
    <x v="1"/>
    <x v="2"/>
    <n v="3"/>
    <n v="3601"/>
    <n v="10803"/>
  </r>
  <r>
    <x v="59"/>
    <x v="156"/>
    <x v="1"/>
    <n v="3"/>
    <x v="5"/>
    <n v="1"/>
    <x v="9"/>
    <x v="3"/>
    <x v="2"/>
    <x v="1"/>
    <x v="2"/>
    <n v="3"/>
    <n v="3601"/>
    <n v="10803"/>
  </r>
  <r>
    <x v="60"/>
    <x v="157"/>
    <x v="2"/>
    <n v="12"/>
    <x v="7"/>
    <n v="4"/>
    <x v="2"/>
    <x v="1"/>
    <x v="0"/>
    <x v="0"/>
    <x v="1"/>
    <n v="5"/>
    <n v="9924"/>
    <n v="49620"/>
  </r>
  <r>
    <x v="60"/>
    <x v="130"/>
    <x v="0"/>
    <n v="2"/>
    <x v="11"/>
    <n v="1"/>
    <x v="2"/>
    <x v="1"/>
    <x v="0"/>
    <x v="0"/>
    <x v="1"/>
    <n v="5"/>
    <n v="9924"/>
    <n v="49620"/>
  </r>
  <r>
    <x v="60"/>
    <x v="158"/>
    <x v="2"/>
    <n v="4"/>
    <x v="4"/>
    <n v="2"/>
    <x v="2"/>
    <x v="1"/>
    <x v="0"/>
    <x v="0"/>
    <x v="1"/>
    <n v="5"/>
    <n v="9924"/>
    <n v="49620"/>
  </r>
  <r>
    <x v="60"/>
    <x v="159"/>
    <x v="0"/>
    <n v="11"/>
    <x v="2"/>
    <n v="4"/>
    <x v="2"/>
    <x v="1"/>
    <x v="0"/>
    <x v="0"/>
    <x v="1"/>
    <n v="5"/>
    <n v="9924"/>
    <n v="49620"/>
  </r>
  <r>
    <x v="61"/>
    <x v="160"/>
    <x v="0"/>
    <n v="4"/>
    <x v="4"/>
    <n v="2"/>
    <x v="3"/>
    <x v="1"/>
    <x v="1"/>
    <x v="2"/>
    <x v="2"/>
    <n v="5"/>
    <n v="511"/>
    <n v="2555"/>
  </r>
  <r>
    <x v="61"/>
    <x v="161"/>
    <x v="1"/>
    <n v="11"/>
    <x v="2"/>
    <n v="4"/>
    <x v="3"/>
    <x v="1"/>
    <x v="1"/>
    <x v="2"/>
    <x v="2"/>
    <n v="5"/>
    <n v="511"/>
    <n v="2555"/>
  </r>
  <r>
    <x v="61"/>
    <x v="162"/>
    <x v="0"/>
    <n v="12"/>
    <x v="7"/>
    <n v="4"/>
    <x v="3"/>
    <x v="1"/>
    <x v="1"/>
    <x v="2"/>
    <x v="2"/>
    <n v="5"/>
    <n v="511"/>
    <n v="2555"/>
  </r>
  <r>
    <x v="61"/>
    <x v="163"/>
    <x v="0"/>
    <n v="11"/>
    <x v="2"/>
    <n v="4"/>
    <x v="3"/>
    <x v="1"/>
    <x v="1"/>
    <x v="2"/>
    <x v="2"/>
    <n v="5"/>
    <n v="511"/>
    <n v="2555"/>
  </r>
  <r>
    <x v="62"/>
    <x v="164"/>
    <x v="0"/>
    <n v="2"/>
    <x v="11"/>
    <n v="1"/>
    <x v="4"/>
    <x v="0"/>
    <x v="1"/>
    <x v="1"/>
    <x v="2"/>
    <n v="1"/>
    <n v="29247"/>
    <n v="29247"/>
  </r>
  <r>
    <x v="62"/>
    <x v="137"/>
    <x v="0"/>
    <n v="1"/>
    <x v="3"/>
    <n v="1"/>
    <x v="4"/>
    <x v="0"/>
    <x v="1"/>
    <x v="1"/>
    <x v="2"/>
    <n v="1"/>
    <n v="29247"/>
    <n v="29247"/>
  </r>
  <r>
    <x v="62"/>
    <x v="165"/>
    <x v="1"/>
    <n v="12"/>
    <x v="7"/>
    <n v="4"/>
    <x v="4"/>
    <x v="0"/>
    <x v="1"/>
    <x v="1"/>
    <x v="2"/>
    <n v="1"/>
    <n v="29247"/>
    <n v="29247"/>
  </r>
  <r>
    <x v="63"/>
    <x v="166"/>
    <x v="2"/>
    <n v="10"/>
    <x v="6"/>
    <n v="4"/>
    <x v="5"/>
    <x v="2"/>
    <x v="2"/>
    <x v="0"/>
    <x v="1"/>
    <n v="4"/>
    <n v="699"/>
    <n v="2796"/>
  </r>
  <r>
    <x v="64"/>
    <x v="167"/>
    <x v="2"/>
    <n v="12"/>
    <x v="7"/>
    <n v="4"/>
    <x v="6"/>
    <x v="3"/>
    <x v="3"/>
    <x v="2"/>
    <x v="2"/>
    <n v="5"/>
    <n v="566"/>
    <n v="2830"/>
  </r>
  <r>
    <x v="64"/>
    <x v="168"/>
    <x v="0"/>
    <n v="7"/>
    <x v="9"/>
    <n v="3"/>
    <x v="6"/>
    <x v="3"/>
    <x v="3"/>
    <x v="2"/>
    <x v="2"/>
    <n v="5"/>
    <n v="566"/>
    <n v="2830"/>
  </r>
  <r>
    <x v="64"/>
    <x v="169"/>
    <x v="2"/>
    <n v="5"/>
    <x v="8"/>
    <n v="2"/>
    <x v="6"/>
    <x v="3"/>
    <x v="3"/>
    <x v="2"/>
    <x v="2"/>
    <n v="5"/>
    <n v="566"/>
    <n v="2830"/>
  </r>
  <r>
    <x v="64"/>
    <x v="170"/>
    <x v="1"/>
    <n v="4"/>
    <x v="4"/>
    <n v="2"/>
    <x v="6"/>
    <x v="3"/>
    <x v="3"/>
    <x v="2"/>
    <x v="2"/>
    <n v="5"/>
    <n v="566"/>
    <n v="2830"/>
  </r>
  <r>
    <x v="65"/>
    <x v="171"/>
    <x v="2"/>
    <n v="12"/>
    <x v="7"/>
    <n v="4"/>
    <x v="7"/>
    <x v="0"/>
    <x v="4"/>
    <x v="0"/>
    <x v="1"/>
    <n v="1"/>
    <n v="5629"/>
    <n v="5629"/>
  </r>
  <r>
    <x v="65"/>
    <x v="172"/>
    <x v="0"/>
    <n v="7"/>
    <x v="9"/>
    <n v="3"/>
    <x v="7"/>
    <x v="0"/>
    <x v="4"/>
    <x v="0"/>
    <x v="1"/>
    <n v="1"/>
    <n v="5629"/>
    <n v="5629"/>
  </r>
  <r>
    <x v="65"/>
    <x v="173"/>
    <x v="0"/>
    <n v="8"/>
    <x v="0"/>
    <n v="3"/>
    <x v="7"/>
    <x v="0"/>
    <x v="4"/>
    <x v="0"/>
    <x v="1"/>
    <n v="1"/>
    <n v="5629"/>
    <n v="5629"/>
  </r>
  <r>
    <x v="66"/>
    <x v="174"/>
    <x v="1"/>
    <n v="11"/>
    <x v="2"/>
    <n v="4"/>
    <x v="8"/>
    <x v="1"/>
    <x v="1"/>
    <x v="2"/>
    <x v="0"/>
    <n v="3"/>
    <n v="579"/>
    <n v="1737"/>
  </r>
  <r>
    <x v="66"/>
    <x v="175"/>
    <x v="0"/>
    <n v="9"/>
    <x v="10"/>
    <n v="3"/>
    <x v="8"/>
    <x v="1"/>
    <x v="1"/>
    <x v="2"/>
    <x v="0"/>
    <n v="3"/>
    <n v="579"/>
    <n v="1737"/>
  </r>
  <r>
    <x v="66"/>
    <x v="176"/>
    <x v="1"/>
    <n v="1"/>
    <x v="3"/>
    <n v="1"/>
    <x v="8"/>
    <x v="1"/>
    <x v="1"/>
    <x v="2"/>
    <x v="0"/>
    <n v="3"/>
    <n v="579"/>
    <n v="1737"/>
  </r>
  <r>
    <x v="67"/>
    <x v="177"/>
    <x v="1"/>
    <n v="6"/>
    <x v="1"/>
    <n v="2"/>
    <x v="0"/>
    <x v="0"/>
    <x v="2"/>
    <x v="1"/>
    <x v="0"/>
    <n v="2"/>
    <n v="58940"/>
    <n v="117880"/>
  </r>
  <r>
    <x v="68"/>
    <x v="178"/>
    <x v="0"/>
    <n v="7"/>
    <x v="9"/>
    <n v="3"/>
    <x v="1"/>
    <x v="0"/>
    <x v="2"/>
    <x v="1"/>
    <x v="1"/>
    <n v="1"/>
    <n v="3615"/>
    <n v="3615"/>
  </r>
  <r>
    <x v="68"/>
    <x v="179"/>
    <x v="0"/>
    <n v="3"/>
    <x v="5"/>
    <n v="1"/>
    <x v="1"/>
    <x v="0"/>
    <x v="2"/>
    <x v="1"/>
    <x v="1"/>
    <n v="1"/>
    <n v="3615"/>
    <n v="3615"/>
  </r>
  <r>
    <x v="69"/>
    <x v="180"/>
    <x v="0"/>
    <n v="9"/>
    <x v="10"/>
    <n v="3"/>
    <x v="9"/>
    <x v="3"/>
    <x v="1"/>
    <x v="0"/>
    <x v="2"/>
    <n v="3"/>
    <n v="3472"/>
    <n v="10416"/>
  </r>
  <r>
    <x v="70"/>
    <x v="67"/>
    <x v="1"/>
    <n v="10"/>
    <x v="6"/>
    <n v="4"/>
    <x v="2"/>
    <x v="1"/>
    <x v="1"/>
    <x v="2"/>
    <x v="0"/>
    <n v="1"/>
    <n v="2976"/>
    <n v="2976"/>
  </r>
  <r>
    <x v="70"/>
    <x v="181"/>
    <x v="0"/>
    <n v="12"/>
    <x v="7"/>
    <n v="4"/>
    <x v="2"/>
    <x v="1"/>
    <x v="1"/>
    <x v="2"/>
    <x v="0"/>
    <n v="1"/>
    <n v="2976"/>
    <n v="2976"/>
  </r>
  <r>
    <x v="71"/>
    <x v="182"/>
    <x v="1"/>
    <n v="1"/>
    <x v="3"/>
    <n v="1"/>
    <x v="3"/>
    <x v="1"/>
    <x v="4"/>
    <x v="0"/>
    <x v="0"/>
    <n v="3"/>
    <n v="359"/>
    <n v="1077"/>
  </r>
  <r>
    <x v="71"/>
    <x v="183"/>
    <x v="2"/>
    <n v="8"/>
    <x v="0"/>
    <n v="3"/>
    <x v="3"/>
    <x v="1"/>
    <x v="4"/>
    <x v="0"/>
    <x v="0"/>
    <n v="3"/>
    <n v="359"/>
    <n v="1077"/>
  </r>
  <r>
    <x v="71"/>
    <x v="97"/>
    <x v="1"/>
    <n v="2"/>
    <x v="11"/>
    <n v="1"/>
    <x v="3"/>
    <x v="1"/>
    <x v="4"/>
    <x v="0"/>
    <x v="0"/>
    <n v="3"/>
    <n v="359"/>
    <n v="1077"/>
  </r>
  <r>
    <x v="71"/>
    <x v="41"/>
    <x v="0"/>
    <n v="4"/>
    <x v="4"/>
    <n v="2"/>
    <x v="3"/>
    <x v="1"/>
    <x v="4"/>
    <x v="0"/>
    <x v="0"/>
    <n v="3"/>
    <n v="359"/>
    <n v="1077"/>
  </r>
  <r>
    <x v="72"/>
    <x v="184"/>
    <x v="1"/>
    <n v="10"/>
    <x v="6"/>
    <n v="4"/>
    <x v="4"/>
    <x v="0"/>
    <x v="4"/>
    <x v="1"/>
    <x v="2"/>
    <n v="1"/>
    <n v="20775"/>
    <n v="20775"/>
  </r>
  <r>
    <x v="72"/>
    <x v="185"/>
    <x v="0"/>
    <n v="1"/>
    <x v="3"/>
    <n v="1"/>
    <x v="4"/>
    <x v="0"/>
    <x v="4"/>
    <x v="1"/>
    <x v="2"/>
    <n v="1"/>
    <n v="20775"/>
    <n v="20775"/>
  </r>
  <r>
    <x v="72"/>
    <x v="186"/>
    <x v="0"/>
    <n v="9"/>
    <x v="10"/>
    <n v="3"/>
    <x v="4"/>
    <x v="0"/>
    <x v="4"/>
    <x v="1"/>
    <x v="2"/>
    <n v="1"/>
    <n v="20775"/>
    <n v="20775"/>
  </r>
  <r>
    <x v="73"/>
    <x v="187"/>
    <x v="0"/>
    <n v="3"/>
    <x v="5"/>
    <n v="1"/>
    <x v="5"/>
    <x v="2"/>
    <x v="1"/>
    <x v="1"/>
    <x v="0"/>
    <n v="4"/>
    <n v="920"/>
    <n v="3680"/>
  </r>
  <r>
    <x v="74"/>
    <x v="161"/>
    <x v="1"/>
    <n v="11"/>
    <x v="2"/>
    <n v="4"/>
    <x v="6"/>
    <x v="3"/>
    <x v="2"/>
    <x v="0"/>
    <x v="1"/>
    <n v="2"/>
    <n v="907"/>
    <n v="1814"/>
  </r>
  <r>
    <x v="74"/>
    <x v="188"/>
    <x v="2"/>
    <n v="12"/>
    <x v="7"/>
    <n v="4"/>
    <x v="6"/>
    <x v="3"/>
    <x v="2"/>
    <x v="0"/>
    <x v="1"/>
    <n v="2"/>
    <n v="907"/>
    <n v="1814"/>
  </r>
  <r>
    <x v="75"/>
    <x v="189"/>
    <x v="0"/>
    <n v="11"/>
    <x v="2"/>
    <n v="4"/>
    <x v="7"/>
    <x v="0"/>
    <x v="2"/>
    <x v="2"/>
    <x v="2"/>
    <n v="1"/>
    <n v="13388"/>
    <n v="13388"/>
  </r>
  <r>
    <x v="75"/>
    <x v="190"/>
    <x v="2"/>
    <n v="8"/>
    <x v="0"/>
    <n v="3"/>
    <x v="7"/>
    <x v="0"/>
    <x v="2"/>
    <x v="2"/>
    <x v="2"/>
    <n v="1"/>
    <n v="13388"/>
    <n v="13388"/>
  </r>
  <r>
    <x v="75"/>
    <x v="191"/>
    <x v="0"/>
    <n v="7"/>
    <x v="9"/>
    <n v="3"/>
    <x v="7"/>
    <x v="0"/>
    <x v="2"/>
    <x v="2"/>
    <x v="2"/>
    <n v="1"/>
    <n v="13388"/>
    <n v="13388"/>
  </r>
  <r>
    <x v="75"/>
    <x v="192"/>
    <x v="0"/>
    <n v="6"/>
    <x v="1"/>
    <n v="2"/>
    <x v="7"/>
    <x v="0"/>
    <x v="2"/>
    <x v="2"/>
    <x v="2"/>
    <n v="1"/>
    <n v="13388"/>
    <n v="13388"/>
  </r>
  <r>
    <x v="75"/>
    <x v="193"/>
    <x v="0"/>
    <n v="1"/>
    <x v="3"/>
    <n v="1"/>
    <x v="7"/>
    <x v="0"/>
    <x v="2"/>
    <x v="2"/>
    <x v="2"/>
    <n v="1"/>
    <n v="13388"/>
    <n v="13388"/>
  </r>
  <r>
    <x v="75"/>
    <x v="194"/>
    <x v="0"/>
    <n v="4"/>
    <x v="4"/>
    <n v="2"/>
    <x v="7"/>
    <x v="0"/>
    <x v="2"/>
    <x v="2"/>
    <x v="2"/>
    <n v="1"/>
    <n v="13388"/>
    <n v="13388"/>
  </r>
  <r>
    <x v="76"/>
    <x v="195"/>
    <x v="1"/>
    <n v="6"/>
    <x v="1"/>
    <n v="2"/>
    <x v="8"/>
    <x v="1"/>
    <x v="3"/>
    <x v="1"/>
    <x v="1"/>
    <n v="2"/>
    <n v="372"/>
    <n v="744"/>
  </r>
  <r>
    <x v="76"/>
    <x v="196"/>
    <x v="1"/>
    <n v="11"/>
    <x v="2"/>
    <n v="4"/>
    <x v="8"/>
    <x v="1"/>
    <x v="3"/>
    <x v="1"/>
    <x v="1"/>
    <n v="2"/>
    <n v="372"/>
    <n v="744"/>
  </r>
  <r>
    <x v="76"/>
    <x v="197"/>
    <x v="2"/>
    <n v="11"/>
    <x v="2"/>
    <n v="4"/>
    <x v="8"/>
    <x v="1"/>
    <x v="3"/>
    <x v="1"/>
    <x v="1"/>
    <n v="2"/>
    <n v="372"/>
    <n v="744"/>
  </r>
  <r>
    <x v="77"/>
    <x v="198"/>
    <x v="2"/>
    <n v="4"/>
    <x v="4"/>
    <n v="2"/>
    <x v="0"/>
    <x v="0"/>
    <x v="1"/>
    <x v="0"/>
    <x v="2"/>
    <n v="1"/>
    <n v="44531"/>
    <n v="44531"/>
  </r>
  <r>
    <x v="77"/>
    <x v="199"/>
    <x v="2"/>
    <n v="7"/>
    <x v="9"/>
    <n v="3"/>
    <x v="0"/>
    <x v="0"/>
    <x v="1"/>
    <x v="0"/>
    <x v="2"/>
    <n v="1"/>
    <n v="44531"/>
    <n v="44531"/>
  </r>
  <r>
    <x v="78"/>
    <x v="200"/>
    <x v="1"/>
    <n v="4"/>
    <x v="4"/>
    <n v="2"/>
    <x v="1"/>
    <x v="0"/>
    <x v="3"/>
    <x v="0"/>
    <x v="0"/>
    <n v="2"/>
    <n v="1963"/>
    <n v="3926"/>
  </r>
  <r>
    <x v="78"/>
    <x v="201"/>
    <x v="0"/>
    <n v="11"/>
    <x v="2"/>
    <n v="4"/>
    <x v="1"/>
    <x v="0"/>
    <x v="3"/>
    <x v="0"/>
    <x v="0"/>
    <n v="2"/>
    <n v="1963"/>
    <n v="3926"/>
  </r>
  <r>
    <x v="78"/>
    <x v="95"/>
    <x v="1"/>
    <n v="9"/>
    <x v="10"/>
    <n v="3"/>
    <x v="1"/>
    <x v="0"/>
    <x v="3"/>
    <x v="0"/>
    <x v="0"/>
    <n v="2"/>
    <n v="1963"/>
    <n v="3926"/>
  </r>
  <r>
    <x v="78"/>
    <x v="202"/>
    <x v="1"/>
    <n v="6"/>
    <x v="1"/>
    <n v="2"/>
    <x v="1"/>
    <x v="0"/>
    <x v="3"/>
    <x v="0"/>
    <x v="0"/>
    <n v="2"/>
    <n v="1963"/>
    <n v="3926"/>
  </r>
  <r>
    <x v="78"/>
    <x v="203"/>
    <x v="1"/>
    <n v="5"/>
    <x v="8"/>
    <n v="2"/>
    <x v="1"/>
    <x v="0"/>
    <x v="3"/>
    <x v="0"/>
    <x v="0"/>
    <n v="2"/>
    <n v="1963"/>
    <n v="3926"/>
  </r>
  <r>
    <x v="79"/>
    <x v="204"/>
    <x v="1"/>
    <n v="2"/>
    <x v="11"/>
    <n v="1"/>
    <x v="9"/>
    <x v="3"/>
    <x v="2"/>
    <x v="1"/>
    <x v="0"/>
    <n v="1"/>
    <n v="2483"/>
    <n v="2483"/>
  </r>
  <r>
    <x v="79"/>
    <x v="205"/>
    <x v="2"/>
    <n v="8"/>
    <x v="0"/>
    <n v="3"/>
    <x v="9"/>
    <x v="3"/>
    <x v="2"/>
    <x v="1"/>
    <x v="0"/>
    <n v="1"/>
    <n v="2483"/>
    <n v="2483"/>
  </r>
  <r>
    <x v="79"/>
    <x v="206"/>
    <x v="2"/>
    <n v="5"/>
    <x v="8"/>
    <n v="2"/>
    <x v="9"/>
    <x v="3"/>
    <x v="2"/>
    <x v="1"/>
    <x v="0"/>
    <n v="1"/>
    <n v="2483"/>
    <n v="2483"/>
  </r>
  <r>
    <x v="79"/>
    <x v="95"/>
    <x v="1"/>
    <n v="9"/>
    <x v="10"/>
    <n v="3"/>
    <x v="9"/>
    <x v="3"/>
    <x v="2"/>
    <x v="1"/>
    <x v="0"/>
    <n v="1"/>
    <n v="2483"/>
    <n v="2483"/>
  </r>
  <r>
    <x v="79"/>
    <x v="86"/>
    <x v="0"/>
    <n v="7"/>
    <x v="9"/>
    <n v="3"/>
    <x v="9"/>
    <x v="3"/>
    <x v="2"/>
    <x v="1"/>
    <x v="0"/>
    <n v="1"/>
    <n v="2483"/>
    <n v="2483"/>
  </r>
  <r>
    <x v="80"/>
    <x v="184"/>
    <x v="1"/>
    <n v="10"/>
    <x v="6"/>
    <n v="4"/>
    <x v="2"/>
    <x v="1"/>
    <x v="5"/>
    <x v="1"/>
    <x v="2"/>
    <n v="5"/>
    <n v="18677"/>
    <n v="93385"/>
  </r>
  <r>
    <x v="80"/>
    <x v="18"/>
    <x v="0"/>
    <n v="8"/>
    <x v="0"/>
    <n v="3"/>
    <x v="2"/>
    <x v="1"/>
    <x v="5"/>
    <x v="1"/>
    <x v="2"/>
    <n v="5"/>
    <n v="18677"/>
    <n v="93385"/>
  </r>
  <r>
    <x v="81"/>
    <x v="207"/>
    <x v="0"/>
    <n v="6"/>
    <x v="1"/>
    <n v="2"/>
    <x v="3"/>
    <x v="1"/>
    <x v="2"/>
    <x v="1"/>
    <x v="0"/>
    <n v="1"/>
    <n v="583"/>
    <n v="583"/>
  </r>
  <r>
    <x v="81"/>
    <x v="33"/>
    <x v="1"/>
    <n v="5"/>
    <x v="8"/>
    <n v="2"/>
    <x v="3"/>
    <x v="1"/>
    <x v="2"/>
    <x v="1"/>
    <x v="0"/>
    <n v="1"/>
    <n v="583"/>
    <n v="583"/>
  </r>
  <r>
    <x v="81"/>
    <x v="208"/>
    <x v="1"/>
    <n v="9"/>
    <x v="10"/>
    <n v="3"/>
    <x v="3"/>
    <x v="1"/>
    <x v="2"/>
    <x v="1"/>
    <x v="0"/>
    <n v="1"/>
    <n v="583"/>
    <n v="583"/>
  </r>
  <r>
    <x v="82"/>
    <x v="156"/>
    <x v="1"/>
    <n v="3"/>
    <x v="5"/>
    <n v="1"/>
    <x v="4"/>
    <x v="0"/>
    <x v="2"/>
    <x v="2"/>
    <x v="0"/>
    <n v="1"/>
    <n v="34775"/>
    <n v="34775"/>
  </r>
  <r>
    <x v="83"/>
    <x v="209"/>
    <x v="1"/>
    <n v="3"/>
    <x v="5"/>
    <n v="1"/>
    <x v="5"/>
    <x v="2"/>
    <x v="2"/>
    <x v="1"/>
    <x v="0"/>
    <n v="3"/>
    <n v="635"/>
    <n v="1905"/>
  </r>
  <r>
    <x v="84"/>
    <x v="210"/>
    <x v="2"/>
    <n v="9"/>
    <x v="10"/>
    <n v="3"/>
    <x v="6"/>
    <x v="3"/>
    <x v="2"/>
    <x v="2"/>
    <x v="2"/>
    <n v="5"/>
    <n v="527"/>
    <n v="2635"/>
  </r>
  <r>
    <x v="84"/>
    <x v="211"/>
    <x v="0"/>
    <n v="2"/>
    <x v="11"/>
    <n v="1"/>
    <x v="6"/>
    <x v="3"/>
    <x v="2"/>
    <x v="2"/>
    <x v="2"/>
    <n v="5"/>
    <n v="527"/>
    <n v="2635"/>
  </r>
  <r>
    <x v="85"/>
    <x v="212"/>
    <x v="1"/>
    <n v="11"/>
    <x v="2"/>
    <n v="4"/>
    <x v="7"/>
    <x v="0"/>
    <x v="5"/>
    <x v="2"/>
    <x v="2"/>
    <n v="2"/>
    <n v="3327"/>
    <n v="6654"/>
  </r>
  <r>
    <x v="85"/>
    <x v="74"/>
    <x v="0"/>
    <n v="12"/>
    <x v="7"/>
    <n v="4"/>
    <x v="7"/>
    <x v="0"/>
    <x v="5"/>
    <x v="2"/>
    <x v="2"/>
    <n v="2"/>
    <n v="3327"/>
    <n v="6654"/>
  </r>
  <r>
    <x v="86"/>
    <x v="213"/>
    <x v="1"/>
    <n v="9"/>
    <x v="10"/>
    <n v="3"/>
    <x v="8"/>
    <x v="1"/>
    <x v="3"/>
    <x v="1"/>
    <x v="1"/>
    <n v="1"/>
    <n v="383"/>
    <n v="383"/>
  </r>
  <r>
    <x v="86"/>
    <x v="175"/>
    <x v="0"/>
    <n v="9"/>
    <x v="10"/>
    <n v="3"/>
    <x v="8"/>
    <x v="1"/>
    <x v="3"/>
    <x v="1"/>
    <x v="1"/>
    <n v="1"/>
    <n v="383"/>
    <n v="383"/>
  </r>
  <r>
    <x v="86"/>
    <x v="214"/>
    <x v="2"/>
    <n v="5"/>
    <x v="8"/>
    <n v="2"/>
    <x v="8"/>
    <x v="1"/>
    <x v="3"/>
    <x v="1"/>
    <x v="1"/>
    <n v="1"/>
    <n v="383"/>
    <n v="383"/>
  </r>
  <r>
    <x v="86"/>
    <x v="7"/>
    <x v="0"/>
    <n v="3"/>
    <x v="5"/>
    <n v="1"/>
    <x v="8"/>
    <x v="1"/>
    <x v="3"/>
    <x v="1"/>
    <x v="1"/>
    <n v="1"/>
    <n v="383"/>
    <n v="383"/>
  </r>
  <r>
    <x v="87"/>
    <x v="215"/>
    <x v="2"/>
    <n v="5"/>
    <x v="8"/>
    <n v="2"/>
    <x v="0"/>
    <x v="0"/>
    <x v="0"/>
    <x v="0"/>
    <x v="1"/>
    <n v="1"/>
    <n v="61156"/>
    <n v="61156"/>
  </r>
  <r>
    <x v="87"/>
    <x v="216"/>
    <x v="1"/>
    <n v="6"/>
    <x v="1"/>
    <n v="2"/>
    <x v="0"/>
    <x v="0"/>
    <x v="0"/>
    <x v="0"/>
    <x v="1"/>
    <n v="1"/>
    <n v="61156"/>
    <n v="61156"/>
  </r>
  <r>
    <x v="87"/>
    <x v="217"/>
    <x v="2"/>
    <n v="3"/>
    <x v="5"/>
    <n v="1"/>
    <x v="0"/>
    <x v="0"/>
    <x v="0"/>
    <x v="0"/>
    <x v="1"/>
    <n v="1"/>
    <n v="61156"/>
    <n v="61156"/>
  </r>
  <r>
    <x v="87"/>
    <x v="218"/>
    <x v="0"/>
    <n v="1"/>
    <x v="3"/>
    <n v="1"/>
    <x v="0"/>
    <x v="0"/>
    <x v="0"/>
    <x v="0"/>
    <x v="1"/>
    <n v="1"/>
    <n v="61156"/>
    <n v="61156"/>
  </r>
  <r>
    <x v="87"/>
    <x v="219"/>
    <x v="1"/>
    <n v="1"/>
    <x v="3"/>
    <n v="1"/>
    <x v="0"/>
    <x v="0"/>
    <x v="0"/>
    <x v="0"/>
    <x v="1"/>
    <n v="1"/>
    <n v="61156"/>
    <n v="61156"/>
  </r>
  <r>
    <x v="87"/>
    <x v="220"/>
    <x v="2"/>
    <n v="11"/>
    <x v="2"/>
    <n v="4"/>
    <x v="0"/>
    <x v="0"/>
    <x v="0"/>
    <x v="0"/>
    <x v="1"/>
    <n v="1"/>
    <n v="61156"/>
    <n v="61156"/>
  </r>
  <r>
    <x v="87"/>
    <x v="221"/>
    <x v="2"/>
    <n v="5"/>
    <x v="8"/>
    <n v="2"/>
    <x v="0"/>
    <x v="0"/>
    <x v="0"/>
    <x v="0"/>
    <x v="1"/>
    <n v="1"/>
    <n v="61156"/>
    <n v="61156"/>
  </r>
  <r>
    <x v="88"/>
    <x v="222"/>
    <x v="1"/>
    <n v="6"/>
    <x v="1"/>
    <n v="2"/>
    <x v="1"/>
    <x v="0"/>
    <x v="1"/>
    <x v="2"/>
    <x v="2"/>
    <n v="1"/>
    <n v="3607"/>
    <n v="3607"/>
  </r>
  <r>
    <x v="88"/>
    <x v="104"/>
    <x v="0"/>
    <n v="6"/>
    <x v="1"/>
    <n v="2"/>
    <x v="1"/>
    <x v="0"/>
    <x v="1"/>
    <x v="2"/>
    <x v="2"/>
    <n v="1"/>
    <n v="3607"/>
    <n v="3607"/>
  </r>
  <r>
    <x v="88"/>
    <x v="223"/>
    <x v="0"/>
    <n v="1"/>
    <x v="3"/>
    <n v="1"/>
    <x v="1"/>
    <x v="0"/>
    <x v="1"/>
    <x v="2"/>
    <x v="2"/>
    <n v="1"/>
    <n v="3607"/>
    <n v="3607"/>
  </r>
  <r>
    <x v="89"/>
    <x v="224"/>
    <x v="1"/>
    <n v="10"/>
    <x v="6"/>
    <n v="4"/>
    <x v="9"/>
    <x v="3"/>
    <x v="2"/>
    <x v="0"/>
    <x v="2"/>
    <n v="3"/>
    <n v="3055"/>
    <n v="9165"/>
  </r>
  <r>
    <x v="89"/>
    <x v="192"/>
    <x v="0"/>
    <n v="6"/>
    <x v="1"/>
    <n v="2"/>
    <x v="9"/>
    <x v="3"/>
    <x v="2"/>
    <x v="0"/>
    <x v="2"/>
    <n v="3"/>
    <n v="3055"/>
    <n v="9165"/>
  </r>
  <r>
    <x v="90"/>
    <x v="225"/>
    <x v="0"/>
    <n v="3"/>
    <x v="5"/>
    <n v="1"/>
    <x v="2"/>
    <x v="1"/>
    <x v="2"/>
    <x v="1"/>
    <x v="2"/>
    <n v="4"/>
    <n v="18106"/>
    <n v="72424"/>
  </r>
  <r>
    <x v="90"/>
    <x v="226"/>
    <x v="0"/>
    <n v="12"/>
    <x v="7"/>
    <n v="4"/>
    <x v="2"/>
    <x v="1"/>
    <x v="2"/>
    <x v="1"/>
    <x v="2"/>
    <n v="4"/>
    <n v="18106"/>
    <n v="72424"/>
  </r>
  <r>
    <x v="90"/>
    <x v="227"/>
    <x v="2"/>
    <n v="7"/>
    <x v="9"/>
    <n v="3"/>
    <x v="2"/>
    <x v="1"/>
    <x v="2"/>
    <x v="1"/>
    <x v="2"/>
    <n v="4"/>
    <n v="18106"/>
    <n v="72424"/>
  </r>
  <r>
    <x v="91"/>
    <x v="216"/>
    <x v="1"/>
    <n v="6"/>
    <x v="1"/>
    <n v="2"/>
    <x v="3"/>
    <x v="1"/>
    <x v="1"/>
    <x v="0"/>
    <x v="1"/>
    <n v="5"/>
    <n v="103"/>
    <n v="515"/>
  </r>
  <r>
    <x v="92"/>
    <x v="228"/>
    <x v="1"/>
    <n v="10"/>
    <x v="6"/>
    <n v="4"/>
    <x v="4"/>
    <x v="0"/>
    <x v="2"/>
    <x v="2"/>
    <x v="0"/>
    <n v="1"/>
    <n v="13217"/>
    <n v="13217"/>
  </r>
  <r>
    <x v="92"/>
    <x v="137"/>
    <x v="0"/>
    <n v="1"/>
    <x v="3"/>
    <n v="1"/>
    <x v="4"/>
    <x v="0"/>
    <x v="2"/>
    <x v="2"/>
    <x v="0"/>
    <n v="1"/>
    <n v="13217"/>
    <n v="13217"/>
  </r>
  <r>
    <x v="92"/>
    <x v="164"/>
    <x v="0"/>
    <n v="2"/>
    <x v="11"/>
    <n v="1"/>
    <x v="4"/>
    <x v="0"/>
    <x v="2"/>
    <x v="2"/>
    <x v="0"/>
    <n v="1"/>
    <n v="13217"/>
    <n v="13217"/>
  </r>
  <r>
    <x v="93"/>
    <x v="229"/>
    <x v="0"/>
    <n v="6"/>
    <x v="1"/>
    <n v="2"/>
    <x v="5"/>
    <x v="2"/>
    <x v="3"/>
    <x v="0"/>
    <x v="2"/>
    <n v="2"/>
    <n v="511"/>
    <n v="1022"/>
  </r>
  <r>
    <x v="93"/>
    <x v="230"/>
    <x v="1"/>
    <n v="10"/>
    <x v="6"/>
    <n v="4"/>
    <x v="5"/>
    <x v="2"/>
    <x v="3"/>
    <x v="0"/>
    <x v="2"/>
    <n v="2"/>
    <n v="511"/>
    <n v="1022"/>
  </r>
  <r>
    <x v="93"/>
    <x v="231"/>
    <x v="0"/>
    <n v="6"/>
    <x v="1"/>
    <n v="2"/>
    <x v="5"/>
    <x v="2"/>
    <x v="3"/>
    <x v="0"/>
    <x v="2"/>
    <n v="2"/>
    <n v="511"/>
    <n v="1022"/>
  </r>
  <r>
    <x v="94"/>
    <x v="180"/>
    <x v="0"/>
    <n v="9"/>
    <x v="10"/>
    <n v="3"/>
    <x v="6"/>
    <x v="3"/>
    <x v="5"/>
    <x v="0"/>
    <x v="1"/>
    <n v="2"/>
    <n v="513"/>
    <n v="1026"/>
  </r>
  <r>
    <x v="94"/>
    <x v="232"/>
    <x v="0"/>
    <n v="5"/>
    <x v="8"/>
    <n v="2"/>
    <x v="6"/>
    <x v="3"/>
    <x v="5"/>
    <x v="0"/>
    <x v="1"/>
    <n v="2"/>
    <n v="513"/>
    <n v="1026"/>
  </r>
  <r>
    <x v="95"/>
    <x v="91"/>
    <x v="1"/>
    <n v="6"/>
    <x v="1"/>
    <n v="2"/>
    <x v="7"/>
    <x v="0"/>
    <x v="0"/>
    <x v="0"/>
    <x v="1"/>
    <n v="2"/>
    <n v="6283"/>
    <n v="12566"/>
  </r>
  <r>
    <x v="95"/>
    <x v="233"/>
    <x v="2"/>
    <n v="11"/>
    <x v="2"/>
    <n v="4"/>
    <x v="7"/>
    <x v="0"/>
    <x v="0"/>
    <x v="0"/>
    <x v="1"/>
    <n v="2"/>
    <n v="6283"/>
    <n v="12566"/>
  </r>
  <r>
    <x v="95"/>
    <x v="234"/>
    <x v="0"/>
    <n v="5"/>
    <x v="8"/>
    <n v="2"/>
    <x v="7"/>
    <x v="0"/>
    <x v="0"/>
    <x v="0"/>
    <x v="1"/>
    <n v="2"/>
    <n v="6283"/>
    <n v="12566"/>
  </r>
  <r>
    <x v="96"/>
    <x v="235"/>
    <x v="2"/>
    <n v="12"/>
    <x v="7"/>
    <n v="4"/>
    <x v="8"/>
    <x v="1"/>
    <x v="1"/>
    <x v="0"/>
    <x v="2"/>
    <n v="4"/>
    <n v="552"/>
    <n v="2208"/>
  </r>
  <r>
    <x v="96"/>
    <x v="236"/>
    <x v="1"/>
    <n v="6"/>
    <x v="1"/>
    <n v="2"/>
    <x v="8"/>
    <x v="1"/>
    <x v="1"/>
    <x v="0"/>
    <x v="2"/>
    <n v="4"/>
    <n v="552"/>
    <n v="2208"/>
  </r>
  <r>
    <x v="96"/>
    <x v="237"/>
    <x v="1"/>
    <n v="10"/>
    <x v="6"/>
    <n v="4"/>
    <x v="8"/>
    <x v="1"/>
    <x v="1"/>
    <x v="0"/>
    <x v="2"/>
    <n v="4"/>
    <n v="552"/>
    <n v="2208"/>
  </r>
  <r>
    <x v="96"/>
    <x v="238"/>
    <x v="1"/>
    <n v="5"/>
    <x v="8"/>
    <n v="2"/>
    <x v="8"/>
    <x v="1"/>
    <x v="1"/>
    <x v="0"/>
    <x v="2"/>
    <n v="4"/>
    <n v="552"/>
    <n v="2208"/>
  </r>
  <r>
    <x v="96"/>
    <x v="239"/>
    <x v="2"/>
    <n v="8"/>
    <x v="0"/>
    <n v="3"/>
    <x v="8"/>
    <x v="1"/>
    <x v="1"/>
    <x v="0"/>
    <x v="2"/>
    <n v="4"/>
    <n v="552"/>
    <n v="2208"/>
  </r>
  <r>
    <x v="97"/>
    <x v="124"/>
    <x v="0"/>
    <n v="7"/>
    <x v="9"/>
    <n v="3"/>
    <x v="0"/>
    <x v="0"/>
    <x v="0"/>
    <x v="2"/>
    <x v="0"/>
    <n v="1"/>
    <n v="56441"/>
    <n v="56441"/>
  </r>
  <r>
    <x v="97"/>
    <x v="65"/>
    <x v="0"/>
    <n v="8"/>
    <x v="0"/>
    <n v="3"/>
    <x v="0"/>
    <x v="0"/>
    <x v="0"/>
    <x v="2"/>
    <x v="0"/>
    <n v="1"/>
    <n v="56441"/>
    <n v="56441"/>
  </r>
  <r>
    <x v="98"/>
    <x v="240"/>
    <x v="1"/>
    <n v="2"/>
    <x v="11"/>
    <n v="1"/>
    <x v="1"/>
    <x v="0"/>
    <x v="3"/>
    <x v="0"/>
    <x v="1"/>
    <n v="2"/>
    <n v="4833"/>
    <n v="9666"/>
  </r>
  <r>
    <x v="98"/>
    <x v="241"/>
    <x v="1"/>
    <n v="1"/>
    <x v="3"/>
    <n v="1"/>
    <x v="1"/>
    <x v="0"/>
    <x v="3"/>
    <x v="0"/>
    <x v="1"/>
    <n v="2"/>
    <n v="4833"/>
    <n v="9666"/>
  </r>
  <r>
    <x v="98"/>
    <x v="108"/>
    <x v="1"/>
    <n v="2"/>
    <x v="11"/>
    <n v="1"/>
    <x v="1"/>
    <x v="0"/>
    <x v="3"/>
    <x v="0"/>
    <x v="1"/>
    <n v="2"/>
    <n v="4833"/>
    <n v="9666"/>
  </r>
  <r>
    <x v="99"/>
    <x v="242"/>
    <x v="0"/>
    <n v="1"/>
    <x v="3"/>
    <n v="1"/>
    <x v="9"/>
    <x v="3"/>
    <x v="3"/>
    <x v="0"/>
    <x v="0"/>
    <n v="1"/>
    <n v="1314"/>
    <n v="1314"/>
  </r>
  <r>
    <x v="99"/>
    <x v="54"/>
    <x v="1"/>
    <n v="3"/>
    <x v="5"/>
    <n v="1"/>
    <x v="9"/>
    <x v="3"/>
    <x v="3"/>
    <x v="0"/>
    <x v="0"/>
    <n v="1"/>
    <n v="1314"/>
    <n v="1314"/>
  </r>
  <r>
    <x v="99"/>
    <x v="243"/>
    <x v="0"/>
    <n v="10"/>
    <x v="6"/>
    <n v="4"/>
    <x v="9"/>
    <x v="3"/>
    <x v="3"/>
    <x v="0"/>
    <x v="0"/>
    <n v="1"/>
    <n v="1314"/>
    <n v="1314"/>
  </r>
  <r>
    <x v="99"/>
    <x v="244"/>
    <x v="0"/>
    <n v="8"/>
    <x v="0"/>
    <n v="3"/>
    <x v="9"/>
    <x v="3"/>
    <x v="3"/>
    <x v="0"/>
    <x v="0"/>
    <n v="1"/>
    <n v="1314"/>
    <n v="1314"/>
  </r>
  <r>
    <x v="99"/>
    <x v="245"/>
    <x v="2"/>
    <n v="12"/>
    <x v="7"/>
    <n v="4"/>
    <x v="9"/>
    <x v="3"/>
    <x v="3"/>
    <x v="0"/>
    <x v="0"/>
    <n v="1"/>
    <n v="1314"/>
    <n v="1314"/>
  </r>
  <r>
    <x v="99"/>
    <x v="246"/>
    <x v="1"/>
    <n v="7"/>
    <x v="9"/>
    <n v="3"/>
    <x v="9"/>
    <x v="3"/>
    <x v="3"/>
    <x v="0"/>
    <x v="0"/>
    <n v="1"/>
    <n v="1314"/>
    <n v="1314"/>
  </r>
  <r>
    <x v="99"/>
    <x v="247"/>
    <x v="1"/>
    <n v="4"/>
    <x v="4"/>
    <n v="2"/>
    <x v="9"/>
    <x v="3"/>
    <x v="3"/>
    <x v="0"/>
    <x v="0"/>
    <n v="1"/>
    <n v="1314"/>
    <n v="1314"/>
  </r>
  <r>
    <x v="100"/>
    <x v="99"/>
    <x v="0"/>
    <n v="3"/>
    <x v="5"/>
    <n v="1"/>
    <x v="2"/>
    <x v="1"/>
    <x v="0"/>
    <x v="1"/>
    <x v="2"/>
    <n v="1"/>
    <n v="5201"/>
    <n v="5201"/>
  </r>
  <r>
    <x v="101"/>
    <x v="248"/>
    <x v="1"/>
    <n v="4"/>
    <x v="4"/>
    <n v="2"/>
    <x v="3"/>
    <x v="1"/>
    <x v="0"/>
    <x v="1"/>
    <x v="0"/>
    <n v="2"/>
    <n v="469"/>
    <n v="938"/>
  </r>
  <r>
    <x v="101"/>
    <x v="249"/>
    <x v="0"/>
    <n v="1"/>
    <x v="3"/>
    <n v="1"/>
    <x v="3"/>
    <x v="1"/>
    <x v="0"/>
    <x v="1"/>
    <x v="0"/>
    <n v="2"/>
    <n v="469"/>
    <n v="938"/>
  </r>
  <r>
    <x v="101"/>
    <x v="250"/>
    <x v="1"/>
    <n v="8"/>
    <x v="0"/>
    <n v="3"/>
    <x v="3"/>
    <x v="1"/>
    <x v="0"/>
    <x v="1"/>
    <x v="0"/>
    <n v="2"/>
    <n v="469"/>
    <n v="938"/>
  </r>
  <r>
    <x v="101"/>
    <x v="251"/>
    <x v="1"/>
    <n v="1"/>
    <x v="3"/>
    <n v="1"/>
    <x v="3"/>
    <x v="1"/>
    <x v="0"/>
    <x v="1"/>
    <x v="0"/>
    <n v="2"/>
    <n v="469"/>
    <n v="938"/>
  </r>
  <r>
    <x v="101"/>
    <x v="252"/>
    <x v="1"/>
    <n v="7"/>
    <x v="9"/>
    <n v="3"/>
    <x v="3"/>
    <x v="1"/>
    <x v="0"/>
    <x v="1"/>
    <x v="0"/>
    <n v="2"/>
    <n v="469"/>
    <n v="938"/>
  </r>
  <r>
    <x v="102"/>
    <x v="253"/>
    <x v="0"/>
    <n v="2"/>
    <x v="11"/>
    <n v="1"/>
    <x v="4"/>
    <x v="0"/>
    <x v="2"/>
    <x v="1"/>
    <x v="1"/>
    <n v="2"/>
    <n v="24448"/>
    <n v="48896"/>
  </r>
  <r>
    <x v="102"/>
    <x v="27"/>
    <x v="0"/>
    <n v="9"/>
    <x v="10"/>
    <n v="3"/>
    <x v="4"/>
    <x v="0"/>
    <x v="2"/>
    <x v="1"/>
    <x v="1"/>
    <n v="2"/>
    <n v="24448"/>
    <n v="48896"/>
  </r>
  <r>
    <x v="102"/>
    <x v="254"/>
    <x v="2"/>
    <n v="11"/>
    <x v="2"/>
    <n v="4"/>
    <x v="4"/>
    <x v="0"/>
    <x v="2"/>
    <x v="1"/>
    <x v="1"/>
    <n v="2"/>
    <n v="24448"/>
    <n v="48896"/>
  </r>
  <r>
    <x v="102"/>
    <x v="255"/>
    <x v="0"/>
    <n v="12"/>
    <x v="7"/>
    <n v="4"/>
    <x v="4"/>
    <x v="0"/>
    <x v="2"/>
    <x v="1"/>
    <x v="1"/>
    <n v="2"/>
    <n v="24448"/>
    <n v="48896"/>
  </r>
  <r>
    <x v="103"/>
    <x v="256"/>
    <x v="0"/>
    <n v="5"/>
    <x v="8"/>
    <n v="2"/>
    <x v="5"/>
    <x v="2"/>
    <x v="5"/>
    <x v="1"/>
    <x v="1"/>
    <n v="3"/>
    <n v="378"/>
    <n v="1134"/>
  </r>
  <r>
    <x v="104"/>
    <x v="257"/>
    <x v="2"/>
    <n v="1"/>
    <x v="3"/>
    <n v="1"/>
    <x v="6"/>
    <x v="3"/>
    <x v="5"/>
    <x v="1"/>
    <x v="1"/>
    <n v="1"/>
    <n v="1310"/>
    <n v="1310"/>
  </r>
  <r>
    <x v="104"/>
    <x v="258"/>
    <x v="1"/>
    <n v="5"/>
    <x v="8"/>
    <n v="2"/>
    <x v="6"/>
    <x v="3"/>
    <x v="5"/>
    <x v="1"/>
    <x v="1"/>
    <n v="1"/>
    <n v="1310"/>
    <n v="1310"/>
  </r>
  <r>
    <x v="104"/>
    <x v="57"/>
    <x v="0"/>
    <n v="11"/>
    <x v="2"/>
    <n v="4"/>
    <x v="6"/>
    <x v="3"/>
    <x v="5"/>
    <x v="1"/>
    <x v="1"/>
    <n v="1"/>
    <n v="1310"/>
    <n v="1310"/>
  </r>
  <r>
    <x v="104"/>
    <x v="222"/>
    <x v="1"/>
    <n v="6"/>
    <x v="1"/>
    <n v="2"/>
    <x v="6"/>
    <x v="3"/>
    <x v="5"/>
    <x v="1"/>
    <x v="1"/>
    <n v="1"/>
    <n v="1310"/>
    <n v="1310"/>
  </r>
  <r>
    <x v="104"/>
    <x v="259"/>
    <x v="2"/>
    <n v="7"/>
    <x v="9"/>
    <n v="3"/>
    <x v="6"/>
    <x v="3"/>
    <x v="5"/>
    <x v="1"/>
    <x v="1"/>
    <n v="1"/>
    <n v="1310"/>
    <n v="1310"/>
  </r>
  <r>
    <x v="105"/>
    <x v="260"/>
    <x v="0"/>
    <n v="3"/>
    <x v="5"/>
    <n v="1"/>
    <x v="7"/>
    <x v="0"/>
    <x v="5"/>
    <x v="2"/>
    <x v="2"/>
    <n v="1"/>
    <n v="5590"/>
    <n v="5590"/>
  </r>
  <r>
    <x v="105"/>
    <x v="99"/>
    <x v="0"/>
    <n v="3"/>
    <x v="5"/>
    <n v="1"/>
    <x v="7"/>
    <x v="0"/>
    <x v="5"/>
    <x v="2"/>
    <x v="2"/>
    <n v="1"/>
    <n v="5590"/>
    <n v="5590"/>
  </r>
  <r>
    <x v="106"/>
    <x v="261"/>
    <x v="0"/>
    <n v="5"/>
    <x v="8"/>
    <n v="2"/>
    <x v="8"/>
    <x v="1"/>
    <x v="1"/>
    <x v="0"/>
    <x v="2"/>
    <n v="3"/>
    <n v="405"/>
    <n v="1215"/>
  </r>
  <r>
    <x v="106"/>
    <x v="137"/>
    <x v="0"/>
    <n v="1"/>
    <x v="3"/>
    <n v="1"/>
    <x v="8"/>
    <x v="1"/>
    <x v="1"/>
    <x v="0"/>
    <x v="2"/>
    <n v="3"/>
    <n v="405"/>
    <n v="1215"/>
  </r>
  <r>
    <x v="106"/>
    <x v="156"/>
    <x v="1"/>
    <n v="3"/>
    <x v="5"/>
    <n v="1"/>
    <x v="8"/>
    <x v="1"/>
    <x v="1"/>
    <x v="0"/>
    <x v="2"/>
    <n v="3"/>
    <n v="405"/>
    <n v="1215"/>
  </r>
  <r>
    <x v="106"/>
    <x v="159"/>
    <x v="0"/>
    <n v="11"/>
    <x v="2"/>
    <n v="4"/>
    <x v="8"/>
    <x v="1"/>
    <x v="1"/>
    <x v="0"/>
    <x v="2"/>
    <n v="3"/>
    <n v="405"/>
    <n v="1215"/>
  </r>
  <r>
    <x v="107"/>
    <x v="262"/>
    <x v="2"/>
    <n v="6"/>
    <x v="1"/>
    <n v="2"/>
    <x v="0"/>
    <x v="0"/>
    <x v="4"/>
    <x v="0"/>
    <x v="2"/>
    <n v="1"/>
    <n v="51984"/>
    <n v="51984"/>
  </r>
  <r>
    <x v="107"/>
    <x v="130"/>
    <x v="0"/>
    <n v="2"/>
    <x v="11"/>
    <n v="1"/>
    <x v="0"/>
    <x v="0"/>
    <x v="4"/>
    <x v="0"/>
    <x v="2"/>
    <n v="1"/>
    <n v="51984"/>
    <n v="51984"/>
  </r>
  <r>
    <x v="107"/>
    <x v="112"/>
    <x v="1"/>
    <n v="3"/>
    <x v="5"/>
    <n v="1"/>
    <x v="0"/>
    <x v="0"/>
    <x v="4"/>
    <x v="0"/>
    <x v="2"/>
    <n v="1"/>
    <n v="51984"/>
    <n v="51984"/>
  </r>
  <r>
    <x v="108"/>
    <x v="59"/>
    <x v="0"/>
    <n v="10"/>
    <x v="6"/>
    <n v="4"/>
    <x v="1"/>
    <x v="0"/>
    <x v="0"/>
    <x v="2"/>
    <x v="2"/>
    <n v="3"/>
    <n v="2766"/>
    <n v="8298"/>
  </r>
  <r>
    <x v="109"/>
    <x v="263"/>
    <x v="0"/>
    <n v="1"/>
    <x v="3"/>
    <n v="1"/>
    <x v="9"/>
    <x v="3"/>
    <x v="5"/>
    <x v="0"/>
    <x v="1"/>
    <n v="3"/>
    <n v="2625"/>
    <n v="7875"/>
  </r>
  <r>
    <x v="109"/>
    <x v="264"/>
    <x v="1"/>
    <n v="4"/>
    <x v="4"/>
    <n v="2"/>
    <x v="9"/>
    <x v="3"/>
    <x v="5"/>
    <x v="0"/>
    <x v="1"/>
    <n v="3"/>
    <n v="2625"/>
    <n v="7875"/>
  </r>
  <r>
    <x v="109"/>
    <x v="205"/>
    <x v="2"/>
    <n v="8"/>
    <x v="0"/>
    <n v="3"/>
    <x v="9"/>
    <x v="3"/>
    <x v="5"/>
    <x v="0"/>
    <x v="1"/>
    <n v="3"/>
    <n v="2625"/>
    <n v="7875"/>
  </r>
  <r>
    <x v="110"/>
    <x v="265"/>
    <x v="0"/>
    <n v="6"/>
    <x v="1"/>
    <n v="2"/>
    <x v="2"/>
    <x v="1"/>
    <x v="2"/>
    <x v="2"/>
    <x v="1"/>
    <n v="2"/>
    <n v="2573"/>
    <n v="5146"/>
  </r>
  <r>
    <x v="110"/>
    <x v="266"/>
    <x v="1"/>
    <n v="12"/>
    <x v="7"/>
    <n v="4"/>
    <x v="2"/>
    <x v="1"/>
    <x v="2"/>
    <x v="2"/>
    <x v="1"/>
    <n v="2"/>
    <n v="2573"/>
    <n v="5146"/>
  </r>
  <r>
    <x v="110"/>
    <x v="267"/>
    <x v="0"/>
    <n v="6"/>
    <x v="1"/>
    <n v="2"/>
    <x v="2"/>
    <x v="1"/>
    <x v="2"/>
    <x v="2"/>
    <x v="1"/>
    <n v="2"/>
    <n v="2573"/>
    <n v="5146"/>
  </r>
  <r>
    <x v="110"/>
    <x v="268"/>
    <x v="1"/>
    <n v="5"/>
    <x v="8"/>
    <n v="2"/>
    <x v="2"/>
    <x v="1"/>
    <x v="2"/>
    <x v="2"/>
    <x v="1"/>
    <n v="2"/>
    <n v="2573"/>
    <n v="5146"/>
  </r>
  <r>
    <x v="111"/>
    <x v="269"/>
    <x v="2"/>
    <n v="10"/>
    <x v="6"/>
    <n v="4"/>
    <x v="3"/>
    <x v="1"/>
    <x v="1"/>
    <x v="0"/>
    <x v="2"/>
    <n v="2"/>
    <n v="798"/>
    <n v="1596"/>
  </r>
  <r>
    <x v="112"/>
    <x v="270"/>
    <x v="0"/>
    <n v="10"/>
    <x v="6"/>
    <n v="4"/>
    <x v="4"/>
    <x v="0"/>
    <x v="5"/>
    <x v="0"/>
    <x v="0"/>
    <n v="2"/>
    <n v="31517"/>
    <n v="63034"/>
  </r>
  <r>
    <x v="113"/>
    <x v="108"/>
    <x v="1"/>
    <n v="2"/>
    <x v="11"/>
    <n v="1"/>
    <x v="5"/>
    <x v="2"/>
    <x v="0"/>
    <x v="2"/>
    <x v="1"/>
    <n v="1"/>
    <n v="343"/>
    <n v="343"/>
  </r>
  <r>
    <x v="113"/>
    <x v="271"/>
    <x v="1"/>
    <n v="4"/>
    <x v="4"/>
    <n v="2"/>
    <x v="5"/>
    <x v="2"/>
    <x v="0"/>
    <x v="2"/>
    <x v="1"/>
    <n v="1"/>
    <n v="343"/>
    <n v="343"/>
  </r>
  <r>
    <x v="113"/>
    <x v="272"/>
    <x v="1"/>
    <n v="3"/>
    <x v="5"/>
    <n v="1"/>
    <x v="5"/>
    <x v="2"/>
    <x v="0"/>
    <x v="2"/>
    <x v="1"/>
    <n v="1"/>
    <n v="343"/>
    <n v="343"/>
  </r>
  <r>
    <x v="114"/>
    <x v="78"/>
    <x v="1"/>
    <n v="5"/>
    <x v="8"/>
    <n v="2"/>
    <x v="6"/>
    <x v="3"/>
    <x v="0"/>
    <x v="2"/>
    <x v="2"/>
    <n v="3"/>
    <n v="1021"/>
    <n v="3063"/>
  </r>
  <r>
    <x v="115"/>
    <x v="51"/>
    <x v="0"/>
    <n v="8"/>
    <x v="0"/>
    <n v="3"/>
    <x v="7"/>
    <x v="0"/>
    <x v="5"/>
    <x v="0"/>
    <x v="0"/>
    <n v="1"/>
    <n v="8543"/>
    <n v="8543"/>
  </r>
  <r>
    <x v="115"/>
    <x v="273"/>
    <x v="2"/>
    <n v="4"/>
    <x v="4"/>
    <n v="2"/>
    <x v="7"/>
    <x v="0"/>
    <x v="5"/>
    <x v="0"/>
    <x v="0"/>
    <n v="1"/>
    <n v="8543"/>
    <n v="8543"/>
  </r>
  <r>
    <x v="115"/>
    <x v="274"/>
    <x v="0"/>
    <n v="10"/>
    <x v="6"/>
    <n v="4"/>
    <x v="7"/>
    <x v="0"/>
    <x v="5"/>
    <x v="0"/>
    <x v="0"/>
    <n v="1"/>
    <n v="8543"/>
    <n v="8543"/>
  </r>
  <r>
    <x v="115"/>
    <x v="222"/>
    <x v="1"/>
    <n v="6"/>
    <x v="1"/>
    <n v="2"/>
    <x v="7"/>
    <x v="0"/>
    <x v="5"/>
    <x v="0"/>
    <x v="0"/>
    <n v="1"/>
    <n v="8543"/>
    <n v="8543"/>
  </r>
  <r>
    <x v="116"/>
    <x v="275"/>
    <x v="1"/>
    <n v="3"/>
    <x v="5"/>
    <n v="1"/>
    <x v="0"/>
    <x v="0"/>
    <x v="1"/>
    <x v="0"/>
    <x v="2"/>
    <n v="1"/>
    <n v="51840"/>
    <n v="51840"/>
  </r>
  <r>
    <x v="116"/>
    <x v="276"/>
    <x v="2"/>
    <n v="11"/>
    <x v="2"/>
    <n v="4"/>
    <x v="0"/>
    <x v="0"/>
    <x v="1"/>
    <x v="0"/>
    <x v="2"/>
    <n v="1"/>
    <n v="51840"/>
    <n v="51840"/>
  </r>
  <r>
    <x v="117"/>
    <x v="223"/>
    <x v="0"/>
    <n v="1"/>
    <x v="3"/>
    <n v="1"/>
    <x v="1"/>
    <x v="0"/>
    <x v="0"/>
    <x v="0"/>
    <x v="2"/>
    <n v="2"/>
    <n v="4435"/>
    <n v="8870"/>
  </r>
  <r>
    <x v="117"/>
    <x v="277"/>
    <x v="2"/>
    <n v="1"/>
    <x v="3"/>
    <n v="1"/>
    <x v="1"/>
    <x v="0"/>
    <x v="0"/>
    <x v="0"/>
    <x v="2"/>
    <n v="2"/>
    <n v="4435"/>
    <n v="8870"/>
  </r>
  <r>
    <x v="117"/>
    <x v="101"/>
    <x v="1"/>
    <n v="4"/>
    <x v="4"/>
    <n v="2"/>
    <x v="1"/>
    <x v="0"/>
    <x v="0"/>
    <x v="0"/>
    <x v="2"/>
    <n v="2"/>
    <n v="4435"/>
    <n v="8870"/>
  </r>
  <r>
    <x v="117"/>
    <x v="278"/>
    <x v="1"/>
    <n v="5"/>
    <x v="8"/>
    <n v="2"/>
    <x v="1"/>
    <x v="0"/>
    <x v="0"/>
    <x v="0"/>
    <x v="2"/>
    <n v="2"/>
    <n v="4435"/>
    <n v="8870"/>
  </r>
  <r>
    <x v="117"/>
    <x v="59"/>
    <x v="0"/>
    <n v="10"/>
    <x v="6"/>
    <n v="4"/>
    <x v="1"/>
    <x v="0"/>
    <x v="0"/>
    <x v="0"/>
    <x v="2"/>
    <n v="2"/>
    <n v="4435"/>
    <n v="8870"/>
  </r>
  <r>
    <x v="118"/>
    <x v="270"/>
    <x v="0"/>
    <n v="10"/>
    <x v="6"/>
    <n v="4"/>
    <x v="9"/>
    <x v="3"/>
    <x v="0"/>
    <x v="0"/>
    <x v="0"/>
    <n v="3"/>
    <n v="2138"/>
    <n v="6414"/>
  </r>
  <r>
    <x v="118"/>
    <x v="279"/>
    <x v="1"/>
    <n v="11"/>
    <x v="2"/>
    <n v="4"/>
    <x v="9"/>
    <x v="3"/>
    <x v="0"/>
    <x v="0"/>
    <x v="0"/>
    <n v="3"/>
    <n v="2138"/>
    <n v="6414"/>
  </r>
  <r>
    <x v="119"/>
    <x v="280"/>
    <x v="0"/>
    <n v="7"/>
    <x v="9"/>
    <n v="3"/>
    <x v="2"/>
    <x v="1"/>
    <x v="3"/>
    <x v="0"/>
    <x v="0"/>
    <n v="5"/>
    <n v="5434"/>
    <n v="27170"/>
  </r>
  <r>
    <x v="119"/>
    <x v="281"/>
    <x v="0"/>
    <n v="12"/>
    <x v="7"/>
    <n v="4"/>
    <x v="2"/>
    <x v="1"/>
    <x v="3"/>
    <x v="0"/>
    <x v="0"/>
    <n v="5"/>
    <n v="5434"/>
    <n v="27170"/>
  </r>
  <r>
    <x v="120"/>
    <x v="282"/>
    <x v="0"/>
    <n v="12"/>
    <x v="7"/>
    <n v="4"/>
    <x v="3"/>
    <x v="1"/>
    <x v="0"/>
    <x v="0"/>
    <x v="1"/>
    <n v="1"/>
    <n v="961"/>
    <n v="961"/>
  </r>
  <r>
    <x v="120"/>
    <x v="283"/>
    <x v="1"/>
    <n v="7"/>
    <x v="9"/>
    <n v="3"/>
    <x v="3"/>
    <x v="1"/>
    <x v="0"/>
    <x v="0"/>
    <x v="1"/>
    <n v="1"/>
    <n v="961"/>
    <n v="961"/>
  </r>
  <r>
    <x v="120"/>
    <x v="284"/>
    <x v="0"/>
    <n v="8"/>
    <x v="0"/>
    <n v="3"/>
    <x v="3"/>
    <x v="1"/>
    <x v="0"/>
    <x v="0"/>
    <x v="1"/>
    <n v="1"/>
    <n v="961"/>
    <n v="961"/>
  </r>
  <r>
    <x v="120"/>
    <x v="285"/>
    <x v="1"/>
    <n v="9"/>
    <x v="10"/>
    <n v="3"/>
    <x v="3"/>
    <x v="1"/>
    <x v="0"/>
    <x v="0"/>
    <x v="1"/>
    <n v="1"/>
    <n v="961"/>
    <n v="961"/>
  </r>
  <r>
    <x v="121"/>
    <x v="286"/>
    <x v="1"/>
    <n v="9"/>
    <x v="10"/>
    <n v="3"/>
    <x v="4"/>
    <x v="0"/>
    <x v="2"/>
    <x v="1"/>
    <x v="0"/>
    <n v="2"/>
    <n v="28891"/>
    <n v="57782"/>
  </r>
  <r>
    <x v="121"/>
    <x v="178"/>
    <x v="0"/>
    <n v="7"/>
    <x v="9"/>
    <n v="3"/>
    <x v="4"/>
    <x v="0"/>
    <x v="2"/>
    <x v="1"/>
    <x v="0"/>
    <n v="2"/>
    <n v="28891"/>
    <n v="57782"/>
  </r>
  <r>
    <x v="121"/>
    <x v="287"/>
    <x v="2"/>
    <n v="5"/>
    <x v="8"/>
    <n v="2"/>
    <x v="4"/>
    <x v="0"/>
    <x v="2"/>
    <x v="1"/>
    <x v="0"/>
    <n v="2"/>
    <n v="28891"/>
    <n v="57782"/>
  </r>
  <r>
    <x v="121"/>
    <x v="288"/>
    <x v="1"/>
    <n v="2"/>
    <x v="11"/>
    <n v="1"/>
    <x v="4"/>
    <x v="0"/>
    <x v="2"/>
    <x v="1"/>
    <x v="0"/>
    <n v="2"/>
    <n v="28891"/>
    <n v="57782"/>
  </r>
  <r>
    <x v="122"/>
    <x v="289"/>
    <x v="0"/>
    <n v="12"/>
    <x v="7"/>
    <n v="4"/>
    <x v="5"/>
    <x v="2"/>
    <x v="5"/>
    <x v="0"/>
    <x v="2"/>
    <n v="3"/>
    <n v="433"/>
    <n v="1299"/>
  </r>
  <r>
    <x v="122"/>
    <x v="290"/>
    <x v="0"/>
    <n v="9"/>
    <x v="10"/>
    <n v="3"/>
    <x v="5"/>
    <x v="2"/>
    <x v="5"/>
    <x v="0"/>
    <x v="2"/>
    <n v="3"/>
    <n v="433"/>
    <n v="1299"/>
  </r>
  <r>
    <x v="122"/>
    <x v="291"/>
    <x v="0"/>
    <n v="10"/>
    <x v="6"/>
    <n v="4"/>
    <x v="5"/>
    <x v="2"/>
    <x v="5"/>
    <x v="0"/>
    <x v="2"/>
    <n v="3"/>
    <n v="433"/>
    <n v="1299"/>
  </r>
  <r>
    <x v="122"/>
    <x v="292"/>
    <x v="0"/>
    <n v="9"/>
    <x v="10"/>
    <n v="3"/>
    <x v="5"/>
    <x v="2"/>
    <x v="5"/>
    <x v="0"/>
    <x v="2"/>
    <n v="3"/>
    <n v="433"/>
    <n v="1299"/>
  </r>
  <r>
    <x v="123"/>
    <x v="293"/>
    <x v="1"/>
    <n v="12"/>
    <x v="7"/>
    <n v="4"/>
    <x v="6"/>
    <x v="3"/>
    <x v="5"/>
    <x v="0"/>
    <x v="2"/>
    <n v="2"/>
    <n v="912"/>
    <n v="1824"/>
  </r>
  <r>
    <x v="123"/>
    <x v="294"/>
    <x v="0"/>
    <n v="3"/>
    <x v="5"/>
    <n v="1"/>
    <x v="6"/>
    <x v="3"/>
    <x v="5"/>
    <x v="0"/>
    <x v="2"/>
    <n v="2"/>
    <n v="912"/>
    <n v="1824"/>
  </r>
  <r>
    <x v="124"/>
    <x v="295"/>
    <x v="0"/>
    <n v="12"/>
    <x v="7"/>
    <n v="4"/>
    <x v="7"/>
    <x v="0"/>
    <x v="0"/>
    <x v="1"/>
    <x v="0"/>
    <n v="2"/>
    <n v="12792"/>
    <n v="25584"/>
  </r>
  <r>
    <x v="125"/>
    <x v="86"/>
    <x v="0"/>
    <n v="7"/>
    <x v="9"/>
    <n v="3"/>
    <x v="8"/>
    <x v="1"/>
    <x v="4"/>
    <x v="1"/>
    <x v="2"/>
    <n v="3"/>
    <n v="150"/>
    <n v="450"/>
  </r>
  <r>
    <x v="125"/>
    <x v="296"/>
    <x v="1"/>
    <n v="9"/>
    <x v="10"/>
    <n v="3"/>
    <x v="8"/>
    <x v="1"/>
    <x v="4"/>
    <x v="1"/>
    <x v="2"/>
    <n v="3"/>
    <n v="150"/>
    <n v="450"/>
  </r>
  <r>
    <x v="126"/>
    <x v="297"/>
    <x v="2"/>
    <n v="12"/>
    <x v="7"/>
    <n v="4"/>
    <x v="0"/>
    <x v="0"/>
    <x v="3"/>
    <x v="1"/>
    <x v="0"/>
    <n v="1"/>
    <n v="61259"/>
    <n v="61259"/>
  </r>
  <r>
    <x v="127"/>
    <x v="298"/>
    <x v="0"/>
    <n v="3"/>
    <x v="5"/>
    <n v="1"/>
    <x v="1"/>
    <x v="0"/>
    <x v="0"/>
    <x v="0"/>
    <x v="0"/>
    <n v="1"/>
    <n v="2998"/>
    <n v="2998"/>
  </r>
  <r>
    <x v="127"/>
    <x v="134"/>
    <x v="0"/>
    <n v="2"/>
    <x v="11"/>
    <n v="1"/>
    <x v="1"/>
    <x v="0"/>
    <x v="0"/>
    <x v="0"/>
    <x v="0"/>
    <n v="1"/>
    <n v="2998"/>
    <n v="2998"/>
  </r>
  <r>
    <x v="128"/>
    <x v="299"/>
    <x v="0"/>
    <n v="11"/>
    <x v="2"/>
    <n v="4"/>
    <x v="9"/>
    <x v="3"/>
    <x v="3"/>
    <x v="1"/>
    <x v="1"/>
    <n v="3"/>
    <n v="1682"/>
    <n v="5046"/>
  </r>
  <r>
    <x v="128"/>
    <x v="300"/>
    <x v="2"/>
    <n v="5"/>
    <x v="8"/>
    <n v="2"/>
    <x v="9"/>
    <x v="3"/>
    <x v="3"/>
    <x v="1"/>
    <x v="1"/>
    <n v="3"/>
    <n v="1682"/>
    <n v="5046"/>
  </r>
  <r>
    <x v="128"/>
    <x v="301"/>
    <x v="2"/>
    <n v="5"/>
    <x v="8"/>
    <n v="2"/>
    <x v="9"/>
    <x v="3"/>
    <x v="3"/>
    <x v="1"/>
    <x v="1"/>
    <n v="3"/>
    <n v="1682"/>
    <n v="5046"/>
  </r>
  <r>
    <x v="129"/>
    <x v="302"/>
    <x v="1"/>
    <n v="12"/>
    <x v="7"/>
    <n v="4"/>
    <x v="2"/>
    <x v="1"/>
    <x v="0"/>
    <x v="0"/>
    <x v="1"/>
    <n v="1"/>
    <n v="12576"/>
    <n v="12576"/>
  </r>
  <r>
    <x v="129"/>
    <x v="303"/>
    <x v="1"/>
    <n v="1"/>
    <x v="3"/>
    <n v="1"/>
    <x v="2"/>
    <x v="1"/>
    <x v="0"/>
    <x v="0"/>
    <x v="1"/>
    <n v="1"/>
    <n v="12576"/>
    <n v="12576"/>
  </r>
  <r>
    <x v="129"/>
    <x v="304"/>
    <x v="0"/>
    <n v="4"/>
    <x v="4"/>
    <n v="2"/>
    <x v="2"/>
    <x v="1"/>
    <x v="0"/>
    <x v="0"/>
    <x v="1"/>
    <n v="1"/>
    <n v="12576"/>
    <n v="12576"/>
  </r>
  <r>
    <x v="130"/>
    <x v="0"/>
    <x v="0"/>
    <n v="8"/>
    <x v="0"/>
    <n v="3"/>
    <x v="3"/>
    <x v="1"/>
    <x v="5"/>
    <x v="2"/>
    <x v="2"/>
    <n v="1"/>
    <n v="740"/>
    <n v="740"/>
  </r>
  <r>
    <x v="130"/>
    <x v="132"/>
    <x v="0"/>
    <n v="12"/>
    <x v="7"/>
    <n v="4"/>
    <x v="3"/>
    <x v="1"/>
    <x v="5"/>
    <x v="2"/>
    <x v="2"/>
    <n v="1"/>
    <n v="740"/>
    <n v="740"/>
  </r>
  <r>
    <x v="130"/>
    <x v="305"/>
    <x v="1"/>
    <n v="1"/>
    <x v="3"/>
    <n v="1"/>
    <x v="3"/>
    <x v="1"/>
    <x v="5"/>
    <x v="2"/>
    <x v="2"/>
    <n v="1"/>
    <n v="740"/>
    <n v="740"/>
  </r>
  <r>
    <x v="130"/>
    <x v="306"/>
    <x v="2"/>
    <n v="5"/>
    <x v="8"/>
    <n v="2"/>
    <x v="3"/>
    <x v="1"/>
    <x v="5"/>
    <x v="2"/>
    <x v="2"/>
    <n v="1"/>
    <n v="740"/>
    <n v="740"/>
  </r>
  <r>
    <x v="131"/>
    <x v="307"/>
    <x v="0"/>
    <n v="12"/>
    <x v="7"/>
    <n v="4"/>
    <x v="4"/>
    <x v="0"/>
    <x v="3"/>
    <x v="1"/>
    <x v="1"/>
    <n v="2"/>
    <n v="38690"/>
    <n v="77380"/>
  </r>
  <r>
    <x v="131"/>
    <x v="308"/>
    <x v="2"/>
    <n v="12"/>
    <x v="7"/>
    <n v="4"/>
    <x v="4"/>
    <x v="0"/>
    <x v="3"/>
    <x v="1"/>
    <x v="1"/>
    <n v="2"/>
    <n v="38690"/>
    <n v="77380"/>
  </r>
  <r>
    <x v="131"/>
    <x v="309"/>
    <x v="1"/>
    <n v="2"/>
    <x v="11"/>
    <n v="1"/>
    <x v="4"/>
    <x v="0"/>
    <x v="3"/>
    <x v="1"/>
    <x v="1"/>
    <n v="2"/>
    <n v="38690"/>
    <n v="77380"/>
  </r>
  <r>
    <x v="132"/>
    <x v="310"/>
    <x v="1"/>
    <n v="10"/>
    <x v="6"/>
    <n v="4"/>
    <x v="5"/>
    <x v="2"/>
    <x v="5"/>
    <x v="2"/>
    <x v="0"/>
    <n v="1"/>
    <n v="309"/>
    <n v="309"/>
  </r>
  <r>
    <x v="132"/>
    <x v="311"/>
    <x v="1"/>
    <n v="1"/>
    <x v="3"/>
    <n v="1"/>
    <x v="5"/>
    <x v="2"/>
    <x v="5"/>
    <x v="2"/>
    <x v="0"/>
    <n v="1"/>
    <n v="309"/>
    <n v="309"/>
  </r>
  <r>
    <x v="132"/>
    <x v="312"/>
    <x v="0"/>
    <n v="9"/>
    <x v="10"/>
    <n v="3"/>
    <x v="5"/>
    <x v="2"/>
    <x v="5"/>
    <x v="2"/>
    <x v="0"/>
    <n v="1"/>
    <n v="309"/>
    <n v="309"/>
  </r>
  <r>
    <x v="133"/>
    <x v="273"/>
    <x v="2"/>
    <n v="4"/>
    <x v="4"/>
    <n v="2"/>
    <x v="6"/>
    <x v="3"/>
    <x v="3"/>
    <x v="2"/>
    <x v="1"/>
    <n v="3"/>
    <n v="1670"/>
    <n v="5010"/>
  </r>
  <r>
    <x v="133"/>
    <x v="119"/>
    <x v="0"/>
    <n v="5"/>
    <x v="8"/>
    <n v="2"/>
    <x v="6"/>
    <x v="3"/>
    <x v="3"/>
    <x v="2"/>
    <x v="1"/>
    <n v="3"/>
    <n v="1670"/>
    <n v="5010"/>
  </r>
  <r>
    <x v="133"/>
    <x v="313"/>
    <x v="0"/>
    <n v="8"/>
    <x v="0"/>
    <n v="3"/>
    <x v="6"/>
    <x v="3"/>
    <x v="3"/>
    <x v="2"/>
    <x v="1"/>
    <n v="3"/>
    <n v="1670"/>
    <n v="5010"/>
  </r>
  <r>
    <x v="134"/>
    <x v="314"/>
    <x v="1"/>
    <n v="2"/>
    <x v="11"/>
    <n v="1"/>
    <x v="7"/>
    <x v="0"/>
    <x v="2"/>
    <x v="0"/>
    <x v="0"/>
    <n v="1"/>
    <n v="13908"/>
    <n v="13908"/>
  </r>
  <r>
    <x v="134"/>
    <x v="315"/>
    <x v="1"/>
    <n v="5"/>
    <x v="8"/>
    <n v="2"/>
    <x v="7"/>
    <x v="0"/>
    <x v="2"/>
    <x v="0"/>
    <x v="0"/>
    <n v="1"/>
    <n v="13908"/>
    <n v="13908"/>
  </r>
  <r>
    <x v="134"/>
    <x v="316"/>
    <x v="1"/>
    <n v="1"/>
    <x v="3"/>
    <n v="1"/>
    <x v="7"/>
    <x v="0"/>
    <x v="2"/>
    <x v="0"/>
    <x v="0"/>
    <n v="1"/>
    <n v="13908"/>
    <n v="13908"/>
  </r>
  <r>
    <x v="135"/>
    <x v="59"/>
    <x v="0"/>
    <n v="10"/>
    <x v="6"/>
    <n v="4"/>
    <x v="8"/>
    <x v="1"/>
    <x v="2"/>
    <x v="1"/>
    <x v="2"/>
    <n v="1"/>
    <n v="619"/>
    <n v="619"/>
  </r>
  <r>
    <x v="135"/>
    <x v="180"/>
    <x v="0"/>
    <n v="9"/>
    <x v="10"/>
    <n v="3"/>
    <x v="8"/>
    <x v="1"/>
    <x v="2"/>
    <x v="1"/>
    <x v="2"/>
    <n v="1"/>
    <n v="619"/>
    <n v="619"/>
  </r>
  <r>
    <x v="135"/>
    <x v="59"/>
    <x v="0"/>
    <n v="10"/>
    <x v="6"/>
    <n v="4"/>
    <x v="8"/>
    <x v="1"/>
    <x v="2"/>
    <x v="1"/>
    <x v="2"/>
    <n v="1"/>
    <n v="619"/>
    <n v="619"/>
  </r>
  <r>
    <x v="136"/>
    <x v="317"/>
    <x v="1"/>
    <n v="1"/>
    <x v="3"/>
    <n v="1"/>
    <x v="0"/>
    <x v="0"/>
    <x v="1"/>
    <x v="0"/>
    <x v="2"/>
    <n v="1"/>
    <n v="58661"/>
    <n v="58661"/>
  </r>
  <r>
    <x v="137"/>
    <x v="318"/>
    <x v="1"/>
    <n v="5"/>
    <x v="8"/>
    <n v="2"/>
    <x v="1"/>
    <x v="0"/>
    <x v="2"/>
    <x v="1"/>
    <x v="2"/>
    <n v="3"/>
    <n v="3441"/>
    <n v="10323"/>
  </r>
  <r>
    <x v="137"/>
    <x v="319"/>
    <x v="1"/>
    <n v="12"/>
    <x v="7"/>
    <n v="4"/>
    <x v="1"/>
    <x v="0"/>
    <x v="2"/>
    <x v="1"/>
    <x v="2"/>
    <n v="3"/>
    <n v="3441"/>
    <n v="10323"/>
  </r>
  <r>
    <x v="137"/>
    <x v="320"/>
    <x v="1"/>
    <n v="6"/>
    <x v="1"/>
    <n v="2"/>
    <x v="1"/>
    <x v="0"/>
    <x v="2"/>
    <x v="1"/>
    <x v="2"/>
    <n v="3"/>
    <n v="3441"/>
    <n v="10323"/>
  </r>
  <r>
    <x v="137"/>
    <x v="321"/>
    <x v="2"/>
    <n v="7"/>
    <x v="9"/>
    <n v="3"/>
    <x v="1"/>
    <x v="0"/>
    <x v="2"/>
    <x v="1"/>
    <x v="2"/>
    <n v="3"/>
    <n v="3441"/>
    <n v="10323"/>
  </r>
  <r>
    <x v="138"/>
    <x v="322"/>
    <x v="0"/>
    <n v="5"/>
    <x v="8"/>
    <n v="2"/>
    <x v="9"/>
    <x v="3"/>
    <x v="1"/>
    <x v="1"/>
    <x v="0"/>
    <n v="2"/>
    <n v="4503"/>
    <n v="9006"/>
  </r>
  <r>
    <x v="138"/>
    <x v="171"/>
    <x v="2"/>
    <n v="12"/>
    <x v="7"/>
    <n v="4"/>
    <x v="9"/>
    <x v="3"/>
    <x v="1"/>
    <x v="1"/>
    <x v="0"/>
    <n v="2"/>
    <n v="4503"/>
    <n v="9006"/>
  </r>
  <r>
    <x v="138"/>
    <x v="323"/>
    <x v="0"/>
    <n v="5"/>
    <x v="8"/>
    <n v="2"/>
    <x v="9"/>
    <x v="3"/>
    <x v="1"/>
    <x v="1"/>
    <x v="0"/>
    <n v="2"/>
    <n v="4503"/>
    <n v="9006"/>
  </r>
  <r>
    <x v="138"/>
    <x v="324"/>
    <x v="2"/>
    <n v="4"/>
    <x v="4"/>
    <n v="2"/>
    <x v="9"/>
    <x v="3"/>
    <x v="1"/>
    <x v="1"/>
    <x v="0"/>
    <n v="2"/>
    <n v="4503"/>
    <n v="9006"/>
  </r>
  <r>
    <x v="139"/>
    <x v="325"/>
    <x v="0"/>
    <n v="2"/>
    <x v="11"/>
    <n v="1"/>
    <x v="2"/>
    <x v="1"/>
    <x v="0"/>
    <x v="2"/>
    <x v="1"/>
    <n v="5"/>
    <n v="10835"/>
    <n v="54175"/>
  </r>
  <r>
    <x v="140"/>
    <x v="326"/>
    <x v="0"/>
    <n v="10"/>
    <x v="6"/>
    <n v="4"/>
    <x v="3"/>
    <x v="1"/>
    <x v="2"/>
    <x v="2"/>
    <x v="1"/>
    <n v="2"/>
    <n v="334"/>
    <n v="668"/>
  </r>
  <r>
    <x v="140"/>
    <x v="166"/>
    <x v="2"/>
    <n v="10"/>
    <x v="6"/>
    <n v="4"/>
    <x v="3"/>
    <x v="1"/>
    <x v="2"/>
    <x v="2"/>
    <x v="1"/>
    <n v="2"/>
    <n v="334"/>
    <n v="668"/>
  </r>
  <r>
    <x v="140"/>
    <x v="226"/>
    <x v="0"/>
    <n v="12"/>
    <x v="7"/>
    <n v="4"/>
    <x v="3"/>
    <x v="1"/>
    <x v="2"/>
    <x v="2"/>
    <x v="1"/>
    <n v="2"/>
    <n v="334"/>
    <n v="668"/>
  </r>
  <r>
    <x v="141"/>
    <x v="192"/>
    <x v="0"/>
    <n v="6"/>
    <x v="1"/>
    <n v="2"/>
    <x v="4"/>
    <x v="0"/>
    <x v="1"/>
    <x v="0"/>
    <x v="2"/>
    <n v="2"/>
    <n v="14992"/>
    <n v="29984"/>
  </r>
  <r>
    <x v="141"/>
    <x v="327"/>
    <x v="0"/>
    <n v="4"/>
    <x v="4"/>
    <n v="2"/>
    <x v="4"/>
    <x v="0"/>
    <x v="1"/>
    <x v="0"/>
    <x v="2"/>
    <n v="2"/>
    <n v="14992"/>
    <n v="29984"/>
  </r>
  <r>
    <x v="142"/>
    <x v="328"/>
    <x v="0"/>
    <n v="5"/>
    <x v="8"/>
    <n v="2"/>
    <x v="5"/>
    <x v="2"/>
    <x v="1"/>
    <x v="1"/>
    <x v="0"/>
    <n v="3"/>
    <n v="385"/>
    <n v="1155"/>
  </r>
  <r>
    <x v="142"/>
    <x v="329"/>
    <x v="1"/>
    <n v="4"/>
    <x v="4"/>
    <n v="2"/>
    <x v="5"/>
    <x v="2"/>
    <x v="1"/>
    <x v="1"/>
    <x v="0"/>
    <n v="3"/>
    <n v="385"/>
    <n v="1155"/>
  </r>
  <r>
    <x v="142"/>
    <x v="330"/>
    <x v="2"/>
    <n v="9"/>
    <x v="10"/>
    <n v="3"/>
    <x v="5"/>
    <x v="2"/>
    <x v="1"/>
    <x v="1"/>
    <x v="0"/>
    <n v="3"/>
    <n v="385"/>
    <n v="1155"/>
  </r>
  <r>
    <x v="142"/>
    <x v="331"/>
    <x v="1"/>
    <n v="10"/>
    <x v="6"/>
    <n v="4"/>
    <x v="5"/>
    <x v="2"/>
    <x v="1"/>
    <x v="1"/>
    <x v="0"/>
    <n v="3"/>
    <n v="385"/>
    <n v="1155"/>
  </r>
  <r>
    <x v="142"/>
    <x v="332"/>
    <x v="1"/>
    <n v="1"/>
    <x v="3"/>
    <n v="1"/>
    <x v="5"/>
    <x v="2"/>
    <x v="1"/>
    <x v="1"/>
    <x v="0"/>
    <n v="3"/>
    <n v="385"/>
    <n v="1155"/>
  </r>
  <r>
    <x v="143"/>
    <x v="333"/>
    <x v="0"/>
    <n v="12"/>
    <x v="7"/>
    <n v="4"/>
    <x v="6"/>
    <x v="3"/>
    <x v="5"/>
    <x v="2"/>
    <x v="1"/>
    <n v="1"/>
    <n v="1196"/>
    <n v="1196"/>
  </r>
  <r>
    <x v="144"/>
    <x v="334"/>
    <x v="2"/>
    <n v="9"/>
    <x v="10"/>
    <n v="3"/>
    <x v="7"/>
    <x v="0"/>
    <x v="4"/>
    <x v="2"/>
    <x v="0"/>
    <n v="2"/>
    <n v="4766"/>
    <n v="9532"/>
  </r>
  <r>
    <x v="144"/>
    <x v="335"/>
    <x v="0"/>
    <n v="9"/>
    <x v="10"/>
    <n v="3"/>
    <x v="7"/>
    <x v="0"/>
    <x v="4"/>
    <x v="2"/>
    <x v="0"/>
    <n v="2"/>
    <n v="4766"/>
    <n v="9532"/>
  </r>
  <r>
    <x v="145"/>
    <x v="336"/>
    <x v="1"/>
    <n v="3"/>
    <x v="5"/>
    <n v="1"/>
    <x v="8"/>
    <x v="1"/>
    <x v="0"/>
    <x v="0"/>
    <x v="2"/>
    <n v="4"/>
    <n v="317"/>
    <n v="1268"/>
  </r>
  <r>
    <x v="145"/>
    <x v="337"/>
    <x v="0"/>
    <n v="5"/>
    <x v="8"/>
    <n v="2"/>
    <x v="8"/>
    <x v="1"/>
    <x v="0"/>
    <x v="0"/>
    <x v="2"/>
    <n v="4"/>
    <n v="317"/>
    <n v="1268"/>
  </r>
  <r>
    <x v="145"/>
    <x v="238"/>
    <x v="1"/>
    <n v="5"/>
    <x v="8"/>
    <n v="2"/>
    <x v="8"/>
    <x v="1"/>
    <x v="0"/>
    <x v="0"/>
    <x v="2"/>
    <n v="4"/>
    <n v="317"/>
    <n v="1268"/>
  </r>
  <r>
    <x v="145"/>
    <x v="86"/>
    <x v="0"/>
    <n v="7"/>
    <x v="9"/>
    <n v="3"/>
    <x v="8"/>
    <x v="1"/>
    <x v="0"/>
    <x v="0"/>
    <x v="2"/>
    <n v="4"/>
    <n v="317"/>
    <n v="1268"/>
  </r>
  <r>
    <x v="145"/>
    <x v="338"/>
    <x v="0"/>
    <n v="2"/>
    <x v="11"/>
    <n v="1"/>
    <x v="8"/>
    <x v="1"/>
    <x v="0"/>
    <x v="0"/>
    <x v="2"/>
    <n v="4"/>
    <n v="317"/>
    <n v="1268"/>
  </r>
  <r>
    <x v="145"/>
    <x v="339"/>
    <x v="1"/>
    <n v="12"/>
    <x v="7"/>
    <n v="4"/>
    <x v="8"/>
    <x v="1"/>
    <x v="0"/>
    <x v="0"/>
    <x v="2"/>
    <n v="4"/>
    <n v="317"/>
    <n v="1268"/>
  </r>
  <r>
    <x v="146"/>
    <x v="340"/>
    <x v="0"/>
    <n v="4"/>
    <x v="4"/>
    <n v="2"/>
    <x v="0"/>
    <x v="0"/>
    <x v="1"/>
    <x v="2"/>
    <x v="1"/>
    <n v="2"/>
    <n v="59735"/>
    <n v="119470"/>
  </r>
  <r>
    <x v="146"/>
    <x v="341"/>
    <x v="0"/>
    <n v="11"/>
    <x v="2"/>
    <n v="4"/>
    <x v="0"/>
    <x v="0"/>
    <x v="1"/>
    <x v="2"/>
    <x v="1"/>
    <n v="2"/>
    <n v="59735"/>
    <n v="119470"/>
  </r>
  <r>
    <x v="146"/>
    <x v="342"/>
    <x v="0"/>
    <n v="11"/>
    <x v="2"/>
    <n v="4"/>
    <x v="0"/>
    <x v="0"/>
    <x v="1"/>
    <x v="2"/>
    <x v="1"/>
    <n v="2"/>
    <n v="59735"/>
    <n v="119470"/>
  </r>
  <r>
    <x v="146"/>
    <x v="343"/>
    <x v="1"/>
    <n v="11"/>
    <x v="2"/>
    <n v="4"/>
    <x v="0"/>
    <x v="0"/>
    <x v="1"/>
    <x v="2"/>
    <x v="1"/>
    <n v="2"/>
    <n v="59735"/>
    <n v="119470"/>
  </r>
  <r>
    <x v="147"/>
    <x v="344"/>
    <x v="2"/>
    <n v="7"/>
    <x v="9"/>
    <n v="3"/>
    <x v="1"/>
    <x v="0"/>
    <x v="2"/>
    <x v="1"/>
    <x v="1"/>
    <n v="2"/>
    <n v="3950"/>
    <n v="7900"/>
  </r>
  <r>
    <x v="147"/>
    <x v="25"/>
    <x v="1"/>
    <n v="7"/>
    <x v="9"/>
    <n v="3"/>
    <x v="1"/>
    <x v="0"/>
    <x v="2"/>
    <x v="1"/>
    <x v="1"/>
    <n v="2"/>
    <n v="3950"/>
    <n v="7900"/>
  </r>
  <r>
    <x v="147"/>
    <x v="345"/>
    <x v="2"/>
    <n v="8"/>
    <x v="0"/>
    <n v="3"/>
    <x v="1"/>
    <x v="0"/>
    <x v="2"/>
    <x v="1"/>
    <x v="1"/>
    <n v="2"/>
    <n v="3950"/>
    <n v="7900"/>
  </r>
  <r>
    <x v="147"/>
    <x v="346"/>
    <x v="1"/>
    <n v="5"/>
    <x v="8"/>
    <n v="2"/>
    <x v="1"/>
    <x v="0"/>
    <x v="2"/>
    <x v="1"/>
    <x v="1"/>
    <n v="2"/>
    <n v="3950"/>
    <n v="7900"/>
  </r>
  <r>
    <x v="148"/>
    <x v="347"/>
    <x v="0"/>
    <n v="12"/>
    <x v="7"/>
    <n v="4"/>
    <x v="9"/>
    <x v="3"/>
    <x v="0"/>
    <x v="1"/>
    <x v="1"/>
    <n v="2"/>
    <n v="3263"/>
    <n v="6526"/>
  </r>
  <r>
    <x v="149"/>
    <x v="348"/>
    <x v="0"/>
    <n v="8"/>
    <x v="0"/>
    <n v="3"/>
    <x v="2"/>
    <x v="1"/>
    <x v="1"/>
    <x v="1"/>
    <x v="2"/>
    <n v="4"/>
    <n v="8514"/>
    <n v="34056"/>
  </r>
  <r>
    <x v="149"/>
    <x v="349"/>
    <x v="0"/>
    <n v="6"/>
    <x v="1"/>
    <n v="2"/>
    <x v="2"/>
    <x v="1"/>
    <x v="1"/>
    <x v="1"/>
    <x v="2"/>
    <n v="4"/>
    <n v="8514"/>
    <n v="34056"/>
  </r>
  <r>
    <x v="149"/>
    <x v="350"/>
    <x v="0"/>
    <n v="5"/>
    <x v="8"/>
    <n v="2"/>
    <x v="2"/>
    <x v="1"/>
    <x v="1"/>
    <x v="1"/>
    <x v="2"/>
    <n v="4"/>
    <n v="8514"/>
    <n v="34056"/>
  </r>
  <r>
    <x v="149"/>
    <x v="260"/>
    <x v="0"/>
    <n v="3"/>
    <x v="5"/>
    <n v="1"/>
    <x v="2"/>
    <x v="1"/>
    <x v="1"/>
    <x v="1"/>
    <x v="2"/>
    <n v="4"/>
    <n v="8514"/>
    <n v="34056"/>
  </r>
  <r>
    <x v="150"/>
    <x v="347"/>
    <x v="0"/>
    <n v="12"/>
    <x v="7"/>
    <n v="4"/>
    <x v="3"/>
    <x v="1"/>
    <x v="4"/>
    <x v="0"/>
    <x v="2"/>
    <n v="2"/>
    <n v="172"/>
    <n v="344"/>
  </r>
  <r>
    <x v="150"/>
    <x v="268"/>
    <x v="1"/>
    <n v="5"/>
    <x v="8"/>
    <n v="2"/>
    <x v="3"/>
    <x v="1"/>
    <x v="4"/>
    <x v="0"/>
    <x v="2"/>
    <n v="2"/>
    <n v="172"/>
    <n v="344"/>
  </r>
  <r>
    <x v="150"/>
    <x v="351"/>
    <x v="0"/>
    <n v="10"/>
    <x v="6"/>
    <n v="4"/>
    <x v="3"/>
    <x v="1"/>
    <x v="4"/>
    <x v="0"/>
    <x v="2"/>
    <n v="2"/>
    <n v="172"/>
    <n v="344"/>
  </r>
  <r>
    <x v="150"/>
    <x v="346"/>
    <x v="1"/>
    <n v="5"/>
    <x v="8"/>
    <n v="2"/>
    <x v="3"/>
    <x v="1"/>
    <x v="4"/>
    <x v="0"/>
    <x v="2"/>
    <n v="2"/>
    <n v="172"/>
    <n v="344"/>
  </r>
  <r>
    <x v="151"/>
    <x v="42"/>
    <x v="0"/>
    <n v="6"/>
    <x v="1"/>
    <n v="2"/>
    <x v="4"/>
    <x v="0"/>
    <x v="4"/>
    <x v="1"/>
    <x v="1"/>
    <n v="1"/>
    <n v="21077"/>
    <n v="21077"/>
  </r>
  <r>
    <x v="151"/>
    <x v="352"/>
    <x v="2"/>
    <n v="9"/>
    <x v="10"/>
    <n v="3"/>
    <x v="4"/>
    <x v="0"/>
    <x v="4"/>
    <x v="1"/>
    <x v="1"/>
    <n v="1"/>
    <n v="21077"/>
    <n v="21077"/>
  </r>
  <r>
    <x v="151"/>
    <x v="305"/>
    <x v="1"/>
    <n v="1"/>
    <x v="3"/>
    <n v="1"/>
    <x v="4"/>
    <x v="0"/>
    <x v="4"/>
    <x v="1"/>
    <x v="1"/>
    <n v="1"/>
    <n v="21077"/>
    <n v="21077"/>
  </r>
  <r>
    <x v="152"/>
    <x v="239"/>
    <x v="2"/>
    <n v="8"/>
    <x v="0"/>
    <n v="3"/>
    <x v="5"/>
    <x v="2"/>
    <x v="4"/>
    <x v="2"/>
    <x v="2"/>
    <n v="5"/>
    <n v="747"/>
    <n v="3735"/>
  </r>
  <r>
    <x v="152"/>
    <x v="353"/>
    <x v="2"/>
    <n v="5"/>
    <x v="8"/>
    <n v="2"/>
    <x v="5"/>
    <x v="2"/>
    <x v="4"/>
    <x v="2"/>
    <x v="2"/>
    <n v="5"/>
    <n v="747"/>
    <n v="3735"/>
  </r>
  <r>
    <x v="152"/>
    <x v="83"/>
    <x v="2"/>
    <n v="1"/>
    <x v="3"/>
    <n v="1"/>
    <x v="5"/>
    <x v="2"/>
    <x v="4"/>
    <x v="2"/>
    <x v="2"/>
    <n v="5"/>
    <n v="747"/>
    <n v="3735"/>
  </r>
  <r>
    <x v="152"/>
    <x v="354"/>
    <x v="2"/>
    <n v="6"/>
    <x v="1"/>
    <n v="2"/>
    <x v="5"/>
    <x v="2"/>
    <x v="4"/>
    <x v="2"/>
    <x v="2"/>
    <n v="5"/>
    <n v="747"/>
    <n v="3735"/>
  </r>
  <r>
    <x v="153"/>
    <x v="265"/>
    <x v="0"/>
    <n v="6"/>
    <x v="1"/>
    <n v="2"/>
    <x v="6"/>
    <x v="3"/>
    <x v="2"/>
    <x v="0"/>
    <x v="0"/>
    <n v="2"/>
    <n v="850"/>
    <n v="1700"/>
  </r>
  <r>
    <x v="153"/>
    <x v="93"/>
    <x v="0"/>
    <n v="2"/>
    <x v="11"/>
    <n v="1"/>
    <x v="6"/>
    <x v="3"/>
    <x v="2"/>
    <x v="0"/>
    <x v="0"/>
    <n v="2"/>
    <n v="850"/>
    <n v="1700"/>
  </r>
  <r>
    <x v="153"/>
    <x v="355"/>
    <x v="1"/>
    <n v="7"/>
    <x v="9"/>
    <n v="3"/>
    <x v="6"/>
    <x v="3"/>
    <x v="2"/>
    <x v="0"/>
    <x v="0"/>
    <n v="2"/>
    <n v="850"/>
    <n v="1700"/>
  </r>
  <r>
    <x v="153"/>
    <x v="68"/>
    <x v="1"/>
    <n v="5"/>
    <x v="8"/>
    <n v="2"/>
    <x v="6"/>
    <x v="3"/>
    <x v="2"/>
    <x v="0"/>
    <x v="0"/>
    <n v="2"/>
    <n v="850"/>
    <n v="1700"/>
  </r>
  <r>
    <x v="153"/>
    <x v="356"/>
    <x v="2"/>
    <n v="9"/>
    <x v="10"/>
    <n v="3"/>
    <x v="6"/>
    <x v="3"/>
    <x v="2"/>
    <x v="0"/>
    <x v="0"/>
    <n v="2"/>
    <n v="850"/>
    <n v="1700"/>
  </r>
  <r>
    <x v="153"/>
    <x v="325"/>
    <x v="0"/>
    <n v="2"/>
    <x v="11"/>
    <n v="1"/>
    <x v="6"/>
    <x v="3"/>
    <x v="2"/>
    <x v="0"/>
    <x v="0"/>
    <n v="2"/>
    <n v="850"/>
    <n v="1700"/>
  </r>
  <r>
    <x v="153"/>
    <x v="209"/>
    <x v="1"/>
    <n v="3"/>
    <x v="5"/>
    <n v="1"/>
    <x v="6"/>
    <x v="3"/>
    <x v="2"/>
    <x v="0"/>
    <x v="0"/>
    <n v="2"/>
    <n v="850"/>
    <n v="1700"/>
  </r>
  <r>
    <x v="154"/>
    <x v="100"/>
    <x v="2"/>
    <n v="8"/>
    <x v="0"/>
    <n v="3"/>
    <x v="7"/>
    <x v="0"/>
    <x v="0"/>
    <x v="0"/>
    <x v="0"/>
    <n v="2"/>
    <n v="13771"/>
    <n v="27542"/>
  </r>
  <r>
    <x v="154"/>
    <x v="357"/>
    <x v="2"/>
    <n v="6"/>
    <x v="1"/>
    <n v="2"/>
    <x v="7"/>
    <x v="0"/>
    <x v="0"/>
    <x v="0"/>
    <x v="0"/>
    <n v="2"/>
    <n v="13771"/>
    <n v="27542"/>
  </r>
  <r>
    <x v="154"/>
    <x v="358"/>
    <x v="0"/>
    <n v="7"/>
    <x v="9"/>
    <n v="3"/>
    <x v="7"/>
    <x v="0"/>
    <x v="0"/>
    <x v="0"/>
    <x v="0"/>
    <n v="2"/>
    <n v="13771"/>
    <n v="27542"/>
  </r>
  <r>
    <x v="154"/>
    <x v="359"/>
    <x v="0"/>
    <n v="10"/>
    <x v="6"/>
    <n v="4"/>
    <x v="7"/>
    <x v="0"/>
    <x v="0"/>
    <x v="0"/>
    <x v="0"/>
    <n v="2"/>
    <n v="13771"/>
    <n v="27542"/>
  </r>
  <r>
    <x v="155"/>
    <x v="360"/>
    <x v="1"/>
    <n v="5"/>
    <x v="8"/>
    <n v="2"/>
    <x v="8"/>
    <x v="1"/>
    <x v="4"/>
    <x v="1"/>
    <x v="1"/>
    <n v="4"/>
    <n v="258"/>
    <n v="1032"/>
  </r>
  <r>
    <x v="155"/>
    <x v="230"/>
    <x v="1"/>
    <n v="10"/>
    <x v="6"/>
    <n v="4"/>
    <x v="8"/>
    <x v="1"/>
    <x v="4"/>
    <x v="1"/>
    <x v="1"/>
    <n v="4"/>
    <n v="258"/>
    <n v="1032"/>
  </r>
  <r>
    <x v="155"/>
    <x v="361"/>
    <x v="2"/>
    <n v="11"/>
    <x v="2"/>
    <n v="4"/>
    <x v="8"/>
    <x v="1"/>
    <x v="4"/>
    <x v="1"/>
    <x v="1"/>
    <n v="4"/>
    <n v="258"/>
    <n v="1032"/>
  </r>
  <r>
    <x v="156"/>
    <x v="362"/>
    <x v="0"/>
    <n v="12"/>
    <x v="7"/>
    <n v="4"/>
    <x v="0"/>
    <x v="0"/>
    <x v="5"/>
    <x v="1"/>
    <x v="2"/>
    <n v="2"/>
    <n v="44856"/>
    <n v="89712"/>
  </r>
  <r>
    <x v="156"/>
    <x v="363"/>
    <x v="0"/>
    <n v="12"/>
    <x v="7"/>
    <n v="4"/>
    <x v="0"/>
    <x v="0"/>
    <x v="5"/>
    <x v="1"/>
    <x v="2"/>
    <n v="2"/>
    <n v="44856"/>
    <n v="89712"/>
  </r>
  <r>
    <x v="156"/>
    <x v="364"/>
    <x v="1"/>
    <n v="10"/>
    <x v="6"/>
    <n v="4"/>
    <x v="0"/>
    <x v="0"/>
    <x v="5"/>
    <x v="1"/>
    <x v="2"/>
    <n v="2"/>
    <n v="44856"/>
    <n v="89712"/>
  </r>
  <r>
    <x v="157"/>
    <x v="365"/>
    <x v="0"/>
    <n v="1"/>
    <x v="3"/>
    <n v="1"/>
    <x v="1"/>
    <x v="0"/>
    <x v="0"/>
    <x v="1"/>
    <x v="2"/>
    <n v="3"/>
    <n v="3161"/>
    <n v="9483"/>
  </r>
  <r>
    <x v="157"/>
    <x v="172"/>
    <x v="0"/>
    <n v="7"/>
    <x v="9"/>
    <n v="3"/>
    <x v="1"/>
    <x v="0"/>
    <x v="0"/>
    <x v="1"/>
    <x v="2"/>
    <n v="3"/>
    <n v="3161"/>
    <n v="9483"/>
  </r>
  <r>
    <x v="157"/>
    <x v="366"/>
    <x v="2"/>
    <n v="10"/>
    <x v="6"/>
    <n v="4"/>
    <x v="1"/>
    <x v="0"/>
    <x v="0"/>
    <x v="1"/>
    <x v="2"/>
    <n v="3"/>
    <n v="3161"/>
    <n v="9483"/>
  </r>
  <r>
    <x v="158"/>
    <x v="367"/>
    <x v="2"/>
    <n v="11"/>
    <x v="2"/>
    <n v="4"/>
    <x v="9"/>
    <x v="3"/>
    <x v="0"/>
    <x v="2"/>
    <x v="2"/>
    <n v="1"/>
    <n v="4464"/>
    <n v="4464"/>
  </r>
  <r>
    <x v="158"/>
    <x v="368"/>
    <x v="0"/>
    <n v="3"/>
    <x v="5"/>
    <n v="1"/>
    <x v="9"/>
    <x v="3"/>
    <x v="0"/>
    <x v="2"/>
    <x v="2"/>
    <n v="1"/>
    <n v="4464"/>
    <n v="4464"/>
  </r>
  <r>
    <x v="158"/>
    <x v="369"/>
    <x v="0"/>
    <n v="11"/>
    <x v="2"/>
    <n v="4"/>
    <x v="9"/>
    <x v="3"/>
    <x v="0"/>
    <x v="2"/>
    <x v="2"/>
    <n v="1"/>
    <n v="4464"/>
    <n v="4464"/>
  </r>
  <r>
    <x v="158"/>
    <x v="370"/>
    <x v="2"/>
    <n v="5"/>
    <x v="8"/>
    <n v="2"/>
    <x v="9"/>
    <x v="3"/>
    <x v="0"/>
    <x v="2"/>
    <x v="2"/>
    <n v="1"/>
    <n v="4464"/>
    <n v="4464"/>
  </r>
  <r>
    <x v="159"/>
    <x v="371"/>
    <x v="1"/>
    <n v="10"/>
    <x v="6"/>
    <n v="4"/>
    <x v="2"/>
    <x v="1"/>
    <x v="1"/>
    <x v="2"/>
    <x v="2"/>
    <n v="1"/>
    <n v="4758"/>
    <n v="4758"/>
  </r>
  <r>
    <x v="159"/>
    <x v="207"/>
    <x v="0"/>
    <n v="6"/>
    <x v="1"/>
    <n v="2"/>
    <x v="2"/>
    <x v="1"/>
    <x v="1"/>
    <x v="2"/>
    <x v="2"/>
    <n v="1"/>
    <n v="4758"/>
    <n v="4758"/>
  </r>
  <r>
    <x v="159"/>
    <x v="372"/>
    <x v="0"/>
    <n v="4"/>
    <x v="4"/>
    <n v="2"/>
    <x v="2"/>
    <x v="1"/>
    <x v="1"/>
    <x v="2"/>
    <x v="2"/>
    <n v="1"/>
    <n v="4758"/>
    <n v="4758"/>
  </r>
  <r>
    <x v="159"/>
    <x v="316"/>
    <x v="1"/>
    <n v="1"/>
    <x v="3"/>
    <n v="1"/>
    <x v="2"/>
    <x v="1"/>
    <x v="1"/>
    <x v="2"/>
    <x v="2"/>
    <n v="1"/>
    <n v="4758"/>
    <n v="4758"/>
  </r>
  <r>
    <x v="159"/>
    <x v="373"/>
    <x v="0"/>
    <n v="5"/>
    <x v="8"/>
    <n v="2"/>
    <x v="2"/>
    <x v="1"/>
    <x v="1"/>
    <x v="2"/>
    <x v="2"/>
    <n v="1"/>
    <n v="4758"/>
    <n v="4758"/>
  </r>
  <r>
    <x v="160"/>
    <x v="301"/>
    <x v="2"/>
    <n v="5"/>
    <x v="8"/>
    <n v="2"/>
    <x v="3"/>
    <x v="1"/>
    <x v="0"/>
    <x v="2"/>
    <x v="1"/>
    <n v="4"/>
    <n v="490"/>
    <n v="1960"/>
  </r>
  <r>
    <x v="160"/>
    <x v="16"/>
    <x v="1"/>
    <n v="12"/>
    <x v="7"/>
    <n v="4"/>
    <x v="3"/>
    <x v="1"/>
    <x v="0"/>
    <x v="2"/>
    <x v="1"/>
    <n v="4"/>
    <n v="490"/>
    <n v="1960"/>
  </r>
  <r>
    <x v="160"/>
    <x v="374"/>
    <x v="2"/>
    <n v="1"/>
    <x v="3"/>
    <n v="1"/>
    <x v="3"/>
    <x v="1"/>
    <x v="0"/>
    <x v="2"/>
    <x v="1"/>
    <n v="4"/>
    <n v="490"/>
    <n v="1960"/>
  </r>
  <r>
    <x v="160"/>
    <x v="141"/>
    <x v="1"/>
    <n v="6"/>
    <x v="1"/>
    <n v="2"/>
    <x v="3"/>
    <x v="1"/>
    <x v="0"/>
    <x v="2"/>
    <x v="1"/>
    <n v="4"/>
    <n v="490"/>
    <n v="1960"/>
  </r>
  <r>
    <x v="160"/>
    <x v="375"/>
    <x v="1"/>
    <n v="12"/>
    <x v="7"/>
    <n v="4"/>
    <x v="3"/>
    <x v="1"/>
    <x v="0"/>
    <x v="2"/>
    <x v="1"/>
    <n v="4"/>
    <n v="490"/>
    <n v="1960"/>
  </r>
  <r>
    <x v="160"/>
    <x v="376"/>
    <x v="0"/>
    <n v="6"/>
    <x v="1"/>
    <n v="2"/>
    <x v="3"/>
    <x v="1"/>
    <x v="0"/>
    <x v="2"/>
    <x v="1"/>
    <n v="4"/>
    <n v="490"/>
    <n v="1960"/>
  </r>
  <r>
    <x v="160"/>
    <x v="377"/>
    <x v="2"/>
    <n v="4"/>
    <x v="4"/>
    <n v="2"/>
    <x v="3"/>
    <x v="1"/>
    <x v="0"/>
    <x v="2"/>
    <x v="1"/>
    <n v="4"/>
    <n v="490"/>
    <n v="1960"/>
  </r>
  <r>
    <x v="161"/>
    <x v="378"/>
    <x v="0"/>
    <n v="10"/>
    <x v="6"/>
    <n v="4"/>
    <x v="4"/>
    <x v="0"/>
    <x v="4"/>
    <x v="0"/>
    <x v="1"/>
    <n v="1"/>
    <n v="38739"/>
    <n v="38739"/>
  </r>
  <r>
    <x v="161"/>
    <x v="379"/>
    <x v="2"/>
    <n v="2"/>
    <x v="11"/>
    <n v="1"/>
    <x v="4"/>
    <x v="0"/>
    <x v="4"/>
    <x v="0"/>
    <x v="1"/>
    <n v="1"/>
    <n v="38739"/>
    <n v="38739"/>
  </r>
  <r>
    <x v="161"/>
    <x v="380"/>
    <x v="1"/>
    <n v="11"/>
    <x v="2"/>
    <n v="4"/>
    <x v="4"/>
    <x v="0"/>
    <x v="4"/>
    <x v="0"/>
    <x v="1"/>
    <n v="1"/>
    <n v="38739"/>
    <n v="38739"/>
  </r>
  <r>
    <x v="162"/>
    <x v="381"/>
    <x v="1"/>
    <n v="12"/>
    <x v="7"/>
    <n v="4"/>
    <x v="5"/>
    <x v="2"/>
    <x v="0"/>
    <x v="1"/>
    <x v="2"/>
    <n v="3"/>
    <n v="368"/>
    <n v="1104"/>
  </r>
  <r>
    <x v="162"/>
    <x v="382"/>
    <x v="0"/>
    <n v="1"/>
    <x v="3"/>
    <n v="1"/>
    <x v="5"/>
    <x v="2"/>
    <x v="0"/>
    <x v="1"/>
    <x v="2"/>
    <n v="3"/>
    <n v="368"/>
    <n v="1104"/>
  </r>
  <r>
    <x v="162"/>
    <x v="383"/>
    <x v="2"/>
    <n v="3"/>
    <x v="5"/>
    <n v="1"/>
    <x v="5"/>
    <x v="2"/>
    <x v="0"/>
    <x v="1"/>
    <x v="2"/>
    <n v="3"/>
    <n v="368"/>
    <n v="1104"/>
  </r>
  <r>
    <x v="163"/>
    <x v="384"/>
    <x v="1"/>
    <n v="1"/>
    <x v="3"/>
    <n v="1"/>
    <x v="6"/>
    <x v="3"/>
    <x v="2"/>
    <x v="1"/>
    <x v="0"/>
    <n v="1"/>
    <n v="1931"/>
    <n v="1931"/>
  </r>
  <r>
    <x v="164"/>
    <x v="202"/>
    <x v="1"/>
    <n v="6"/>
    <x v="1"/>
    <n v="2"/>
    <x v="7"/>
    <x v="0"/>
    <x v="5"/>
    <x v="1"/>
    <x v="1"/>
    <n v="2"/>
    <n v="14370"/>
    <n v="28740"/>
  </r>
  <r>
    <x v="164"/>
    <x v="385"/>
    <x v="0"/>
    <n v="7"/>
    <x v="9"/>
    <n v="3"/>
    <x v="7"/>
    <x v="0"/>
    <x v="5"/>
    <x v="1"/>
    <x v="1"/>
    <n v="2"/>
    <n v="14370"/>
    <n v="28740"/>
  </r>
  <r>
    <x v="164"/>
    <x v="139"/>
    <x v="1"/>
    <n v="6"/>
    <x v="1"/>
    <n v="2"/>
    <x v="7"/>
    <x v="0"/>
    <x v="5"/>
    <x v="1"/>
    <x v="1"/>
    <n v="2"/>
    <n v="14370"/>
    <n v="28740"/>
  </r>
  <r>
    <x v="164"/>
    <x v="386"/>
    <x v="0"/>
    <n v="10"/>
    <x v="6"/>
    <n v="4"/>
    <x v="7"/>
    <x v="0"/>
    <x v="5"/>
    <x v="1"/>
    <x v="1"/>
    <n v="2"/>
    <n v="14370"/>
    <n v="28740"/>
  </r>
  <r>
    <x v="164"/>
    <x v="213"/>
    <x v="1"/>
    <n v="9"/>
    <x v="10"/>
    <n v="3"/>
    <x v="7"/>
    <x v="0"/>
    <x v="5"/>
    <x v="1"/>
    <x v="1"/>
    <n v="2"/>
    <n v="14370"/>
    <n v="28740"/>
  </r>
  <r>
    <x v="165"/>
    <x v="387"/>
    <x v="0"/>
    <n v="8"/>
    <x v="0"/>
    <n v="3"/>
    <x v="8"/>
    <x v="1"/>
    <x v="0"/>
    <x v="2"/>
    <x v="2"/>
    <n v="2"/>
    <n v="780"/>
    <n v="1560"/>
  </r>
  <r>
    <x v="165"/>
    <x v="388"/>
    <x v="0"/>
    <n v="11"/>
    <x v="2"/>
    <n v="4"/>
    <x v="8"/>
    <x v="1"/>
    <x v="0"/>
    <x v="2"/>
    <x v="2"/>
    <n v="2"/>
    <n v="780"/>
    <n v="1560"/>
  </r>
  <r>
    <x v="165"/>
    <x v="389"/>
    <x v="2"/>
    <n v="12"/>
    <x v="7"/>
    <n v="4"/>
    <x v="8"/>
    <x v="1"/>
    <x v="0"/>
    <x v="2"/>
    <x v="2"/>
    <n v="2"/>
    <n v="780"/>
    <n v="1560"/>
  </r>
  <r>
    <x v="166"/>
    <x v="390"/>
    <x v="1"/>
    <n v="2"/>
    <x v="11"/>
    <n v="1"/>
    <x v="0"/>
    <x v="0"/>
    <x v="4"/>
    <x v="0"/>
    <x v="1"/>
    <n v="2"/>
    <n v="54865"/>
    <n v="109730"/>
  </r>
  <r>
    <x v="167"/>
    <x v="391"/>
    <x v="2"/>
    <n v="12"/>
    <x v="7"/>
    <n v="4"/>
    <x v="1"/>
    <x v="0"/>
    <x v="3"/>
    <x v="0"/>
    <x v="1"/>
    <n v="2"/>
    <n v="4481"/>
    <n v="8962"/>
  </r>
  <r>
    <x v="167"/>
    <x v="392"/>
    <x v="2"/>
    <n v="10"/>
    <x v="6"/>
    <n v="4"/>
    <x v="1"/>
    <x v="0"/>
    <x v="3"/>
    <x v="0"/>
    <x v="1"/>
    <n v="2"/>
    <n v="4481"/>
    <n v="8962"/>
  </r>
  <r>
    <x v="168"/>
    <x v="393"/>
    <x v="0"/>
    <n v="4"/>
    <x v="4"/>
    <n v="2"/>
    <x v="9"/>
    <x v="3"/>
    <x v="2"/>
    <x v="0"/>
    <x v="0"/>
    <n v="2"/>
    <n v="1972"/>
    <n v="3944"/>
  </r>
  <r>
    <x v="168"/>
    <x v="394"/>
    <x v="1"/>
    <n v="3"/>
    <x v="5"/>
    <n v="1"/>
    <x v="9"/>
    <x v="3"/>
    <x v="2"/>
    <x v="0"/>
    <x v="0"/>
    <n v="2"/>
    <n v="1972"/>
    <n v="3944"/>
  </r>
  <r>
    <x v="168"/>
    <x v="395"/>
    <x v="0"/>
    <n v="9"/>
    <x v="10"/>
    <n v="3"/>
    <x v="9"/>
    <x v="3"/>
    <x v="2"/>
    <x v="0"/>
    <x v="0"/>
    <n v="2"/>
    <n v="1972"/>
    <n v="3944"/>
  </r>
  <r>
    <x v="168"/>
    <x v="396"/>
    <x v="1"/>
    <n v="8"/>
    <x v="0"/>
    <n v="3"/>
    <x v="9"/>
    <x v="3"/>
    <x v="2"/>
    <x v="0"/>
    <x v="0"/>
    <n v="2"/>
    <n v="1972"/>
    <n v="3944"/>
  </r>
  <r>
    <x v="169"/>
    <x v="397"/>
    <x v="2"/>
    <n v="4"/>
    <x v="4"/>
    <n v="2"/>
    <x v="2"/>
    <x v="1"/>
    <x v="4"/>
    <x v="0"/>
    <x v="0"/>
    <n v="1"/>
    <n v="9837"/>
    <n v="9837"/>
  </r>
  <r>
    <x v="169"/>
    <x v="170"/>
    <x v="1"/>
    <n v="4"/>
    <x v="4"/>
    <n v="2"/>
    <x v="2"/>
    <x v="1"/>
    <x v="4"/>
    <x v="0"/>
    <x v="0"/>
    <n v="1"/>
    <n v="9837"/>
    <n v="9837"/>
  </r>
  <r>
    <x v="169"/>
    <x v="398"/>
    <x v="1"/>
    <n v="3"/>
    <x v="5"/>
    <n v="1"/>
    <x v="2"/>
    <x v="1"/>
    <x v="4"/>
    <x v="0"/>
    <x v="0"/>
    <n v="1"/>
    <n v="9837"/>
    <n v="9837"/>
  </r>
  <r>
    <x v="170"/>
    <x v="399"/>
    <x v="1"/>
    <n v="9"/>
    <x v="10"/>
    <n v="3"/>
    <x v="3"/>
    <x v="1"/>
    <x v="0"/>
    <x v="1"/>
    <x v="0"/>
    <n v="5"/>
    <n v="857"/>
    <n v="4285"/>
  </r>
  <r>
    <x v="171"/>
    <x v="350"/>
    <x v="0"/>
    <n v="5"/>
    <x v="8"/>
    <n v="2"/>
    <x v="4"/>
    <x v="0"/>
    <x v="0"/>
    <x v="0"/>
    <x v="0"/>
    <n v="1"/>
    <n v="20323"/>
    <n v="20323"/>
  </r>
  <r>
    <x v="171"/>
    <x v="400"/>
    <x v="1"/>
    <n v="6"/>
    <x v="1"/>
    <n v="2"/>
    <x v="4"/>
    <x v="0"/>
    <x v="0"/>
    <x v="0"/>
    <x v="0"/>
    <n v="1"/>
    <n v="20323"/>
    <n v="20323"/>
  </r>
  <r>
    <x v="171"/>
    <x v="401"/>
    <x v="0"/>
    <n v="1"/>
    <x v="3"/>
    <n v="1"/>
    <x v="4"/>
    <x v="0"/>
    <x v="0"/>
    <x v="0"/>
    <x v="0"/>
    <n v="1"/>
    <n v="20323"/>
    <n v="20323"/>
  </r>
  <r>
    <x v="172"/>
    <x v="402"/>
    <x v="2"/>
    <n v="2"/>
    <x v="11"/>
    <n v="1"/>
    <x v="5"/>
    <x v="2"/>
    <x v="4"/>
    <x v="1"/>
    <x v="2"/>
    <n v="5"/>
    <n v="1000"/>
    <n v="5000"/>
  </r>
  <r>
    <x v="172"/>
    <x v="403"/>
    <x v="2"/>
    <n v="2"/>
    <x v="11"/>
    <n v="1"/>
    <x v="5"/>
    <x v="2"/>
    <x v="4"/>
    <x v="1"/>
    <x v="2"/>
    <n v="5"/>
    <n v="1000"/>
    <n v="5000"/>
  </r>
  <r>
    <x v="172"/>
    <x v="404"/>
    <x v="0"/>
    <n v="9"/>
    <x v="10"/>
    <n v="3"/>
    <x v="5"/>
    <x v="2"/>
    <x v="4"/>
    <x v="1"/>
    <x v="2"/>
    <n v="5"/>
    <n v="1000"/>
    <n v="5000"/>
  </r>
  <r>
    <x v="173"/>
    <x v="405"/>
    <x v="2"/>
    <n v="12"/>
    <x v="7"/>
    <n v="4"/>
    <x v="6"/>
    <x v="3"/>
    <x v="0"/>
    <x v="2"/>
    <x v="2"/>
    <n v="5"/>
    <n v="1359"/>
    <n v="6795"/>
  </r>
  <r>
    <x v="173"/>
    <x v="240"/>
    <x v="1"/>
    <n v="2"/>
    <x v="11"/>
    <n v="1"/>
    <x v="6"/>
    <x v="3"/>
    <x v="0"/>
    <x v="2"/>
    <x v="2"/>
    <n v="5"/>
    <n v="1359"/>
    <n v="6795"/>
  </r>
  <r>
    <x v="174"/>
    <x v="406"/>
    <x v="0"/>
    <n v="12"/>
    <x v="7"/>
    <n v="4"/>
    <x v="7"/>
    <x v="0"/>
    <x v="2"/>
    <x v="2"/>
    <x v="0"/>
    <n v="1"/>
    <n v="14026"/>
    <n v="14026"/>
  </r>
  <r>
    <x v="175"/>
    <x v="216"/>
    <x v="1"/>
    <n v="6"/>
    <x v="1"/>
    <n v="2"/>
    <x v="8"/>
    <x v="1"/>
    <x v="4"/>
    <x v="1"/>
    <x v="1"/>
    <n v="2"/>
    <n v="685"/>
    <n v="1370"/>
  </r>
  <r>
    <x v="175"/>
    <x v="407"/>
    <x v="2"/>
    <n v="4"/>
    <x v="4"/>
    <n v="2"/>
    <x v="8"/>
    <x v="1"/>
    <x v="4"/>
    <x v="1"/>
    <x v="1"/>
    <n v="2"/>
    <n v="685"/>
    <n v="1370"/>
  </r>
  <r>
    <x v="175"/>
    <x v="408"/>
    <x v="0"/>
    <n v="10"/>
    <x v="6"/>
    <n v="4"/>
    <x v="8"/>
    <x v="1"/>
    <x v="4"/>
    <x v="1"/>
    <x v="1"/>
    <n v="2"/>
    <n v="685"/>
    <n v="1370"/>
  </r>
  <r>
    <x v="176"/>
    <x v="76"/>
    <x v="2"/>
    <n v="10"/>
    <x v="6"/>
    <n v="4"/>
    <x v="0"/>
    <x v="0"/>
    <x v="1"/>
    <x v="2"/>
    <x v="1"/>
    <n v="1"/>
    <n v="54311"/>
    <n v="54311"/>
  </r>
  <r>
    <x v="176"/>
    <x v="102"/>
    <x v="2"/>
    <n v="12"/>
    <x v="7"/>
    <n v="4"/>
    <x v="0"/>
    <x v="0"/>
    <x v="1"/>
    <x v="2"/>
    <x v="1"/>
    <n v="1"/>
    <n v="54311"/>
    <n v="54311"/>
  </r>
  <r>
    <x v="176"/>
    <x v="409"/>
    <x v="0"/>
    <n v="9"/>
    <x v="10"/>
    <n v="3"/>
    <x v="0"/>
    <x v="0"/>
    <x v="1"/>
    <x v="2"/>
    <x v="1"/>
    <n v="1"/>
    <n v="54311"/>
    <n v="54311"/>
  </r>
  <r>
    <x v="176"/>
    <x v="410"/>
    <x v="1"/>
    <n v="8"/>
    <x v="0"/>
    <n v="3"/>
    <x v="0"/>
    <x v="0"/>
    <x v="1"/>
    <x v="2"/>
    <x v="1"/>
    <n v="1"/>
    <n v="54311"/>
    <n v="54311"/>
  </r>
  <r>
    <x v="177"/>
    <x v="141"/>
    <x v="1"/>
    <n v="6"/>
    <x v="1"/>
    <n v="2"/>
    <x v="1"/>
    <x v="0"/>
    <x v="2"/>
    <x v="0"/>
    <x v="0"/>
    <n v="2"/>
    <n v="1713"/>
    <n v="3426"/>
  </r>
  <r>
    <x v="177"/>
    <x v="172"/>
    <x v="0"/>
    <n v="7"/>
    <x v="9"/>
    <n v="3"/>
    <x v="1"/>
    <x v="0"/>
    <x v="2"/>
    <x v="0"/>
    <x v="0"/>
    <n v="2"/>
    <n v="1713"/>
    <n v="3426"/>
  </r>
  <r>
    <x v="177"/>
    <x v="411"/>
    <x v="2"/>
    <n v="7"/>
    <x v="9"/>
    <n v="3"/>
    <x v="1"/>
    <x v="0"/>
    <x v="2"/>
    <x v="0"/>
    <x v="0"/>
    <n v="2"/>
    <n v="1713"/>
    <n v="3426"/>
  </r>
  <r>
    <x v="178"/>
    <x v="412"/>
    <x v="1"/>
    <n v="4"/>
    <x v="4"/>
    <n v="2"/>
    <x v="9"/>
    <x v="3"/>
    <x v="4"/>
    <x v="2"/>
    <x v="1"/>
    <n v="2"/>
    <n v="3204"/>
    <n v="6408"/>
  </r>
  <r>
    <x v="178"/>
    <x v="413"/>
    <x v="0"/>
    <n v="7"/>
    <x v="9"/>
    <n v="3"/>
    <x v="9"/>
    <x v="3"/>
    <x v="4"/>
    <x v="2"/>
    <x v="1"/>
    <n v="2"/>
    <n v="3204"/>
    <n v="6408"/>
  </r>
  <r>
    <x v="178"/>
    <x v="414"/>
    <x v="0"/>
    <n v="2"/>
    <x v="11"/>
    <n v="1"/>
    <x v="9"/>
    <x v="3"/>
    <x v="4"/>
    <x v="2"/>
    <x v="1"/>
    <n v="2"/>
    <n v="3204"/>
    <n v="6408"/>
  </r>
  <r>
    <x v="178"/>
    <x v="112"/>
    <x v="1"/>
    <n v="3"/>
    <x v="5"/>
    <n v="1"/>
    <x v="9"/>
    <x v="3"/>
    <x v="4"/>
    <x v="2"/>
    <x v="1"/>
    <n v="2"/>
    <n v="3204"/>
    <n v="6408"/>
  </r>
  <r>
    <x v="178"/>
    <x v="224"/>
    <x v="1"/>
    <n v="10"/>
    <x v="6"/>
    <n v="4"/>
    <x v="9"/>
    <x v="3"/>
    <x v="4"/>
    <x v="2"/>
    <x v="1"/>
    <n v="2"/>
    <n v="3204"/>
    <n v="6408"/>
  </r>
  <r>
    <x v="179"/>
    <x v="415"/>
    <x v="0"/>
    <n v="7"/>
    <x v="9"/>
    <n v="3"/>
    <x v="2"/>
    <x v="1"/>
    <x v="4"/>
    <x v="1"/>
    <x v="1"/>
    <n v="5"/>
    <n v="18542"/>
    <n v="92710"/>
  </r>
  <r>
    <x v="179"/>
    <x v="416"/>
    <x v="2"/>
    <n v="11"/>
    <x v="2"/>
    <n v="4"/>
    <x v="2"/>
    <x v="1"/>
    <x v="4"/>
    <x v="1"/>
    <x v="1"/>
    <n v="5"/>
    <n v="18542"/>
    <n v="92710"/>
  </r>
  <r>
    <x v="180"/>
    <x v="417"/>
    <x v="0"/>
    <n v="8"/>
    <x v="0"/>
    <n v="3"/>
    <x v="3"/>
    <x v="1"/>
    <x v="0"/>
    <x v="0"/>
    <x v="1"/>
    <n v="1"/>
    <n v="521"/>
    <n v="521"/>
  </r>
  <r>
    <x v="180"/>
    <x v="418"/>
    <x v="0"/>
    <n v="8"/>
    <x v="0"/>
    <n v="3"/>
    <x v="3"/>
    <x v="1"/>
    <x v="0"/>
    <x v="0"/>
    <x v="1"/>
    <n v="1"/>
    <n v="521"/>
    <n v="521"/>
  </r>
  <r>
    <x v="180"/>
    <x v="322"/>
    <x v="0"/>
    <n v="5"/>
    <x v="8"/>
    <n v="2"/>
    <x v="3"/>
    <x v="1"/>
    <x v="0"/>
    <x v="0"/>
    <x v="1"/>
    <n v="1"/>
    <n v="521"/>
    <n v="521"/>
  </r>
  <r>
    <x v="180"/>
    <x v="15"/>
    <x v="0"/>
    <n v="1"/>
    <x v="3"/>
    <n v="1"/>
    <x v="3"/>
    <x v="1"/>
    <x v="0"/>
    <x v="0"/>
    <x v="1"/>
    <n v="1"/>
    <n v="521"/>
    <n v="521"/>
  </r>
  <r>
    <x v="181"/>
    <x v="419"/>
    <x v="0"/>
    <n v="11"/>
    <x v="2"/>
    <n v="4"/>
    <x v="4"/>
    <x v="0"/>
    <x v="4"/>
    <x v="0"/>
    <x v="1"/>
    <n v="1"/>
    <n v="13218"/>
    <n v="13218"/>
  </r>
  <r>
    <x v="181"/>
    <x v="420"/>
    <x v="0"/>
    <n v="3"/>
    <x v="5"/>
    <n v="1"/>
    <x v="4"/>
    <x v="0"/>
    <x v="4"/>
    <x v="0"/>
    <x v="1"/>
    <n v="1"/>
    <n v="13218"/>
    <n v="13218"/>
  </r>
  <r>
    <x v="181"/>
    <x v="395"/>
    <x v="0"/>
    <n v="9"/>
    <x v="10"/>
    <n v="3"/>
    <x v="4"/>
    <x v="0"/>
    <x v="4"/>
    <x v="0"/>
    <x v="1"/>
    <n v="1"/>
    <n v="13218"/>
    <n v="13218"/>
  </r>
  <r>
    <x v="181"/>
    <x v="421"/>
    <x v="2"/>
    <n v="10"/>
    <x v="6"/>
    <n v="4"/>
    <x v="4"/>
    <x v="0"/>
    <x v="4"/>
    <x v="0"/>
    <x v="1"/>
    <n v="1"/>
    <n v="13218"/>
    <n v="13218"/>
  </r>
  <r>
    <x v="181"/>
    <x v="422"/>
    <x v="1"/>
    <n v="8"/>
    <x v="0"/>
    <n v="3"/>
    <x v="4"/>
    <x v="0"/>
    <x v="4"/>
    <x v="0"/>
    <x v="1"/>
    <n v="1"/>
    <n v="13218"/>
    <n v="13218"/>
  </r>
  <r>
    <x v="182"/>
    <x v="311"/>
    <x v="1"/>
    <n v="1"/>
    <x v="3"/>
    <n v="1"/>
    <x v="5"/>
    <x v="2"/>
    <x v="2"/>
    <x v="1"/>
    <x v="1"/>
    <n v="2"/>
    <n v="248"/>
    <n v="496"/>
  </r>
  <r>
    <x v="182"/>
    <x v="122"/>
    <x v="1"/>
    <n v="9"/>
    <x v="10"/>
    <n v="3"/>
    <x v="5"/>
    <x v="2"/>
    <x v="2"/>
    <x v="1"/>
    <x v="1"/>
    <n v="2"/>
    <n v="248"/>
    <n v="496"/>
  </r>
  <r>
    <x v="182"/>
    <x v="423"/>
    <x v="0"/>
    <n v="2"/>
    <x v="11"/>
    <n v="1"/>
    <x v="5"/>
    <x v="2"/>
    <x v="2"/>
    <x v="1"/>
    <x v="1"/>
    <n v="2"/>
    <n v="248"/>
    <n v="496"/>
  </r>
  <r>
    <x v="182"/>
    <x v="277"/>
    <x v="2"/>
    <n v="1"/>
    <x v="3"/>
    <n v="1"/>
    <x v="5"/>
    <x v="2"/>
    <x v="2"/>
    <x v="1"/>
    <x v="1"/>
    <n v="2"/>
    <n v="248"/>
    <n v="496"/>
  </r>
  <r>
    <x v="183"/>
    <x v="424"/>
    <x v="2"/>
    <n v="5"/>
    <x v="8"/>
    <n v="2"/>
    <x v="6"/>
    <x v="3"/>
    <x v="2"/>
    <x v="2"/>
    <x v="2"/>
    <n v="4"/>
    <n v="1353"/>
    <n v="5412"/>
  </r>
  <r>
    <x v="183"/>
    <x v="343"/>
    <x v="1"/>
    <n v="11"/>
    <x v="2"/>
    <n v="4"/>
    <x v="6"/>
    <x v="3"/>
    <x v="2"/>
    <x v="2"/>
    <x v="2"/>
    <n v="4"/>
    <n v="1353"/>
    <n v="5412"/>
  </r>
  <r>
    <x v="183"/>
    <x v="425"/>
    <x v="0"/>
    <n v="5"/>
    <x v="8"/>
    <n v="2"/>
    <x v="6"/>
    <x v="3"/>
    <x v="2"/>
    <x v="2"/>
    <x v="2"/>
    <n v="4"/>
    <n v="1353"/>
    <n v="5412"/>
  </r>
  <r>
    <x v="183"/>
    <x v="426"/>
    <x v="0"/>
    <n v="10"/>
    <x v="6"/>
    <n v="4"/>
    <x v="6"/>
    <x v="3"/>
    <x v="2"/>
    <x v="2"/>
    <x v="2"/>
    <n v="4"/>
    <n v="1353"/>
    <n v="5412"/>
  </r>
  <r>
    <x v="183"/>
    <x v="232"/>
    <x v="0"/>
    <n v="5"/>
    <x v="8"/>
    <n v="2"/>
    <x v="6"/>
    <x v="3"/>
    <x v="2"/>
    <x v="2"/>
    <x v="2"/>
    <n v="4"/>
    <n v="1353"/>
    <n v="5412"/>
  </r>
  <r>
    <x v="184"/>
    <x v="427"/>
    <x v="1"/>
    <n v="9"/>
    <x v="10"/>
    <n v="3"/>
    <x v="7"/>
    <x v="0"/>
    <x v="0"/>
    <x v="1"/>
    <x v="2"/>
    <n v="2"/>
    <n v="13462"/>
    <n v="26924"/>
  </r>
  <r>
    <x v="185"/>
    <x v="283"/>
    <x v="1"/>
    <n v="7"/>
    <x v="9"/>
    <n v="3"/>
    <x v="8"/>
    <x v="1"/>
    <x v="4"/>
    <x v="1"/>
    <x v="0"/>
    <n v="5"/>
    <n v="404"/>
    <n v="2020"/>
  </r>
  <r>
    <x v="185"/>
    <x v="194"/>
    <x v="0"/>
    <n v="4"/>
    <x v="4"/>
    <n v="2"/>
    <x v="8"/>
    <x v="1"/>
    <x v="4"/>
    <x v="1"/>
    <x v="0"/>
    <n v="5"/>
    <n v="404"/>
    <n v="2020"/>
  </r>
  <r>
    <x v="185"/>
    <x v="223"/>
    <x v="0"/>
    <n v="1"/>
    <x v="3"/>
    <n v="1"/>
    <x v="8"/>
    <x v="1"/>
    <x v="4"/>
    <x v="1"/>
    <x v="0"/>
    <n v="5"/>
    <n v="404"/>
    <n v="2020"/>
  </r>
  <r>
    <x v="186"/>
    <x v="205"/>
    <x v="2"/>
    <n v="8"/>
    <x v="0"/>
    <n v="3"/>
    <x v="0"/>
    <x v="0"/>
    <x v="3"/>
    <x v="1"/>
    <x v="2"/>
    <n v="1"/>
    <n v="59800"/>
    <n v="59800"/>
  </r>
  <r>
    <x v="186"/>
    <x v="195"/>
    <x v="1"/>
    <n v="6"/>
    <x v="1"/>
    <n v="2"/>
    <x v="0"/>
    <x v="0"/>
    <x v="3"/>
    <x v="1"/>
    <x v="2"/>
    <n v="1"/>
    <n v="59800"/>
    <n v="59800"/>
  </r>
  <r>
    <x v="186"/>
    <x v="329"/>
    <x v="1"/>
    <n v="4"/>
    <x v="4"/>
    <n v="2"/>
    <x v="0"/>
    <x v="0"/>
    <x v="3"/>
    <x v="1"/>
    <x v="2"/>
    <n v="1"/>
    <n v="59800"/>
    <n v="59800"/>
  </r>
  <r>
    <x v="186"/>
    <x v="266"/>
    <x v="1"/>
    <n v="12"/>
    <x v="7"/>
    <n v="4"/>
    <x v="0"/>
    <x v="0"/>
    <x v="3"/>
    <x v="1"/>
    <x v="2"/>
    <n v="1"/>
    <n v="59800"/>
    <n v="59800"/>
  </r>
  <r>
    <x v="186"/>
    <x v="393"/>
    <x v="0"/>
    <n v="4"/>
    <x v="4"/>
    <n v="2"/>
    <x v="0"/>
    <x v="0"/>
    <x v="3"/>
    <x v="1"/>
    <x v="2"/>
    <n v="1"/>
    <n v="59800"/>
    <n v="59800"/>
  </r>
  <r>
    <x v="187"/>
    <x v="428"/>
    <x v="1"/>
    <n v="1"/>
    <x v="3"/>
    <n v="1"/>
    <x v="1"/>
    <x v="0"/>
    <x v="1"/>
    <x v="2"/>
    <x v="1"/>
    <n v="2"/>
    <n v="2639"/>
    <n v="5278"/>
  </r>
  <r>
    <x v="187"/>
    <x v="307"/>
    <x v="0"/>
    <n v="12"/>
    <x v="7"/>
    <n v="4"/>
    <x v="1"/>
    <x v="0"/>
    <x v="1"/>
    <x v="2"/>
    <x v="1"/>
    <n v="2"/>
    <n v="2639"/>
    <n v="5278"/>
  </r>
  <r>
    <x v="188"/>
    <x v="429"/>
    <x v="1"/>
    <n v="5"/>
    <x v="8"/>
    <n v="2"/>
    <x v="9"/>
    <x v="3"/>
    <x v="5"/>
    <x v="0"/>
    <x v="1"/>
    <n v="1"/>
    <n v="2167"/>
    <n v="2167"/>
  </r>
  <r>
    <x v="189"/>
    <x v="430"/>
    <x v="1"/>
    <n v="8"/>
    <x v="0"/>
    <n v="3"/>
    <x v="2"/>
    <x v="1"/>
    <x v="0"/>
    <x v="2"/>
    <x v="0"/>
    <n v="3"/>
    <n v="8179"/>
    <n v="24537"/>
  </r>
  <r>
    <x v="190"/>
    <x v="431"/>
    <x v="0"/>
    <n v="12"/>
    <x v="7"/>
    <n v="4"/>
    <x v="3"/>
    <x v="1"/>
    <x v="4"/>
    <x v="0"/>
    <x v="0"/>
    <n v="1"/>
    <n v="374"/>
    <n v="374"/>
  </r>
  <r>
    <x v="190"/>
    <x v="318"/>
    <x v="1"/>
    <n v="5"/>
    <x v="8"/>
    <n v="2"/>
    <x v="3"/>
    <x v="1"/>
    <x v="4"/>
    <x v="0"/>
    <x v="0"/>
    <n v="1"/>
    <n v="374"/>
    <n v="374"/>
  </r>
  <r>
    <x v="190"/>
    <x v="81"/>
    <x v="0"/>
    <n v="1"/>
    <x v="3"/>
    <n v="1"/>
    <x v="3"/>
    <x v="1"/>
    <x v="4"/>
    <x v="0"/>
    <x v="0"/>
    <n v="1"/>
    <n v="374"/>
    <n v="374"/>
  </r>
  <r>
    <x v="190"/>
    <x v="241"/>
    <x v="1"/>
    <n v="1"/>
    <x v="3"/>
    <n v="1"/>
    <x v="3"/>
    <x v="1"/>
    <x v="4"/>
    <x v="0"/>
    <x v="0"/>
    <n v="1"/>
    <n v="374"/>
    <n v="374"/>
  </r>
  <r>
    <x v="191"/>
    <x v="432"/>
    <x v="1"/>
    <n v="6"/>
    <x v="1"/>
    <n v="2"/>
    <x v="4"/>
    <x v="0"/>
    <x v="2"/>
    <x v="0"/>
    <x v="2"/>
    <n v="1"/>
    <n v="36595"/>
    <n v="36595"/>
  </r>
  <r>
    <x v="191"/>
    <x v="433"/>
    <x v="1"/>
    <n v="5"/>
    <x v="8"/>
    <n v="2"/>
    <x v="4"/>
    <x v="0"/>
    <x v="2"/>
    <x v="0"/>
    <x v="2"/>
    <n v="1"/>
    <n v="36595"/>
    <n v="36595"/>
  </r>
  <r>
    <x v="192"/>
    <x v="434"/>
    <x v="0"/>
    <n v="2"/>
    <x v="11"/>
    <n v="1"/>
    <x v="5"/>
    <x v="2"/>
    <x v="3"/>
    <x v="1"/>
    <x v="1"/>
    <n v="5"/>
    <n v="570"/>
    <n v="2850"/>
  </r>
  <r>
    <x v="192"/>
    <x v="435"/>
    <x v="1"/>
    <n v="3"/>
    <x v="5"/>
    <n v="1"/>
    <x v="5"/>
    <x v="2"/>
    <x v="3"/>
    <x v="1"/>
    <x v="1"/>
    <n v="5"/>
    <n v="570"/>
    <n v="2850"/>
  </r>
  <r>
    <x v="192"/>
    <x v="86"/>
    <x v="0"/>
    <n v="7"/>
    <x v="9"/>
    <n v="3"/>
    <x v="5"/>
    <x v="2"/>
    <x v="3"/>
    <x v="1"/>
    <x v="1"/>
    <n v="5"/>
    <n v="570"/>
    <n v="2850"/>
  </r>
  <r>
    <x v="192"/>
    <x v="436"/>
    <x v="1"/>
    <n v="12"/>
    <x v="7"/>
    <n v="4"/>
    <x v="5"/>
    <x v="2"/>
    <x v="3"/>
    <x v="1"/>
    <x v="1"/>
    <n v="5"/>
    <n v="570"/>
    <n v="2850"/>
  </r>
  <r>
    <x v="192"/>
    <x v="111"/>
    <x v="1"/>
    <n v="2"/>
    <x v="11"/>
    <n v="1"/>
    <x v="5"/>
    <x v="2"/>
    <x v="3"/>
    <x v="1"/>
    <x v="1"/>
    <n v="5"/>
    <n v="570"/>
    <n v="2850"/>
  </r>
  <r>
    <x v="193"/>
    <x v="350"/>
    <x v="0"/>
    <n v="5"/>
    <x v="8"/>
    <n v="2"/>
    <x v="6"/>
    <x v="3"/>
    <x v="3"/>
    <x v="1"/>
    <x v="2"/>
    <n v="3"/>
    <n v="1005"/>
    <n v="3015"/>
  </r>
  <r>
    <x v="194"/>
    <x v="437"/>
    <x v="2"/>
    <n v="6"/>
    <x v="1"/>
    <n v="2"/>
    <x v="7"/>
    <x v="0"/>
    <x v="1"/>
    <x v="1"/>
    <x v="0"/>
    <n v="2"/>
    <n v="14435"/>
    <n v="28870"/>
  </r>
  <r>
    <x v="194"/>
    <x v="438"/>
    <x v="1"/>
    <n v="6"/>
    <x v="1"/>
    <n v="2"/>
    <x v="7"/>
    <x v="0"/>
    <x v="1"/>
    <x v="1"/>
    <x v="0"/>
    <n v="2"/>
    <n v="14435"/>
    <n v="28870"/>
  </r>
  <r>
    <x v="195"/>
    <x v="201"/>
    <x v="0"/>
    <n v="11"/>
    <x v="2"/>
    <n v="4"/>
    <x v="0"/>
    <x v="0"/>
    <x v="2"/>
    <x v="0"/>
    <x v="2"/>
    <n v="2"/>
    <n v="60581"/>
    <n v="121162"/>
  </r>
  <r>
    <x v="195"/>
    <x v="439"/>
    <x v="1"/>
    <n v="7"/>
    <x v="9"/>
    <n v="3"/>
    <x v="0"/>
    <x v="0"/>
    <x v="2"/>
    <x v="0"/>
    <x v="2"/>
    <n v="2"/>
    <n v="60581"/>
    <n v="121162"/>
  </r>
  <r>
    <x v="195"/>
    <x v="62"/>
    <x v="1"/>
    <n v="2"/>
    <x v="11"/>
    <n v="1"/>
    <x v="0"/>
    <x v="0"/>
    <x v="2"/>
    <x v="0"/>
    <x v="2"/>
    <n v="2"/>
    <n v="60581"/>
    <n v="121162"/>
  </r>
  <r>
    <x v="195"/>
    <x v="440"/>
    <x v="2"/>
    <n v="7"/>
    <x v="9"/>
    <n v="3"/>
    <x v="0"/>
    <x v="0"/>
    <x v="2"/>
    <x v="0"/>
    <x v="2"/>
    <n v="2"/>
    <n v="60581"/>
    <n v="121162"/>
  </r>
  <r>
    <x v="195"/>
    <x v="111"/>
    <x v="1"/>
    <n v="2"/>
    <x v="11"/>
    <n v="1"/>
    <x v="0"/>
    <x v="0"/>
    <x v="2"/>
    <x v="0"/>
    <x v="2"/>
    <n v="2"/>
    <n v="60581"/>
    <n v="121162"/>
  </r>
  <r>
    <x v="195"/>
    <x v="441"/>
    <x v="0"/>
    <n v="5"/>
    <x v="8"/>
    <n v="2"/>
    <x v="0"/>
    <x v="0"/>
    <x v="2"/>
    <x v="0"/>
    <x v="2"/>
    <n v="2"/>
    <n v="60581"/>
    <n v="121162"/>
  </r>
  <r>
    <x v="195"/>
    <x v="442"/>
    <x v="0"/>
    <n v="9"/>
    <x v="10"/>
    <n v="3"/>
    <x v="0"/>
    <x v="0"/>
    <x v="2"/>
    <x v="0"/>
    <x v="2"/>
    <n v="2"/>
    <n v="60581"/>
    <n v="121162"/>
  </r>
  <r>
    <x v="195"/>
    <x v="165"/>
    <x v="1"/>
    <n v="12"/>
    <x v="7"/>
    <n v="4"/>
    <x v="0"/>
    <x v="0"/>
    <x v="2"/>
    <x v="0"/>
    <x v="2"/>
    <n v="2"/>
    <n v="60581"/>
    <n v="121162"/>
  </r>
  <r>
    <x v="196"/>
    <x v="443"/>
    <x v="1"/>
    <n v="3"/>
    <x v="5"/>
    <n v="1"/>
    <x v="1"/>
    <x v="0"/>
    <x v="5"/>
    <x v="2"/>
    <x v="2"/>
    <n v="1"/>
    <n v="2742"/>
    <n v="2742"/>
  </r>
  <r>
    <x v="196"/>
    <x v="18"/>
    <x v="0"/>
    <n v="8"/>
    <x v="0"/>
    <n v="3"/>
    <x v="1"/>
    <x v="0"/>
    <x v="5"/>
    <x v="2"/>
    <x v="2"/>
    <n v="1"/>
    <n v="2742"/>
    <n v="2742"/>
  </r>
  <r>
    <x v="196"/>
    <x v="444"/>
    <x v="0"/>
    <n v="12"/>
    <x v="7"/>
    <n v="4"/>
    <x v="1"/>
    <x v="0"/>
    <x v="5"/>
    <x v="2"/>
    <x v="2"/>
    <n v="1"/>
    <n v="2742"/>
    <n v="2742"/>
  </r>
  <r>
    <x v="196"/>
    <x v="443"/>
    <x v="1"/>
    <n v="3"/>
    <x v="5"/>
    <n v="1"/>
    <x v="1"/>
    <x v="0"/>
    <x v="5"/>
    <x v="2"/>
    <x v="2"/>
    <n v="1"/>
    <n v="2742"/>
    <n v="2742"/>
  </r>
  <r>
    <x v="196"/>
    <x v="445"/>
    <x v="0"/>
    <n v="11"/>
    <x v="2"/>
    <n v="4"/>
    <x v="1"/>
    <x v="0"/>
    <x v="5"/>
    <x v="2"/>
    <x v="2"/>
    <n v="1"/>
    <n v="2742"/>
    <n v="2742"/>
  </r>
  <r>
    <x v="197"/>
    <x v="371"/>
    <x v="1"/>
    <n v="10"/>
    <x v="6"/>
    <n v="4"/>
    <x v="9"/>
    <x v="3"/>
    <x v="3"/>
    <x v="0"/>
    <x v="0"/>
    <n v="3"/>
    <n v="3576"/>
    <n v="10728"/>
  </r>
  <r>
    <x v="197"/>
    <x v="446"/>
    <x v="0"/>
    <n v="1"/>
    <x v="3"/>
    <n v="1"/>
    <x v="9"/>
    <x v="3"/>
    <x v="3"/>
    <x v="0"/>
    <x v="0"/>
    <n v="3"/>
    <n v="3576"/>
    <n v="10728"/>
  </r>
  <r>
    <x v="197"/>
    <x v="363"/>
    <x v="0"/>
    <n v="12"/>
    <x v="7"/>
    <n v="4"/>
    <x v="9"/>
    <x v="3"/>
    <x v="3"/>
    <x v="0"/>
    <x v="0"/>
    <n v="3"/>
    <n v="3576"/>
    <n v="10728"/>
  </r>
  <r>
    <x v="197"/>
    <x v="193"/>
    <x v="0"/>
    <n v="1"/>
    <x v="3"/>
    <n v="1"/>
    <x v="9"/>
    <x v="3"/>
    <x v="3"/>
    <x v="0"/>
    <x v="0"/>
    <n v="3"/>
    <n v="3576"/>
    <n v="10728"/>
  </r>
  <r>
    <x v="198"/>
    <x v="178"/>
    <x v="0"/>
    <n v="7"/>
    <x v="9"/>
    <n v="3"/>
    <x v="2"/>
    <x v="1"/>
    <x v="0"/>
    <x v="1"/>
    <x v="0"/>
    <n v="4"/>
    <n v="15524"/>
    <n v="62096"/>
  </r>
  <r>
    <x v="198"/>
    <x v="447"/>
    <x v="1"/>
    <n v="8"/>
    <x v="0"/>
    <n v="3"/>
    <x v="2"/>
    <x v="1"/>
    <x v="0"/>
    <x v="1"/>
    <x v="0"/>
    <n v="4"/>
    <n v="15524"/>
    <n v="62096"/>
  </r>
  <r>
    <x v="199"/>
    <x v="337"/>
    <x v="0"/>
    <n v="5"/>
    <x v="8"/>
    <n v="2"/>
    <x v="3"/>
    <x v="1"/>
    <x v="2"/>
    <x v="1"/>
    <x v="1"/>
    <n v="3"/>
    <n v="973"/>
    <n v="2919"/>
  </r>
  <r>
    <x v="199"/>
    <x v="385"/>
    <x v="0"/>
    <n v="7"/>
    <x v="9"/>
    <n v="3"/>
    <x v="3"/>
    <x v="1"/>
    <x v="2"/>
    <x v="1"/>
    <x v="1"/>
    <n v="3"/>
    <n v="973"/>
    <n v="2919"/>
  </r>
  <r>
    <x v="199"/>
    <x v="312"/>
    <x v="0"/>
    <n v="9"/>
    <x v="10"/>
    <n v="3"/>
    <x v="3"/>
    <x v="1"/>
    <x v="2"/>
    <x v="1"/>
    <x v="1"/>
    <n v="3"/>
    <n v="973"/>
    <n v="2919"/>
  </r>
  <r>
    <x v="199"/>
    <x v="448"/>
    <x v="0"/>
    <n v="7"/>
    <x v="9"/>
    <n v="3"/>
    <x v="3"/>
    <x v="1"/>
    <x v="2"/>
    <x v="1"/>
    <x v="1"/>
    <n v="3"/>
    <n v="973"/>
    <n v="2919"/>
  </r>
  <r>
    <x v="199"/>
    <x v="364"/>
    <x v="1"/>
    <n v="10"/>
    <x v="6"/>
    <n v="4"/>
    <x v="3"/>
    <x v="1"/>
    <x v="2"/>
    <x v="1"/>
    <x v="1"/>
    <n v="3"/>
    <n v="973"/>
    <n v="2919"/>
  </r>
  <r>
    <x v="199"/>
    <x v="449"/>
    <x v="2"/>
    <n v="10"/>
    <x v="6"/>
    <n v="4"/>
    <x v="3"/>
    <x v="1"/>
    <x v="2"/>
    <x v="1"/>
    <x v="1"/>
    <n v="3"/>
    <n v="973"/>
    <n v="2919"/>
  </r>
  <r>
    <x v="200"/>
    <x v="450"/>
    <x v="1"/>
    <n v="4"/>
    <x v="4"/>
    <n v="2"/>
    <x v="4"/>
    <x v="0"/>
    <x v="2"/>
    <x v="0"/>
    <x v="1"/>
    <n v="2"/>
    <n v="19223"/>
    <n v="38446"/>
  </r>
  <r>
    <x v="200"/>
    <x v="451"/>
    <x v="1"/>
    <n v="12"/>
    <x v="7"/>
    <n v="4"/>
    <x v="4"/>
    <x v="0"/>
    <x v="2"/>
    <x v="0"/>
    <x v="1"/>
    <n v="2"/>
    <n v="19223"/>
    <n v="38446"/>
  </r>
  <r>
    <x v="200"/>
    <x v="452"/>
    <x v="2"/>
    <n v="8"/>
    <x v="0"/>
    <n v="3"/>
    <x v="4"/>
    <x v="0"/>
    <x v="2"/>
    <x v="0"/>
    <x v="1"/>
    <n v="2"/>
    <n v="19223"/>
    <n v="38446"/>
  </r>
  <r>
    <x v="200"/>
    <x v="18"/>
    <x v="0"/>
    <n v="8"/>
    <x v="0"/>
    <n v="3"/>
    <x v="4"/>
    <x v="0"/>
    <x v="2"/>
    <x v="0"/>
    <x v="1"/>
    <n v="2"/>
    <n v="19223"/>
    <n v="38446"/>
  </r>
  <r>
    <x v="201"/>
    <x v="453"/>
    <x v="0"/>
    <n v="5"/>
    <x v="8"/>
    <n v="2"/>
    <x v="5"/>
    <x v="2"/>
    <x v="5"/>
    <x v="2"/>
    <x v="0"/>
    <n v="3"/>
    <n v="197"/>
    <n v="591"/>
  </r>
  <r>
    <x v="202"/>
    <x v="454"/>
    <x v="1"/>
    <n v="8"/>
    <x v="0"/>
    <n v="3"/>
    <x v="6"/>
    <x v="3"/>
    <x v="0"/>
    <x v="2"/>
    <x v="1"/>
    <n v="4"/>
    <n v="1862"/>
    <n v="7448"/>
  </r>
  <r>
    <x v="202"/>
    <x v="455"/>
    <x v="1"/>
    <n v="4"/>
    <x v="4"/>
    <n v="2"/>
    <x v="6"/>
    <x v="3"/>
    <x v="0"/>
    <x v="2"/>
    <x v="1"/>
    <n v="4"/>
    <n v="1862"/>
    <n v="7448"/>
  </r>
  <r>
    <x v="203"/>
    <x v="182"/>
    <x v="1"/>
    <n v="1"/>
    <x v="3"/>
    <n v="1"/>
    <x v="7"/>
    <x v="0"/>
    <x v="4"/>
    <x v="2"/>
    <x v="2"/>
    <n v="2"/>
    <n v="7732"/>
    <n v="15464"/>
  </r>
  <r>
    <x v="203"/>
    <x v="39"/>
    <x v="2"/>
    <n v="6"/>
    <x v="1"/>
    <n v="2"/>
    <x v="7"/>
    <x v="0"/>
    <x v="4"/>
    <x v="2"/>
    <x v="2"/>
    <n v="2"/>
    <n v="7732"/>
    <n v="15464"/>
  </r>
  <r>
    <x v="203"/>
    <x v="327"/>
    <x v="0"/>
    <n v="4"/>
    <x v="4"/>
    <n v="2"/>
    <x v="7"/>
    <x v="0"/>
    <x v="4"/>
    <x v="2"/>
    <x v="2"/>
    <n v="2"/>
    <n v="7732"/>
    <n v="15464"/>
  </r>
  <r>
    <x v="203"/>
    <x v="456"/>
    <x v="0"/>
    <n v="9"/>
    <x v="10"/>
    <n v="3"/>
    <x v="7"/>
    <x v="0"/>
    <x v="4"/>
    <x v="2"/>
    <x v="2"/>
    <n v="2"/>
    <n v="7732"/>
    <n v="15464"/>
  </r>
  <r>
    <x v="203"/>
    <x v="457"/>
    <x v="2"/>
    <n v="9"/>
    <x v="10"/>
    <n v="3"/>
    <x v="7"/>
    <x v="0"/>
    <x v="4"/>
    <x v="2"/>
    <x v="2"/>
    <n v="2"/>
    <n v="7732"/>
    <n v="15464"/>
  </r>
  <r>
    <x v="204"/>
    <x v="458"/>
    <x v="0"/>
    <n v="9"/>
    <x v="10"/>
    <n v="3"/>
    <x v="8"/>
    <x v="1"/>
    <x v="5"/>
    <x v="0"/>
    <x v="2"/>
    <n v="3"/>
    <n v="508"/>
    <n v="1524"/>
  </r>
  <r>
    <x v="204"/>
    <x v="459"/>
    <x v="1"/>
    <n v="3"/>
    <x v="5"/>
    <n v="1"/>
    <x v="8"/>
    <x v="1"/>
    <x v="5"/>
    <x v="0"/>
    <x v="2"/>
    <n v="3"/>
    <n v="508"/>
    <n v="1524"/>
  </r>
  <r>
    <x v="204"/>
    <x v="6"/>
    <x v="1"/>
    <n v="6"/>
    <x v="1"/>
    <n v="2"/>
    <x v="8"/>
    <x v="1"/>
    <x v="5"/>
    <x v="0"/>
    <x v="2"/>
    <n v="3"/>
    <n v="508"/>
    <n v="1524"/>
  </r>
  <r>
    <x v="204"/>
    <x v="315"/>
    <x v="1"/>
    <n v="5"/>
    <x v="8"/>
    <n v="2"/>
    <x v="8"/>
    <x v="1"/>
    <x v="5"/>
    <x v="0"/>
    <x v="2"/>
    <n v="3"/>
    <n v="508"/>
    <n v="1524"/>
  </r>
  <r>
    <x v="204"/>
    <x v="460"/>
    <x v="1"/>
    <n v="12"/>
    <x v="7"/>
    <n v="4"/>
    <x v="8"/>
    <x v="1"/>
    <x v="5"/>
    <x v="0"/>
    <x v="2"/>
    <n v="3"/>
    <n v="508"/>
    <n v="1524"/>
  </r>
  <r>
    <x v="205"/>
    <x v="119"/>
    <x v="0"/>
    <n v="5"/>
    <x v="8"/>
    <n v="2"/>
    <x v="0"/>
    <x v="0"/>
    <x v="2"/>
    <x v="0"/>
    <x v="2"/>
    <n v="1"/>
    <n v="55970"/>
    <n v="55970"/>
  </r>
  <r>
    <x v="205"/>
    <x v="461"/>
    <x v="0"/>
    <n v="6"/>
    <x v="1"/>
    <n v="2"/>
    <x v="0"/>
    <x v="0"/>
    <x v="2"/>
    <x v="0"/>
    <x v="2"/>
    <n v="1"/>
    <n v="55970"/>
    <n v="55970"/>
  </r>
  <r>
    <x v="206"/>
    <x v="55"/>
    <x v="2"/>
    <n v="2"/>
    <x v="11"/>
    <n v="1"/>
    <x v="1"/>
    <x v="0"/>
    <x v="3"/>
    <x v="2"/>
    <x v="2"/>
    <n v="2"/>
    <n v="2129"/>
    <n v="4258"/>
  </r>
  <r>
    <x v="206"/>
    <x v="410"/>
    <x v="1"/>
    <n v="8"/>
    <x v="0"/>
    <n v="3"/>
    <x v="1"/>
    <x v="0"/>
    <x v="3"/>
    <x v="2"/>
    <x v="2"/>
    <n v="2"/>
    <n v="2129"/>
    <n v="4258"/>
  </r>
  <r>
    <x v="206"/>
    <x v="462"/>
    <x v="0"/>
    <n v="10"/>
    <x v="6"/>
    <n v="4"/>
    <x v="1"/>
    <x v="0"/>
    <x v="3"/>
    <x v="2"/>
    <x v="2"/>
    <n v="2"/>
    <n v="2129"/>
    <n v="4258"/>
  </r>
  <r>
    <x v="207"/>
    <x v="463"/>
    <x v="1"/>
    <n v="2"/>
    <x v="11"/>
    <n v="1"/>
    <x v="9"/>
    <x v="3"/>
    <x v="2"/>
    <x v="0"/>
    <x v="1"/>
    <n v="3"/>
    <n v="2280"/>
    <n v="6840"/>
  </r>
  <r>
    <x v="208"/>
    <x v="464"/>
    <x v="0"/>
    <n v="3"/>
    <x v="5"/>
    <n v="1"/>
    <x v="2"/>
    <x v="1"/>
    <x v="1"/>
    <x v="0"/>
    <x v="0"/>
    <n v="1"/>
    <n v="2260"/>
    <n v="2260"/>
  </r>
  <r>
    <x v="208"/>
    <x v="465"/>
    <x v="1"/>
    <n v="5"/>
    <x v="8"/>
    <n v="2"/>
    <x v="2"/>
    <x v="1"/>
    <x v="1"/>
    <x v="0"/>
    <x v="0"/>
    <n v="1"/>
    <n v="2260"/>
    <n v="2260"/>
  </r>
  <r>
    <x v="209"/>
    <x v="466"/>
    <x v="0"/>
    <n v="8"/>
    <x v="0"/>
    <n v="3"/>
    <x v="3"/>
    <x v="1"/>
    <x v="3"/>
    <x v="0"/>
    <x v="1"/>
    <n v="4"/>
    <n v="962"/>
    <n v="3848"/>
  </r>
  <r>
    <x v="209"/>
    <x v="150"/>
    <x v="0"/>
    <n v="5"/>
    <x v="8"/>
    <n v="2"/>
    <x v="3"/>
    <x v="1"/>
    <x v="3"/>
    <x v="0"/>
    <x v="1"/>
    <n v="4"/>
    <n v="962"/>
    <n v="3848"/>
  </r>
  <r>
    <x v="209"/>
    <x v="467"/>
    <x v="1"/>
    <n v="11"/>
    <x v="2"/>
    <n v="4"/>
    <x v="3"/>
    <x v="1"/>
    <x v="3"/>
    <x v="0"/>
    <x v="1"/>
    <n v="4"/>
    <n v="962"/>
    <n v="3848"/>
  </r>
  <r>
    <x v="209"/>
    <x v="468"/>
    <x v="1"/>
    <n v="7"/>
    <x v="9"/>
    <n v="3"/>
    <x v="3"/>
    <x v="1"/>
    <x v="3"/>
    <x v="0"/>
    <x v="1"/>
    <n v="4"/>
    <n v="962"/>
    <n v="3848"/>
  </r>
  <r>
    <x v="210"/>
    <x v="469"/>
    <x v="0"/>
    <n v="2"/>
    <x v="11"/>
    <n v="1"/>
    <x v="4"/>
    <x v="0"/>
    <x v="4"/>
    <x v="2"/>
    <x v="0"/>
    <n v="2"/>
    <n v="12775"/>
    <n v="25550"/>
  </r>
  <r>
    <x v="210"/>
    <x v="250"/>
    <x v="1"/>
    <n v="8"/>
    <x v="0"/>
    <n v="3"/>
    <x v="4"/>
    <x v="0"/>
    <x v="4"/>
    <x v="2"/>
    <x v="0"/>
    <n v="2"/>
    <n v="12775"/>
    <n v="25550"/>
  </r>
  <r>
    <x v="210"/>
    <x v="470"/>
    <x v="1"/>
    <n v="12"/>
    <x v="7"/>
    <n v="4"/>
    <x v="4"/>
    <x v="0"/>
    <x v="4"/>
    <x v="2"/>
    <x v="0"/>
    <n v="2"/>
    <n v="12775"/>
    <n v="25550"/>
  </r>
  <r>
    <x v="210"/>
    <x v="91"/>
    <x v="1"/>
    <n v="6"/>
    <x v="1"/>
    <n v="2"/>
    <x v="4"/>
    <x v="0"/>
    <x v="4"/>
    <x v="2"/>
    <x v="0"/>
    <n v="2"/>
    <n v="12775"/>
    <n v="25550"/>
  </r>
  <r>
    <x v="210"/>
    <x v="471"/>
    <x v="2"/>
    <n v="3"/>
    <x v="5"/>
    <n v="1"/>
    <x v="4"/>
    <x v="0"/>
    <x v="4"/>
    <x v="2"/>
    <x v="0"/>
    <n v="2"/>
    <n v="12775"/>
    <n v="25550"/>
  </r>
  <r>
    <x v="210"/>
    <x v="472"/>
    <x v="1"/>
    <n v="10"/>
    <x v="6"/>
    <n v="4"/>
    <x v="4"/>
    <x v="0"/>
    <x v="4"/>
    <x v="2"/>
    <x v="0"/>
    <n v="2"/>
    <n v="12775"/>
    <n v="25550"/>
  </r>
  <r>
    <x v="210"/>
    <x v="473"/>
    <x v="0"/>
    <n v="10"/>
    <x v="6"/>
    <n v="4"/>
    <x v="4"/>
    <x v="0"/>
    <x v="4"/>
    <x v="2"/>
    <x v="0"/>
    <n v="2"/>
    <n v="12775"/>
    <n v="25550"/>
  </r>
  <r>
    <x v="210"/>
    <x v="426"/>
    <x v="0"/>
    <n v="10"/>
    <x v="6"/>
    <n v="4"/>
    <x v="4"/>
    <x v="0"/>
    <x v="4"/>
    <x v="2"/>
    <x v="0"/>
    <n v="2"/>
    <n v="12775"/>
    <n v="25550"/>
  </r>
  <r>
    <x v="211"/>
    <x v="474"/>
    <x v="1"/>
    <n v="4"/>
    <x v="4"/>
    <n v="2"/>
    <x v="5"/>
    <x v="2"/>
    <x v="0"/>
    <x v="1"/>
    <x v="2"/>
    <n v="2"/>
    <n v="685"/>
    <n v="1370"/>
  </r>
  <r>
    <x v="211"/>
    <x v="475"/>
    <x v="0"/>
    <n v="1"/>
    <x v="3"/>
    <n v="1"/>
    <x v="5"/>
    <x v="2"/>
    <x v="0"/>
    <x v="1"/>
    <x v="2"/>
    <n v="2"/>
    <n v="685"/>
    <n v="1370"/>
  </r>
  <r>
    <x v="212"/>
    <x v="100"/>
    <x v="2"/>
    <n v="8"/>
    <x v="0"/>
    <n v="3"/>
    <x v="6"/>
    <x v="3"/>
    <x v="5"/>
    <x v="1"/>
    <x v="2"/>
    <n v="4"/>
    <n v="1218"/>
    <n v="4872"/>
  </r>
  <r>
    <x v="212"/>
    <x v="476"/>
    <x v="0"/>
    <n v="4"/>
    <x v="4"/>
    <n v="2"/>
    <x v="6"/>
    <x v="3"/>
    <x v="5"/>
    <x v="1"/>
    <x v="2"/>
    <n v="4"/>
    <n v="1218"/>
    <n v="4872"/>
  </r>
  <r>
    <x v="212"/>
    <x v="477"/>
    <x v="0"/>
    <n v="11"/>
    <x v="2"/>
    <n v="4"/>
    <x v="6"/>
    <x v="3"/>
    <x v="5"/>
    <x v="1"/>
    <x v="2"/>
    <n v="4"/>
    <n v="1218"/>
    <n v="4872"/>
  </r>
  <r>
    <x v="212"/>
    <x v="478"/>
    <x v="1"/>
    <n v="12"/>
    <x v="7"/>
    <n v="4"/>
    <x v="6"/>
    <x v="3"/>
    <x v="5"/>
    <x v="1"/>
    <x v="2"/>
    <n v="4"/>
    <n v="1218"/>
    <n v="4872"/>
  </r>
  <r>
    <x v="213"/>
    <x v="479"/>
    <x v="1"/>
    <n v="6"/>
    <x v="1"/>
    <n v="2"/>
    <x v="7"/>
    <x v="0"/>
    <x v="2"/>
    <x v="0"/>
    <x v="0"/>
    <n v="1"/>
    <n v="4031"/>
    <n v="4031"/>
  </r>
  <r>
    <x v="213"/>
    <x v="480"/>
    <x v="1"/>
    <n v="9"/>
    <x v="10"/>
    <n v="3"/>
    <x v="7"/>
    <x v="0"/>
    <x v="2"/>
    <x v="0"/>
    <x v="0"/>
    <n v="1"/>
    <n v="4031"/>
    <n v="4031"/>
  </r>
  <r>
    <x v="213"/>
    <x v="481"/>
    <x v="0"/>
    <n v="2"/>
    <x v="11"/>
    <n v="1"/>
    <x v="7"/>
    <x v="0"/>
    <x v="2"/>
    <x v="0"/>
    <x v="0"/>
    <n v="1"/>
    <n v="4031"/>
    <n v="4031"/>
  </r>
  <r>
    <x v="214"/>
    <x v="482"/>
    <x v="1"/>
    <n v="11"/>
    <x v="2"/>
    <n v="4"/>
    <x v="8"/>
    <x v="1"/>
    <x v="4"/>
    <x v="0"/>
    <x v="0"/>
    <n v="2"/>
    <n v="140"/>
    <n v="280"/>
  </r>
  <r>
    <x v="214"/>
    <x v="203"/>
    <x v="1"/>
    <n v="5"/>
    <x v="8"/>
    <n v="2"/>
    <x v="8"/>
    <x v="1"/>
    <x v="4"/>
    <x v="0"/>
    <x v="0"/>
    <n v="2"/>
    <n v="140"/>
    <n v="280"/>
  </r>
  <r>
    <x v="215"/>
    <x v="463"/>
    <x v="1"/>
    <n v="2"/>
    <x v="11"/>
    <n v="1"/>
    <x v="0"/>
    <x v="0"/>
    <x v="3"/>
    <x v="2"/>
    <x v="2"/>
    <n v="2"/>
    <n v="54557"/>
    <n v="109114"/>
  </r>
  <r>
    <x v="215"/>
    <x v="483"/>
    <x v="1"/>
    <n v="3"/>
    <x v="5"/>
    <n v="1"/>
    <x v="0"/>
    <x v="0"/>
    <x v="3"/>
    <x v="2"/>
    <x v="2"/>
    <n v="2"/>
    <n v="54557"/>
    <n v="109114"/>
  </r>
  <r>
    <x v="216"/>
    <x v="337"/>
    <x v="0"/>
    <n v="5"/>
    <x v="8"/>
    <n v="2"/>
    <x v="1"/>
    <x v="0"/>
    <x v="4"/>
    <x v="0"/>
    <x v="0"/>
    <n v="2"/>
    <n v="1892"/>
    <n v="3784"/>
  </r>
  <r>
    <x v="216"/>
    <x v="309"/>
    <x v="1"/>
    <n v="2"/>
    <x v="11"/>
    <n v="1"/>
    <x v="1"/>
    <x v="0"/>
    <x v="4"/>
    <x v="0"/>
    <x v="0"/>
    <n v="2"/>
    <n v="1892"/>
    <n v="3784"/>
  </r>
  <r>
    <x v="217"/>
    <x v="484"/>
    <x v="1"/>
    <n v="1"/>
    <x v="3"/>
    <n v="1"/>
    <x v="9"/>
    <x v="3"/>
    <x v="1"/>
    <x v="0"/>
    <x v="2"/>
    <n v="3"/>
    <n v="3197"/>
    <n v="9591"/>
  </r>
  <r>
    <x v="217"/>
    <x v="120"/>
    <x v="0"/>
    <n v="3"/>
    <x v="5"/>
    <n v="1"/>
    <x v="9"/>
    <x v="3"/>
    <x v="1"/>
    <x v="0"/>
    <x v="2"/>
    <n v="3"/>
    <n v="3197"/>
    <n v="9591"/>
  </r>
  <r>
    <x v="217"/>
    <x v="238"/>
    <x v="1"/>
    <n v="5"/>
    <x v="8"/>
    <n v="2"/>
    <x v="9"/>
    <x v="3"/>
    <x v="1"/>
    <x v="0"/>
    <x v="2"/>
    <n v="3"/>
    <n v="3197"/>
    <n v="9591"/>
  </r>
  <r>
    <x v="217"/>
    <x v="249"/>
    <x v="0"/>
    <n v="1"/>
    <x v="3"/>
    <n v="1"/>
    <x v="9"/>
    <x v="3"/>
    <x v="1"/>
    <x v="0"/>
    <x v="2"/>
    <n v="3"/>
    <n v="3197"/>
    <n v="9591"/>
  </r>
  <r>
    <x v="218"/>
    <x v="485"/>
    <x v="0"/>
    <n v="8"/>
    <x v="0"/>
    <n v="3"/>
    <x v="2"/>
    <x v="1"/>
    <x v="1"/>
    <x v="2"/>
    <x v="2"/>
    <n v="5"/>
    <n v="10225"/>
    <n v="51125"/>
  </r>
  <r>
    <x v="218"/>
    <x v="75"/>
    <x v="1"/>
    <n v="11"/>
    <x v="2"/>
    <n v="4"/>
    <x v="2"/>
    <x v="1"/>
    <x v="1"/>
    <x v="2"/>
    <x v="2"/>
    <n v="5"/>
    <n v="10225"/>
    <n v="51125"/>
  </r>
  <r>
    <x v="218"/>
    <x v="188"/>
    <x v="2"/>
    <n v="12"/>
    <x v="7"/>
    <n v="4"/>
    <x v="2"/>
    <x v="1"/>
    <x v="1"/>
    <x v="2"/>
    <x v="2"/>
    <n v="5"/>
    <n v="10225"/>
    <n v="51125"/>
  </r>
  <r>
    <x v="218"/>
    <x v="486"/>
    <x v="0"/>
    <n v="12"/>
    <x v="7"/>
    <n v="4"/>
    <x v="2"/>
    <x v="1"/>
    <x v="1"/>
    <x v="2"/>
    <x v="2"/>
    <n v="5"/>
    <n v="10225"/>
    <n v="51125"/>
  </r>
  <r>
    <x v="218"/>
    <x v="487"/>
    <x v="1"/>
    <n v="11"/>
    <x v="2"/>
    <n v="4"/>
    <x v="2"/>
    <x v="1"/>
    <x v="1"/>
    <x v="2"/>
    <x v="2"/>
    <n v="5"/>
    <n v="10225"/>
    <n v="51125"/>
  </r>
  <r>
    <x v="218"/>
    <x v="488"/>
    <x v="1"/>
    <n v="3"/>
    <x v="5"/>
    <n v="1"/>
    <x v="2"/>
    <x v="1"/>
    <x v="1"/>
    <x v="2"/>
    <x v="2"/>
    <n v="5"/>
    <n v="10225"/>
    <n v="51125"/>
  </r>
  <r>
    <x v="218"/>
    <x v="489"/>
    <x v="0"/>
    <n v="2"/>
    <x v="11"/>
    <n v="1"/>
    <x v="2"/>
    <x v="1"/>
    <x v="1"/>
    <x v="2"/>
    <x v="2"/>
    <n v="5"/>
    <n v="10225"/>
    <n v="51125"/>
  </r>
  <r>
    <x v="219"/>
    <x v="86"/>
    <x v="0"/>
    <n v="7"/>
    <x v="9"/>
    <n v="3"/>
    <x v="3"/>
    <x v="1"/>
    <x v="5"/>
    <x v="1"/>
    <x v="1"/>
    <n v="2"/>
    <n v="899"/>
    <n v="1798"/>
  </r>
  <r>
    <x v="219"/>
    <x v="490"/>
    <x v="0"/>
    <n v="7"/>
    <x v="9"/>
    <n v="3"/>
    <x v="3"/>
    <x v="1"/>
    <x v="5"/>
    <x v="1"/>
    <x v="1"/>
    <n v="2"/>
    <n v="899"/>
    <n v="1798"/>
  </r>
  <r>
    <x v="219"/>
    <x v="491"/>
    <x v="2"/>
    <n v="5"/>
    <x v="8"/>
    <n v="2"/>
    <x v="3"/>
    <x v="1"/>
    <x v="5"/>
    <x v="1"/>
    <x v="1"/>
    <n v="2"/>
    <n v="899"/>
    <n v="1798"/>
  </r>
  <r>
    <x v="220"/>
    <x v="14"/>
    <x v="1"/>
    <n v="5"/>
    <x v="8"/>
    <n v="2"/>
    <x v="5"/>
    <x v="2"/>
    <x v="4"/>
    <x v="2"/>
    <x v="2"/>
    <n v="3"/>
    <n v="736"/>
    <n v="2208"/>
  </r>
  <r>
    <x v="220"/>
    <x v="270"/>
    <x v="0"/>
    <n v="10"/>
    <x v="6"/>
    <n v="4"/>
    <x v="5"/>
    <x v="2"/>
    <x v="4"/>
    <x v="2"/>
    <x v="2"/>
    <n v="3"/>
    <n v="736"/>
    <n v="2208"/>
  </r>
  <r>
    <x v="220"/>
    <x v="95"/>
    <x v="1"/>
    <n v="9"/>
    <x v="10"/>
    <n v="3"/>
    <x v="5"/>
    <x v="2"/>
    <x v="4"/>
    <x v="2"/>
    <x v="2"/>
    <n v="3"/>
    <n v="736"/>
    <n v="2208"/>
  </r>
  <r>
    <x v="221"/>
    <x v="66"/>
    <x v="0"/>
    <n v="11"/>
    <x v="2"/>
    <n v="4"/>
    <x v="6"/>
    <x v="3"/>
    <x v="1"/>
    <x v="0"/>
    <x v="2"/>
    <n v="4"/>
    <n v="1504"/>
    <n v="6016"/>
  </r>
  <r>
    <x v="221"/>
    <x v="492"/>
    <x v="2"/>
    <n v="7"/>
    <x v="9"/>
    <n v="3"/>
    <x v="6"/>
    <x v="3"/>
    <x v="1"/>
    <x v="0"/>
    <x v="2"/>
    <n v="4"/>
    <n v="1504"/>
    <n v="6016"/>
  </r>
  <r>
    <x v="222"/>
    <x v="476"/>
    <x v="0"/>
    <n v="4"/>
    <x v="4"/>
    <n v="2"/>
    <x v="7"/>
    <x v="0"/>
    <x v="2"/>
    <x v="0"/>
    <x v="0"/>
    <n v="2"/>
    <n v="7086"/>
    <n v="14172"/>
  </r>
  <r>
    <x v="222"/>
    <x v="305"/>
    <x v="1"/>
    <n v="1"/>
    <x v="3"/>
    <n v="1"/>
    <x v="7"/>
    <x v="0"/>
    <x v="2"/>
    <x v="0"/>
    <x v="0"/>
    <n v="2"/>
    <n v="7086"/>
    <n v="14172"/>
  </r>
  <r>
    <x v="223"/>
    <x v="493"/>
    <x v="0"/>
    <n v="11"/>
    <x v="2"/>
    <n v="4"/>
    <x v="8"/>
    <x v="1"/>
    <x v="3"/>
    <x v="2"/>
    <x v="1"/>
    <n v="1"/>
    <n v="783"/>
    <n v="783"/>
  </r>
  <r>
    <x v="223"/>
    <x v="494"/>
    <x v="0"/>
    <n v="3"/>
    <x v="5"/>
    <n v="1"/>
    <x v="8"/>
    <x v="1"/>
    <x v="3"/>
    <x v="2"/>
    <x v="1"/>
    <n v="1"/>
    <n v="783"/>
    <n v="783"/>
  </r>
  <r>
    <x v="223"/>
    <x v="288"/>
    <x v="1"/>
    <n v="2"/>
    <x v="11"/>
    <n v="1"/>
    <x v="8"/>
    <x v="1"/>
    <x v="3"/>
    <x v="2"/>
    <x v="1"/>
    <n v="1"/>
    <n v="783"/>
    <n v="783"/>
  </r>
  <r>
    <x v="223"/>
    <x v="495"/>
    <x v="0"/>
    <n v="12"/>
    <x v="7"/>
    <n v="4"/>
    <x v="8"/>
    <x v="1"/>
    <x v="3"/>
    <x v="2"/>
    <x v="1"/>
    <n v="1"/>
    <n v="783"/>
    <n v="783"/>
  </r>
  <r>
    <x v="223"/>
    <x v="496"/>
    <x v="0"/>
    <n v="5"/>
    <x v="8"/>
    <n v="2"/>
    <x v="8"/>
    <x v="1"/>
    <x v="3"/>
    <x v="2"/>
    <x v="1"/>
    <n v="1"/>
    <n v="783"/>
    <n v="783"/>
  </r>
  <r>
    <x v="223"/>
    <x v="183"/>
    <x v="2"/>
    <n v="8"/>
    <x v="0"/>
    <n v="3"/>
    <x v="8"/>
    <x v="1"/>
    <x v="3"/>
    <x v="2"/>
    <x v="1"/>
    <n v="1"/>
    <n v="783"/>
    <n v="783"/>
  </r>
  <r>
    <x v="223"/>
    <x v="497"/>
    <x v="0"/>
    <n v="5"/>
    <x v="8"/>
    <n v="2"/>
    <x v="8"/>
    <x v="1"/>
    <x v="3"/>
    <x v="2"/>
    <x v="1"/>
    <n v="1"/>
    <n v="783"/>
    <n v="783"/>
  </r>
  <r>
    <x v="223"/>
    <x v="498"/>
    <x v="0"/>
    <n v="12"/>
    <x v="7"/>
    <n v="4"/>
    <x v="8"/>
    <x v="1"/>
    <x v="3"/>
    <x v="2"/>
    <x v="1"/>
    <n v="1"/>
    <n v="783"/>
    <n v="783"/>
  </r>
  <r>
    <x v="223"/>
    <x v="499"/>
    <x v="1"/>
    <n v="12"/>
    <x v="7"/>
    <n v="4"/>
    <x v="8"/>
    <x v="1"/>
    <x v="3"/>
    <x v="2"/>
    <x v="1"/>
    <n v="1"/>
    <n v="783"/>
    <n v="783"/>
  </r>
  <r>
    <x v="224"/>
    <x v="500"/>
    <x v="0"/>
    <n v="6"/>
    <x v="1"/>
    <n v="2"/>
    <x v="0"/>
    <x v="0"/>
    <x v="2"/>
    <x v="1"/>
    <x v="2"/>
    <n v="1"/>
    <n v="67161"/>
    <n v="67161"/>
  </r>
  <r>
    <x v="224"/>
    <x v="96"/>
    <x v="1"/>
    <n v="1"/>
    <x v="3"/>
    <n v="1"/>
    <x v="0"/>
    <x v="0"/>
    <x v="2"/>
    <x v="1"/>
    <x v="2"/>
    <n v="1"/>
    <n v="67161"/>
    <n v="67161"/>
  </r>
  <r>
    <x v="224"/>
    <x v="162"/>
    <x v="0"/>
    <n v="12"/>
    <x v="7"/>
    <n v="4"/>
    <x v="0"/>
    <x v="0"/>
    <x v="2"/>
    <x v="1"/>
    <x v="2"/>
    <n v="1"/>
    <n v="67161"/>
    <n v="67161"/>
  </r>
  <r>
    <x v="224"/>
    <x v="501"/>
    <x v="0"/>
    <n v="6"/>
    <x v="1"/>
    <n v="2"/>
    <x v="0"/>
    <x v="0"/>
    <x v="2"/>
    <x v="1"/>
    <x v="2"/>
    <n v="1"/>
    <n v="67161"/>
    <n v="67161"/>
  </r>
  <r>
    <x v="224"/>
    <x v="351"/>
    <x v="0"/>
    <n v="10"/>
    <x v="6"/>
    <n v="4"/>
    <x v="0"/>
    <x v="0"/>
    <x v="2"/>
    <x v="1"/>
    <x v="2"/>
    <n v="1"/>
    <n v="67161"/>
    <n v="67161"/>
  </r>
  <r>
    <x v="225"/>
    <x v="154"/>
    <x v="0"/>
    <n v="2"/>
    <x v="11"/>
    <n v="1"/>
    <x v="1"/>
    <x v="0"/>
    <x v="0"/>
    <x v="1"/>
    <x v="1"/>
    <n v="3"/>
    <n v="2774"/>
    <n v="8322"/>
  </r>
  <r>
    <x v="225"/>
    <x v="289"/>
    <x v="0"/>
    <n v="12"/>
    <x v="7"/>
    <n v="4"/>
    <x v="1"/>
    <x v="0"/>
    <x v="0"/>
    <x v="1"/>
    <x v="1"/>
    <n v="3"/>
    <n v="2774"/>
    <n v="8322"/>
  </r>
  <r>
    <x v="225"/>
    <x v="307"/>
    <x v="0"/>
    <n v="12"/>
    <x v="7"/>
    <n v="4"/>
    <x v="1"/>
    <x v="0"/>
    <x v="0"/>
    <x v="1"/>
    <x v="1"/>
    <n v="3"/>
    <n v="2774"/>
    <n v="8322"/>
  </r>
  <r>
    <x v="225"/>
    <x v="252"/>
    <x v="1"/>
    <n v="7"/>
    <x v="9"/>
    <n v="3"/>
    <x v="1"/>
    <x v="0"/>
    <x v="0"/>
    <x v="1"/>
    <x v="1"/>
    <n v="3"/>
    <n v="2774"/>
    <n v="8322"/>
  </r>
  <r>
    <x v="226"/>
    <x v="502"/>
    <x v="2"/>
    <n v="9"/>
    <x v="10"/>
    <n v="3"/>
    <x v="9"/>
    <x v="3"/>
    <x v="1"/>
    <x v="0"/>
    <x v="0"/>
    <n v="2"/>
    <n v="1961"/>
    <n v="3922"/>
  </r>
  <r>
    <x v="226"/>
    <x v="263"/>
    <x v="0"/>
    <n v="1"/>
    <x v="3"/>
    <n v="1"/>
    <x v="9"/>
    <x v="3"/>
    <x v="1"/>
    <x v="0"/>
    <x v="0"/>
    <n v="2"/>
    <n v="1961"/>
    <n v="3922"/>
  </r>
  <r>
    <x v="227"/>
    <x v="91"/>
    <x v="1"/>
    <n v="6"/>
    <x v="1"/>
    <n v="2"/>
    <x v="2"/>
    <x v="1"/>
    <x v="3"/>
    <x v="1"/>
    <x v="0"/>
    <n v="3"/>
    <n v="3843"/>
    <n v="11529"/>
  </r>
  <r>
    <x v="227"/>
    <x v="503"/>
    <x v="1"/>
    <n v="1"/>
    <x v="3"/>
    <n v="1"/>
    <x v="2"/>
    <x v="1"/>
    <x v="3"/>
    <x v="1"/>
    <x v="0"/>
    <n v="3"/>
    <n v="3843"/>
    <n v="11529"/>
  </r>
  <r>
    <x v="228"/>
    <x v="111"/>
    <x v="1"/>
    <n v="2"/>
    <x v="11"/>
    <n v="1"/>
    <x v="3"/>
    <x v="1"/>
    <x v="5"/>
    <x v="0"/>
    <x v="2"/>
    <n v="2"/>
    <n v="515"/>
    <n v="1030"/>
  </r>
  <r>
    <x v="228"/>
    <x v="504"/>
    <x v="0"/>
    <n v="8"/>
    <x v="0"/>
    <n v="3"/>
    <x v="3"/>
    <x v="1"/>
    <x v="5"/>
    <x v="0"/>
    <x v="2"/>
    <n v="2"/>
    <n v="515"/>
    <n v="1030"/>
  </r>
  <r>
    <x v="228"/>
    <x v="505"/>
    <x v="0"/>
    <n v="8"/>
    <x v="0"/>
    <n v="3"/>
    <x v="3"/>
    <x v="1"/>
    <x v="5"/>
    <x v="0"/>
    <x v="2"/>
    <n v="2"/>
    <n v="515"/>
    <n v="1030"/>
  </r>
  <r>
    <x v="229"/>
    <x v="506"/>
    <x v="2"/>
    <n v="1"/>
    <x v="3"/>
    <n v="1"/>
    <x v="4"/>
    <x v="0"/>
    <x v="3"/>
    <x v="1"/>
    <x v="2"/>
    <n v="2"/>
    <n v="18773"/>
    <n v="37546"/>
  </r>
  <r>
    <x v="229"/>
    <x v="507"/>
    <x v="2"/>
    <n v="3"/>
    <x v="5"/>
    <n v="1"/>
    <x v="4"/>
    <x v="0"/>
    <x v="3"/>
    <x v="1"/>
    <x v="2"/>
    <n v="2"/>
    <n v="18773"/>
    <n v="37546"/>
  </r>
  <r>
    <x v="229"/>
    <x v="508"/>
    <x v="2"/>
    <n v="9"/>
    <x v="10"/>
    <n v="3"/>
    <x v="4"/>
    <x v="0"/>
    <x v="3"/>
    <x v="1"/>
    <x v="2"/>
    <n v="2"/>
    <n v="18773"/>
    <n v="37546"/>
  </r>
  <r>
    <x v="230"/>
    <x v="259"/>
    <x v="2"/>
    <n v="7"/>
    <x v="9"/>
    <n v="3"/>
    <x v="6"/>
    <x v="3"/>
    <x v="5"/>
    <x v="2"/>
    <x v="0"/>
    <n v="2"/>
    <n v="996"/>
    <n v="1992"/>
  </r>
  <r>
    <x v="231"/>
    <x v="509"/>
    <x v="1"/>
    <n v="7"/>
    <x v="9"/>
    <n v="3"/>
    <x v="7"/>
    <x v="0"/>
    <x v="3"/>
    <x v="0"/>
    <x v="1"/>
    <n v="2"/>
    <n v="12569"/>
    <n v="25138"/>
  </r>
  <r>
    <x v="231"/>
    <x v="510"/>
    <x v="1"/>
    <n v="8"/>
    <x v="0"/>
    <n v="3"/>
    <x v="7"/>
    <x v="0"/>
    <x v="3"/>
    <x v="0"/>
    <x v="1"/>
    <n v="2"/>
    <n v="12569"/>
    <n v="25138"/>
  </r>
  <r>
    <x v="231"/>
    <x v="132"/>
    <x v="0"/>
    <n v="12"/>
    <x v="7"/>
    <n v="4"/>
    <x v="7"/>
    <x v="0"/>
    <x v="3"/>
    <x v="0"/>
    <x v="1"/>
    <n v="2"/>
    <n v="12569"/>
    <n v="25138"/>
  </r>
  <r>
    <x v="231"/>
    <x v="12"/>
    <x v="0"/>
    <n v="12"/>
    <x v="7"/>
    <n v="4"/>
    <x v="7"/>
    <x v="0"/>
    <x v="3"/>
    <x v="0"/>
    <x v="1"/>
    <n v="2"/>
    <n v="12569"/>
    <n v="25138"/>
  </r>
  <r>
    <x v="231"/>
    <x v="308"/>
    <x v="2"/>
    <n v="12"/>
    <x v="7"/>
    <n v="4"/>
    <x v="7"/>
    <x v="0"/>
    <x v="3"/>
    <x v="0"/>
    <x v="1"/>
    <n v="2"/>
    <n v="12569"/>
    <n v="25138"/>
  </r>
  <r>
    <x v="231"/>
    <x v="511"/>
    <x v="0"/>
    <n v="2"/>
    <x v="11"/>
    <n v="1"/>
    <x v="7"/>
    <x v="0"/>
    <x v="3"/>
    <x v="0"/>
    <x v="1"/>
    <n v="2"/>
    <n v="12569"/>
    <n v="25138"/>
  </r>
  <r>
    <x v="232"/>
    <x v="512"/>
    <x v="0"/>
    <n v="6"/>
    <x v="1"/>
    <n v="2"/>
    <x v="8"/>
    <x v="1"/>
    <x v="1"/>
    <x v="2"/>
    <x v="0"/>
    <n v="3"/>
    <n v="241"/>
    <n v="723"/>
  </r>
  <r>
    <x v="232"/>
    <x v="513"/>
    <x v="0"/>
    <n v="2"/>
    <x v="11"/>
    <n v="1"/>
    <x v="8"/>
    <x v="1"/>
    <x v="1"/>
    <x v="2"/>
    <x v="0"/>
    <n v="3"/>
    <n v="241"/>
    <n v="723"/>
  </r>
  <r>
    <x v="232"/>
    <x v="514"/>
    <x v="2"/>
    <n v="12"/>
    <x v="7"/>
    <n v="4"/>
    <x v="8"/>
    <x v="1"/>
    <x v="1"/>
    <x v="2"/>
    <x v="0"/>
    <n v="3"/>
    <n v="241"/>
    <n v="723"/>
  </r>
  <r>
    <x v="233"/>
    <x v="55"/>
    <x v="2"/>
    <n v="2"/>
    <x v="11"/>
    <n v="1"/>
    <x v="0"/>
    <x v="0"/>
    <x v="2"/>
    <x v="1"/>
    <x v="1"/>
    <n v="1"/>
    <n v="51561"/>
    <n v="51561"/>
  </r>
  <r>
    <x v="233"/>
    <x v="168"/>
    <x v="0"/>
    <n v="7"/>
    <x v="9"/>
    <n v="3"/>
    <x v="0"/>
    <x v="0"/>
    <x v="2"/>
    <x v="1"/>
    <x v="1"/>
    <n v="1"/>
    <n v="51561"/>
    <n v="51561"/>
  </r>
  <r>
    <x v="234"/>
    <x v="515"/>
    <x v="0"/>
    <n v="4"/>
    <x v="4"/>
    <n v="2"/>
    <x v="9"/>
    <x v="3"/>
    <x v="3"/>
    <x v="0"/>
    <x v="1"/>
    <n v="2"/>
    <n v="1792"/>
    <n v="3584"/>
  </r>
  <r>
    <x v="234"/>
    <x v="12"/>
    <x v="0"/>
    <n v="12"/>
    <x v="7"/>
    <n v="4"/>
    <x v="9"/>
    <x v="3"/>
    <x v="3"/>
    <x v="0"/>
    <x v="1"/>
    <n v="2"/>
    <n v="1792"/>
    <n v="3584"/>
  </r>
  <r>
    <x v="235"/>
    <x v="516"/>
    <x v="1"/>
    <n v="2"/>
    <x v="11"/>
    <n v="1"/>
    <x v="2"/>
    <x v="1"/>
    <x v="3"/>
    <x v="0"/>
    <x v="1"/>
    <n v="1"/>
    <n v="17414"/>
    <n v="17414"/>
  </r>
  <r>
    <x v="235"/>
    <x v="497"/>
    <x v="0"/>
    <n v="5"/>
    <x v="8"/>
    <n v="2"/>
    <x v="2"/>
    <x v="1"/>
    <x v="3"/>
    <x v="0"/>
    <x v="1"/>
    <n v="1"/>
    <n v="17414"/>
    <n v="17414"/>
  </r>
  <r>
    <x v="236"/>
    <x v="517"/>
    <x v="1"/>
    <n v="4"/>
    <x v="4"/>
    <n v="2"/>
    <x v="3"/>
    <x v="1"/>
    <x v="5"/>
    <x v="1"/>
    <x v="2"/>
    <n v="5"/>
    <n v="417"/>
    <n v="2085"/>
  </r>
  <r>
    <x v="237"/>
    <x v="518"/>
    <x v="1"/>
    <n v="8"/>
    <x v="0"/>
    <n v="3"/>
    <x v="4"/>
    <x v="0"/>
    <x v="2"/>
    <x v="0"/>
    <x v="1"/>
    <n v="1"/>
    <n v="32293"/>
    <n v="32293"/>
  </r>
  <r>
    <x v="237"/>
    <x v="298"/>
    <x v="0"/>
    <n v="3"/>
    <x v="5"/>
    <n v="1"/>
    <x v="4"/>
    <x v="0"/>
    <x v="2"/>
    <x v="0"/>
    <x v="1"/>
    <n v="1"/>
    <n v="32293"/>
    <n v="32293"/>
  </r>
  <r>
    <x v="237"/>
    <x v="140"/>
    <x v="2"/>
    <n v="12"/>
    <x v="7"/>
    <n v="4"/>
    <x v="4"/>
    <x v="0"/>
    <x v="2"/>
    <x v="0"/>
    <x v="1"/>
    <n v="1"/>
    <n v="32293"/>
    <n v="32293"/>
  </r>
  <r>
    <x v="237"/>
    <x v="298"/>
    <x v="0"/>
    <n v="3"/>
    <x v="5"/>
    <n v="1"/>
    <x v="4"/>
    <x v="0"/>
    <x v="2"/>
    <x v="0"/>
    <x v="1"/>
    <n v="1"/>
    <n v="32293"/>
    <n v="32293"/>
  </r>
  <r>
    <x v="238"/>
    <x v="519"/>
    <x v="2"/>
    <n v="4"/>
    <x v="4"/>
    <n v="2"/>
    <x v="5"/>
    <x v="2"/>
    <x v="5"/>
    <x v="2"/>
    <x v="2"/>
    <n v="2"/>
    <n v="750"/>
    <n v="1500"/>
  </r>
  <r>
    <x v="238"/>
    <x v="113"/>
    <x v="2"/>
    <n v="4"/>
    <x v="4"/>
    <n v="2"/>
    <x v="5"/>
    <x v="2"/>
    <x v="5"/>
    <x v="2"/>
    <x v="2"/>
    <n v="2"/>
    <n v="750"/>
    <n v="1500"/>
  </r>
  <r>
    <x v="238"/>
    <x v="388"/>
    <x v="0"/>
    <n v="11"/>
    <x v="2"/>
    <n v="4"/>
    <x v="5"/>
    <x v="2"/>
    <x v="5"/>
    <x v="2"/>
    <x v="2"/>
    <n v="2"/>
    <n v="750"/>
    <n v="1500"/>
  </r>
  <r>
    <x v="239"/>
    <x v="378"/>
    <x v="0"/>
    <n v="10"/>
    <x v="6"/>
    <n v="4"/>
    <x v="6"/>
    <x v="3"/>
    <x v="5"/>
    <x v="0"/>
    <x v="2"/>
    <n v="3"/>
    <n v="1702"/>
    <n v="5106"/>
  </r>
  <r>
    <x v="239"/>
    <x v="520"/>
    <x v="0"/>
    <n v="6"/>
    <x v="1"/>
    <n v="2"/>
    <x v="6"/>
    <x v="3"/>
    <x v="5"/>
    <x v="0"/>
    <x v="2"/>
    <n v="3"/>
    <n v="1702"/>
    <n v="5106"/>
  </r>
  <r>
    <x v="239"/>
    <x v="521"/>
    <x v="2"/>
    <n v="11"/>
    <x v="2"/>
    <n v="4"/>
    <x v="6"/>
    <x v="3"/>
    <x v="5"/>
    <x v="0"/>
    <x v="2"/>
    <n v="3"/>
    <n v="1702"/>
    <n v="5106"/>
  </r>
  <r>
    <x v="240"/>
    <x v="337"/>
    <x v="0"/>
    <n v="5"/>
    <x v="8"/>
    <n v="2"/>
    <x v="7"/>
    <x v="0"/>
    <x v="1"/>
    <x v="1"/>
    <x v="0"/>
    <n v="1"/>
    <n v="10698"/>
    <n v="10698"/>
  </r>
  <r>
    <x v="241"/>
    <x v="84"/>
    <x v="1"/>
    <n v="2"/>
    <x v="11"/>
    <n v="1"/>
    <x v="8"/>
    <x v="1"/>
    <x v="1"/>
    <x v="0"/>
    <x v="1"/>
    <n v="3"/>
    <n v="468"/>
    <n v="1404"/>
  </r>
  <r>
    <x v="241"/>
    <x v="373"/>
    <x v="0"/>
    <n v="5"/>
    <x v="8"/>
    <n v="2"/>
    <x v="8"/>
    <x v="1"/>
    <x v="1"/>
    <x v="0"/>
    <x v="1"/>
    <n v="3"/>
    <n v="468"/>
    <n v="1404"/>
  </r>
  <r>
    <x v="241"/>
    <x v="268"/>
    <x v="1"/>
    <n v="5"/>
    <x v="8"/>
    <n v="2"/>
    <x v="8"/>
    <x v="1"/>
    <x v="1"/>
    <x v="0"/>
    <x v="1"/>
    <n v="3"/>
    <n v="468"/>
    <n v="1404"/>
  </r>
  <r>
    <x v="241"/>
    <x v="240"/>
    <x v="1"/>
    <n v="2"/>
    <x v="11"/>
    <n v="1"/>
    <x v="8"/>
    <x v="1"/>
    <x v="1"/>
    <x v="0"/>
    <x v="1"/>
    <n v="3"/>
    <n v="468"/>
    <n v="1404"/>
  </r>
  <r>
    <x v="242"/>
    <x v="148"/>
    <x v="1"/>
    <n v="1"/>
    <x v="3"/>
    <n v="1"/>
    <x v="0"/>
    <x v="0"/>
    <x v="2"/>
    <x v="1"/>
    <x v="2"/>
    <n v="2"/>
    <n v="57310"/>
    <n v="114620"/>
  </r>
  <r>
    <x v="242"/>
    <x v="522"/>
    <x v="0"/>
    <n v="5"/>
    <x v="8"/>
    <n v="2"/>
    <x v="0"/>
    <x v="0"/>
    <x v="2"/>
    <x v="1"/>
    <x v="2"/>
    <n v="2"/>
    <n v="57310"/>
    <n v="114620"/>
  </r>
  <r>
    <x v="242"/>
    <x v="458"/>
    <x v="0"/>
    <n v="9"/>
    <x v="10"/>
    <n v="3"/>
    <x v="0"/>
    <x v="0"/>
    <x v="2"/>
    <x v="1"/>
    <x v="2"/>
    <n v="2"/>
    <n v="57310"/>
    <n v="114620"/>
  </r>
  <r>
    <x v="242"/>
    <x v="2"/>
    <x v="0"/>
    <n v="6"/>
    <x v="1"/>
    <n v="2"/>
    <x v="0"/>
    <x v="0"/>
    <x v="2"/>
    <x v="1"/>
    <x v="2"/>
    <n v="2"/>
    <n v="57310"/>
    <n v="114620"/>
  </r>
  <r>
    <x v="243"/>
    <x v="523"/>
    <x v="2"/>
    <n v="2"/>
    <x v="11"/>
    <n v="1"/>
    <x v="1"/>
    <x v="0"/>
    <x v="5"/>
    <x v="1"/>
    <x v="2"/>
    <n v="1"/>
    <n v="1155"/>
    <n v="1155"/>
  </r>
  <r>
    <x v="243"/>
    <x v="361"/>
    <x v="2"/>
    <n v="11"/>
    <x v="2"/>
    <n v="4"/>
    <x v="1"/>
    <x v="0"/>
    <x v="5"/>
    <x v="1"/>
    <x v="2"/>
    <n v="1"/>
    <n v="1155"/>
    <n v="1155"/>
  </r>
  <r>
    <x v="243"/>
    <x v="424"/>
    <x v="2"/>
    <n v="5"/>
    <x v="8"/>
    <n v="2"/>
    <x v="1"/>
    <x v="0"/>
    <x v="5"/>
    <x v="1"/>
    <x v="2"/>
    <n v="1"/>
    <n v="1155"/>
    <n v="1155"/>
  </r>
  <r>
    <x v="243"/>
    <x v="512"/>
    <x v="0"/>
    <n v="6"/>
    <x v="1"/>
    <n v="2"/>
    <x v="1"/>
    <x v="0"/>
    <x v="5"/>
    <x v="1"/>
    <x v="2"/>
    <n v="1"/>
    <n v="1155"/>
    <n v="1155"/>
  </r>
  <r>
    <x v="243"/>
    <x v="524"/>
    <x v="1"/>
    <n v="2"/>
    <x v="11"/>
    <n v="1"/>
    <x v="1"/>
    <x v="0"/>
    <x v="5"/>
    <x v="1"/>
    <x v="2"/>
    <n v="1"/>
    <n v="1155"/>
    <n v="1155"/>
  </r>
  <r>
    <x v="244"/>
    <x v="525"/>
    <x v="0"/>
    <n v="11"/>
    <x v="2"/>
    <n v="4"/>
    <x v="2"/>
    <x v="1"/>
    <x v="2"/>
    <x v="2"/>
    <x v="2"/>
    <n v="2"/>
    <n v="11560"/>
    <n v="23120"/>
  </r>
  <r>
    <x v="244"/>
    <x v="526"/>
    <x v="1"/>
    <n v="11"/>
    <x v="2"/>
    <n v="4"/>
    <x v="2"/>
    <x v="1"/>
    <x v="2"/>
    <x v="2"/>
    <x v="2"/>
    <n v="2"/>
    <n v="11560"/>
    <n v="23120"/>
  </r>
  <r>
    <x v="244"/>
    <x v="320"/>
    <x v="1"/>
    <n v="6"/>
    <x v="1"/>
    <n v="2"/>
    <x v="2"/>
    <x v="1"/>
    <x v="2"/>
    <x v="2"/>
    <x v="2"/>
    <n v="2"/>
    <n v="11560"/>
    <n v="23120"/>
  </r>
  <r>
    <x v="244"/>
    <x v="527"/>
    <x v="1"/>
    <n v="4"/>
    <x v="4"/>
    <n v="2"/>
    <x v="2"/>
    <x v="1"/>
    <x v="2"/>
    <x v="2"/>
    <x v="2"/>
    <n v="2"/>
    <n v="11560"/>
    <n v="23120"/>
  </r>
  <r>
    <x v="244"/>
    <x v="528"/>
    <x v="1"/>
    <n v="11"/>
    <x v="2"/>
    <n v="4"/>
    <x v="2"/>
    <x v="1"/>
    <x v="2"/>
    <x v="2"/>
    <x v="2"/>
    <n v="2"/>
    <n v="11560"/>
    <n v="23120"/>
  </r>
  <r>
    <x v="245"/>
    <x v="507"/>
    <x v="2"/>
    <n v="3"/>
    <x v="5"/>
    <n v="1"/>
    <x v="3"/>
    <x v="1"/>
    <x v="2"/>
    <x v="1"/>
    <x v="1"/>
    <n v="3"/>
    <n v="457"/>
    <n v="1371"/>
  </r>
  <r>
    <x v="245"/>
    <x v="529"/>
    <x v="0"/>
    <n v="7"/>
    <x v="9"/>
    <n v="3"/>
    <x v="3"/>
    <x v="1"/>
    <x v="2"/>
    <x v="1"/>
    <x v="1"/>
    <n v="3"/>
    <n v="457"/>
    <n v="1371"/>
  </r>
  <r>
    <x v="245"/>
    <x v="530"/>
    <x v="2"/>
    <n v="1"/>
    <x v="3"/>
    <n v="1"/>
    <x v="3"/>
    <x v="1"/>
    <x v="2"/>
    <x v="1"/>
    <x v="1"/>
    <n v="3"/>
    <n v="457"/>
    <n v="1371"/>
  </r>
  <r>
    <x v="246"/>
    <x v="313"/>
    <x v="0"/>
    <n v="8"/>
    <x v="0"/>
    <n v="3"/>
    <x v="4"/>
    <x v="0"/>
    <x v="5"/>
    <x v="1"/>
    <x v="0"/>
    <n v="2"/>
    <n v="22337"/>
    <n v="44674"/>
  </r>
  <r>
    <x v="246"/>
    <x v="228"/>
    <x v="1"/>
    <n v="10"/>
    <x v="6"/>
    <n v="4"/>
    <x v="4"/>
    <x v="0"/>
    <x v="5"/>
    <x v="1"/>
    <x v="0"/>
    <n v="2"/>
    <n v="22337"/>
    <n v="44674"/>
  </r>
  <r>
    <x v="246"/>
    <x v="133"/>
    <x v="2"/>
    <n v="4"/>
    <x v="4"/>
    <n v="2"/>
    <x v="4"/>
    <x v="0"/>
    <x v="5"/>
    <x v="1"/>
    <x v="0"/>
    <n v="2"/>
    <n v="22337"/>
    <n v="44674"/>
  </r>
  <r>
    <x v="247"/>
    <x v="531"/>
    <x v="0"/>
    <n v="9"/>
    <x v="10"/>
    <n v="3"/>
    <x v="5"/>
    <x v="2"/>
    <x v="5"/>
    <x v="2"/>
    <x v="2"/>
    <n v="5"/>
    <n v="379"/>
    <n v="1895"/>
  </r>
  <r>
    <x v="247"/>
    <x v="410"/>
    <x v="1"/>
    <n v="8"/>
    <x v="0"/>
    <n v="3"/>
    <x v="5"/>
    <x v="2"/>
    <x v="5"/>
    <x v="2"/>
    <x v="2"/>
    <n v="5"/>
    <n v="379"/>
    <n v="1895"/>
  </r>
  <r>
    <x v="247"/>
    <x v="532"/>
    <x v="0"/>
    <n v="3"/>
    <x v="5"/>
    <n v="1"/>
    <x v="5"/>
    <x v="2"/>
    <x v="5"/>
    <x v="2"/>
    <x v="2"/>
    <n v="5"/>
    <n v="379"/>
    <n v="1895"/>
  </r>
  <r>
    <x v="248"/>
    <x v="122"/>
    <x v="1"/>
    <n v="9"/>
    <x v="10"/>
    <n v="3"/>
    <x v="7"/>
    <x v="0"/>
    <x v="3"/>
    <x v="1"/>
    <x v="1"/>
    <n v="2"/>
    <n v="13263"/>
    <n v="26526"/>
  </r>
  <r>
    <x v="248"/>
    <x v="420"/>
    <x v="0"/>
    <n v="3"/>
    <x v="5"/>
    <n v="1"/>
    <x v="7"/>
    <x v="0"/>
    <x v="3"/>
    <x v="1"/>
    <x v="1"/>
    <n v="2"/>
    <n v="13263"/>
    <n v="26526"/>
  </r>
  <r>
    <x v="249"/>
    <x v="125"/>
    <x v="1"/>
    <n v="5"/>
    <x v="8"/>
    <n v="2"/>
    <x v="8"/>
    <x v="1"/>
    <x v="2"/>
    <x v="0"/>
    <x v="1"/>
    <n v="4"/>
    <n v="503"/>
    <n v="2012"/>
  </r>
  <r>
    <x v="249"/>
    <x v="533"/>
    <x v="0"/>
    <n v="12"/>
    <x v="7"/>
    <n v="4"/>
    <x v="8"/>
    <x v="1"/>
    <x v="2"/>
    <x v="0"/>
    <x v="1"/>
    <n v="4"/>
    <n v="503"/>
    <n v="2012"/>
  </r>
  <r>
    <x v="249"/>
    <x v="393"/>
    <x v="0"/>
    <n v="4"/>
    <x v="4"/>
    <n v="2"/>
    <x v="8"/>
    <x v="1"/>
    <x v="2"/>
    <x v="0"/>
    <x v="1"/>
    <n v="4"/>
    <n v="503"/>
    <n v="2012"/>
  </r>
  <r>
    <x v="249"/>
    <x v="371"/>
    <x v="1"/>
    <n v="10"/>
    <x v="6"/>
    <n v="4"/>
    <x v="8"/>
    <x v="1"/>
    <x v="2"/>
    <x v="0"/>
    <x v="1"/>
    <n v="4"/>
    <n v="503"/>
    <n v="2012"/>
  </r>
  <r>
    <x v="250"/>
    <x v="534"/>
    <x v="2"/>
    <n v="6"/>
    <x v="1"/>
    <n v="2"/>
    <x v="0"/>
    <x v="0"/>
    <x v="0"/>
    <x v="0"/>
    <x v="0"/>
    <n v="1"/>
    <n v="53499"/>
    <n v="53499"/>
  </r>
  <r>
    <x v="250"/>
    <x v="535"/>
    <x v="2"/>
    <n v="6"/>
    <x v="1"/>
    <n v="2"/>
    <x v="0"/>
    <x v="0"/>
    <x v="0"/>
    <x v="0"/>
    <x v="0"/>
    <n v="1"/>
    <n v="53499"/>
    <n v="53499"/>
  </r>
  <r>
    <x v="250"/>
    <x v="461"/>
    <x v="0"/>
    <n v="6"/>
    <x v="1"/>
    <n v="2"/>
    <x v="0"/>
    <x v="0"/>
    <x v="0"/>
    <x v="0"/>
    <x v="0"/>
    <n v="1"/>
    <n v="53499"/>
    <n v="53499"/>
  </r>
  <r>
    <x v="250"/>
    <x v="170"/>
    <x v="1"/>
    <n v="4"/>
    <x v="4"/>
    <n v="2"/>
    <x v="0"/>
    <x v="0"/>
    <x v="0"/>
    <x v="0"/>
    <x v="0"/>
    <n v="1"/>
    <n v="53499"/>
    <n v="53499"/>
  </r>
  <r>
    <x v="250"/>
    <x v="265"/>
    <x v="0"/>
    <n v="6"/>
    <x v="1"/>
    <n v="2"/>
    <x v="0"/>
    <x v="0"/>
    <x v="0"/>
    <x v="0"/>
    <x v="0"/>
    <n v="1"/>
    <n v="53499"/>
    <n v="53499"/>
  </r>
  <r>
    <x v="251"/>
    <x v="536"/>
    <x v="1"/>
    <n v="10"/>
    <x v="6"/>
    <n v="4"/>
    <x v="1"/>
    <x v="0"/>
    <x v="4"/>
    <x v="0"/>
    <x v="1"/>
    <n v="1"/>
    <n v="3910"/>
    <n v="3910"/>
  </r>
  <r>
    <x v="251"/>
    <x v="537"/>
    <x v="2"/>
    <n v="2"/>
    <x v="11"/>
    <n v="1"/>
    <x v="1"/>
    <x v="0"/>
    <x v="4"/>
    <x v="0"/>
    <x v="1"/>
    <n v="1"/>
    <n v="3910"/>
    <n v="3910"/>
  </r>
  <r>
    <x v="251"/>
    <x v="109"/>
    <x v="1"/>
    <n v="7"/>
    <x v="9"/>
    <n v="3"/>
    <x v="1"/>
    <x v="0"/>
    <x v="4"/>
    <x v="0"/>
    <x v="1"/>
    <n v="1"/>
    <n v="3910"/>
    <n v="3910"/>
  </r>
  <r>
    <x v="251"/>
    <x v="444"/>
    <x v="0"/>
    <n v="12"/>
    <x v="7"/>
    <n v="4"/>
    <x v="1"/>
    <x v="0"/>
    <x v="4"/>
    <x v="0"/>
    <x v="1"/>
    <n v="1"/>
    <n v="3910"/>
    <n v="3910"/>
  </r>
  <r>
    <x v="251"/>
    <x v="31"/>
    <x v="1"/>
    <n v="11"/>
    <x v="2"/>
    <n v="4"/>
    <x v="1"/>
    <x v="0"/>
    <x v="4"/>
    <x v="0"/>
    <x v="1"/>
    <n v="1"/>
    <n v="3910"/>
    <n v="3910"/>
  </r>
  <r>
    <x v="252"/>
    <x v="148"/>
    <x v="1"/>
    <n v="1"/>
    <x v="3"/>
    <n v="1"/>
    <x v="9"/>
    <x v="3"/>
    <x v="3"/>
    <x v="2"/>
    <x v="0"/>
    <n v="1"/>
    <n v="3590"/>
    <n v="3590"/>
  </r>
  <r>
    <x v="252"/>
    <x v="538"/>
    <x v="2"/>
    <n v="7"/>
    <x v="9"/>
    <n v="3"/>
    <x v="9"/>
    <x v="3"/>
    <x v="3"/>
    <x v="2"/>
    <x v="0"/>
    <n v="1"/>
    <n v="3590"/>
    <n v="3590"/>
  </r>
  <r>
    <x v="252"/>
    <x v="193"/>
    <x v="0"/>
    <n v="1"/>
    <x v="3"/>
    <n v="1"/>
    <x v="9"/>
    <x v="3"/>
    <x v="3"/>
    <x v="2"/>
    <x v="0"/>
    <n v="1"/>
    <n v="3590"/>
    <n v="3590"/>
  </r>
  <r>
    <x v="252"/>
    <x v="539"/>
    <x v="2"/>
    <n v="2"/>
    <x v="11"/>
    <n v="1"/>
    <x v="9"/>
    <x v="3"/>
    <x v="3"/>
    <x v="2"/>
    <x v="0"/>
    <n v="1"/>
    <n v="3590"/>
    <n v="3590"/>
  </r>
  <r>
    <x v="253"/>
    <x v="540"/>
    <x v="2"/>
    <n v="10"/>
    <x v="6"/>
    <n v="4"/>
    <x v="2"/>
    <x v="1"/>
    <x v="4"/>
    <x v="2"/>
    <x v="1"/>
    <n v="5"/>
    <n v="4354"/>
    <n v="21770"/>
  </r>
  <r>
    <x v="253"/>
    <x v="35"/>
    <x v="1"/>
    <n v="4"/>
    <x v="4"/>
    <n v="2"/>
    <x v="2"/>
    <x v="1"/>
    <x v="4"/>
    <x v="2"/>
    <x v="1"/>
    <n v="5"/>
    <n v="4354"/>
    <n v="21770"/>
  </r>
  <r>
    <x v="253"/>
    <x v="541"/>
    <x v="2"/>
    <n v="8"/>
    <x v="0"/>
    <n v="3"/>
    <x v="2"/>
    <x v="1"/>
    <x v="4"/>
    <x v="2"/>
    <x v="1"/>
    <n v="5"/>
    <n v="4354"/>
    <n v="21770"/>
  </r>
  <r>
    <x v="254"/>
    <x v="487"/>
    <x v="1"/>
    <n v="11"/>
    <x v="2"/>
    <n v="4"/>
    <x v="3"/>
    <x v="1"/>
    <x v="0"/>
    <x v="0"/>
    <x v="0"/>
    <n v="1"/>
    <n v="878"/>
    <n v="878"/>
  </r>
  <r>
    <x v="254"/>
    <x v="542"/>
    <x v="1"/>
    <n v="8"/>
    <x v="0"/>
    <n v="3"/>
    <x v="3"/>
    <x v="1"/>
    <x v="0"/>
    <x v="0"/>
    <x v="0"/>
    <n v="1"/>
    <n v="878"/>
    <n v="878"/>
  </r>
  <r>
    <x v="254"/>
    <x v="459"/>
    <x v="1"/>
    <n v="3"/>
    <x v="5"/>
    <n v="1"/>
    <x v="3"/>
    <x v="1"/>
    <x v="0"/>
    <x v="0"/>
    <x v="0"/>
    <n v="1"/>
    <n v="878"/>
    <n v="878"/>
  </r>
  <r>
    <x v="254"/>
    <x v="543"/>
    <x v="2"/>
    <n v="12"/>
    <x v="7"/>
    <n v="4"/>
    <x v="3"/>
    <x v="1"/>
    <x v="0"/>
    <x v="0"/>
    <x v="0"/>
    <n v="1"/>
    <n v="878"/>
    <n v="878"/>
  </r>
  <r>
    <x v="255"/>
    <x v="544"/>
    <x v="2"/>
    <n v="10"/>
    <x v="6"/>
    <n v="4"/>
    <x v="4"/>
    <x v="0"/>
    <x v="5"/>
    <x v="2"/>
    <x v="2"/>
    <n v="1"/>
    <n v="28657"/>
    <n v="28657"/>
  </r>
  <r>
    <x v="255"/>
    <x v="16"/>
    <x v="1"/>
    <n v="12"/>
    <x v="7"/>
    <n v="4"/>
    <x v="4"/>
    <x v="0"/>
    <x v="5"/>
    <x v="2"/>
    <x v="2"/>
    <n v="1"/>
    <n v="28657"/>
    <n v="28657"/>
  </r>
  <r>
    <x v="256"/>
    <x v="545"/>
    <x v="2"/>
    <n v="12"/>
    <x v="7"/>
    <n v="4"/>
    <x v="5"/>
    <x v="2"/>
    <x v="1"/>
    <x v="0"/>
    <x v="2"/>
    <n v="1"/>
    <n v="394"/>
    <n v="394"/>
  </r>
  <r>
    <x v="256"/>
    <x v="0"/>
    <x v="0"/>
    <n v="8"/>
    <x v="0"/>
    <n v="3"/>
    <x v="5"/>
    <x v="2"/>
    <x v="1"/>
    <x v="0"/>
    <x v="2"/>
    <n v="1"/>
    <n v="394"/>
    <n v="394"/>
  </r>
  <r>
    <x v="256"/>
    <x v="316"/>
    <x v="1"/>
    <n v="1"/>
    <x v="3"/>
    <n v="1"/>
    <x v="5"/>
    <x v="2"/>
    <x v="1"/>
    <x v="0"/>
    <x v="2"/>
    <n v="1"/>
    <n v="394"/>
    <n v="394"/>
  </r>
  <r>
    <x v="257"/>
    <x v="546"/>
    <x v="2"/>
    <n v="5"/>
    <x v="8"/>
    <n v="2"/>
    <x v="6"/>
    <x v="3"/>
    <x v="3"/>
    <x v="0"/>
    <x v="1"/>
    <n v="3"/>
    <n v="1554"/>
    <n v="4662"/>
  </r>
  <r>
    <x v="257"/>
    <x v="253"/>
    <x v="0"/>
    <n v="2"/>
    <x v="11"/>
    <n v="1"/>
    <x v="6"/>
    <x v="3"/>
    <x v="3"/>
    <x v="0"/>
    <x v="1"/>
    <n v="3"/>
    <n v="1554"/>
    <n v="4662"/>
  </r>
  <r>
    <x v="257"/>
    <x v="473"/>
    <x v="0"/>
    <n v="10"/>
    <x v="6"/>
    <n v="4"/>
    <x v="6"/>
    <x v="3"/>
    <x v="3"/>
    <x v="0"/>
    <x v="1"/>
    <n v="3"/>
    <n v="1554"/>
    <n v="4662"/>
  </r>
  <r>
    <x v="258"/>
    <x v="547"/>
    <x v="2"/>
    <n v="6"/>
    <x v="1"/>
    <n v="2"/>
    <x v="7"/>
    <x v="0"/>
    <x v="4"/>
    <x v="2"/>
    <x v="1"/>
    <n v="1"/>
    <n v="4066"/>
    <n v="4066"/>
  </r>
  <r>
    <x v="258"/>
    <x v="309"/>
    <x v="1"/>
    <n v="2"/>
    <x v="11"/>
    <n v="1"/>
    <x v="7"/>
    <x v="0"/>
    <x v="4"/>
    <x v="2"/>
    <x v="1"/>
    <n v="1"/>
    <n v="4066"/>
    <n v="4066"/>
  </r>
  <r>
    <x v="258"/>
    <x v="515"/>
    <x v="0"/>
    <n v="4"/>
    <x v="4"/>
    <n v="2"/>
    <x v="7"/>
    <x v="0"/>
    <x v="4"/>
    <x v="2"/>
    <x v="1"/>
    <n v="1"/>
    <n v="4066"/>
    <n v="4066"/>
  </r>
  <r>
    <x v="259"/>
    <x v="266"/>
    <x v="1"/>
    <n v="12"/>
    <x v="7"/>
    <n v="4"/>
    <x v="8"/>
    <x v="1"/>
    <x v="1"/>
    <x v="1"/>
    <x v="1"/>
    <n v="5"/>
    <n v="210"/>
    <n v="1050"/>
  </r>
  <r>
    <x v="259"/>
    <x v="234"/>
    <x v="0"/>
    <n v="5"/>
    <x v="8"/>
    <n v="2"/>
    <x v="8"/>
    <x v="1"/>
    <x v="1"/>
    <x v="1"/>
    <x v="1"/>
    <n v="5"/>
    <n v="210"/>
    <n v="1050"/>
  </r>
  <r>
    <x v="259"/>
    <x v="186"/>
    <x v="0"/>
    <n v="9"/>
    <x v="10"/>
    <n v="3"/>
    <x v="8"/>
    <x v="1"/>
    <x v="1"/>
    <x v="1"/>
    <x v="1"/>
    <n v="5"/>
    <n v="210"/>
    <n v="1050"/>
  </r>
  <r>
    <x v="259"/>
    <x v="548"/>
    <x v="1"/>
    <n v="12"/>
    <x v="7"/>
    <n v="4"/>
    <x v="8"/>
    <x v="1"/>
    <x v="1"/>
    <x v="1"/>
    <x v="1"/>
    <n v="5"/>
    <n v="210"/>
    <n v="1050"/>
  </r>
  <r>
    <x v="259"/>
    <x v="549"/>
    <x v="0"/>
    <n v="10"/>
    <x v="6"/>
    <n v="4"/>
    <x v="8"/>
    <x v="1"/>
    <x v="1"/>
    <x v="1"/>
    <x v="1"/>
    <n v="5"/>
    <n v="210"/>
    <n v="1050"/>
  </r>
  <r>
    <x v="259"/>
    <x v="359"/>
    <x v="0"/>
    <n v="10"/>
    <x v="6"/>
    <n v="4"/>
    <x v="8"/>
    <x v="1"/>
    <x v="1"/>
    <x v="1"/>
    <x v="1"/>
    <n v="5"/>
    <n v="210"/>
    <n v="1050"/>
  </r>
  <r>
    <x v="260"/>
    <x v="550"/>
    <x v="0"/>
    <n v="6"/>
    <x v="1"/>
    <n v="2"/>
    <x v="0"/>
    <x v="0"/>
    <x v="4"/>
    <x v="2"/>
    <x v="0"/>
    <n v="1"/>
    <n v="40792"/>
    <n v="40792"/>
  </r>
  <r>
    <x v="261"/>
    <x v="551"/>
    <x v="1"/>
    <n v="2"/>
    <x v="11"/>
    <n v="1"/>
    <x v="1"/>
    <x v="0"/>
    <x v="1"/>
    <x v="1"/>
    <x v="0"/>
    <n v="2"/>
    <n v="3380"/>
    <n v="6760"/>
  </r>
  <r>
    <x v="261"/>
    <x v="157"/>
    <x v="2"/>
    <n v="12"/>
    <x v="7"/>
    <n v="4"/>
    <x v="1"/>
    <x v="0"/>
    <x v="1"/>
    <x v="1"/>
    <x v="0"/>
    <n v="2"/>
    <n v="3380"/>
    <n v="6760"/>
  </r>
  <r>
    <x v="262"/>
    <x v="268"/>
    <x v="1"/>
    <n v="5"/>
    <x v="8"/>
    <n v="2"/>
    <x v="9"/>
    <x v="3"/>
    <x v="3"/>
    <x v="0"/>
    <x v="0"/>
    <n v="2"/>
    <n v="1061"/>
    <n v="2122"/>
  </r>
  <r>
    <x v="262"/>
    <x v="552"/>
    <x v="0"/>
    <n v="4"/>
    <x v="4"/>
    <n v="2"/>
    <x v="9"/>
    <x v="3"/>
    <x v="3"/>
    <x v="0"/>
    <x v="0"/>
    <n v="2"/>
    <n v="1061"/>
    <n v="2122"/>
  </r>
  <r>
    <x v="263"/>
    <x v="553"/>
    <x v="0"/>
    <n v="1"/>
    <x v="3"/>
    <n v="1"/>
    <x v="2"/>
    <x v="1"/>
    <x v="3"/>
    <x v="2"/>
    <x v="1"/>
    <n v="5"/>
    <n v="9610"/>
    <n v="48050"/>
  </r>
  <r>
    <x v="264"/>
    <x v="554"/>
    <x v="0"/>
    <n v="3"/>
    <x v="5"/>
    <n v="1"/>
    <x v="3"/>
    <x v="1"/>
    <x v="1"/>
    <x v="2"/>
    <x v="1"/>
    <n v="1"/>
    <n v="901"/>
    <n v="901"/>
  </r>
  <r>
    <x v="264"/>
    <x v="315"/>
    <x v="1"/>
    <n v="5"/>
    <x v="8"/>
    <n v="2"/>
    <x v="3"/>
    <x v="1"/>
    <x v="1"/>
    <x v="2"/>
    <x v="1"/>
    <n v="1"/>
    <n v="901"/>
    <n v="901"/>
  </r>
  <r>
    <x v="264"/>
    <x v="216"/>
    <x v="1"/>
    <n v="6"/>
    <x v="1"/>
    <n v="2"/>
    <x v="3"/>
    <x v="1"/>
    <x v="1"/>
    <x v="2"/>
    <x v="1"/>
    <n v="1"/>
    <n v="901"/>
    <n v="901"/>
  </r>
  <r>
    <x v="265"/>
    <x v="139"/>
    <x v="1"/>
    <n v="6"/>
    <x v="1"/>
    <n v="2"/>
    <x v="4"/>
    <x v="0"/>
    <x v="2"/>
    <x v="2"/>
    <x v="0"/>
    <n v="2"/>
    <n v="18752"/>
    <n v="37504"/>
  </r>
  <r>
    <x v="265"/>
    <x v="555"/>
    <x v="1"/>
    <n v="8"/>
    <x v="0"/>
    <n v="3"/>
    <x v="4"/>
    <x v="0"/>
    <x v="2"/>
    <x v="2"/>
    <x v="0"/>
    <n v="2"/>
    <n v="18752"/>
    <n v="37504"/>
  </r>
  <r>
    <x v="265"/>
    <x v="335"/>
    <x v="0"/>
    <n v="9"/>
    <x v="10"/>
    <n v="3"/>
    <x v="4"/>
    <x v="0"/>
    <x v="2"/>
    <x v="2"/>
    <x v="0"/>
    <n v="2"/>
    <n v="18752"/>
    <n v="37504"/>
  </r>
  <r>
    <x v="265"/>
    <x v="556"/>
    <x v="0"/>
    <n v="12"/>
    <x v="7"/>
    <n v="4"/>
    <x v="4"/>
    <x v="0"/>
    <x v="2"/>
    <x v="2"/>
    <x v="0"/>
    <n v="2"/>
    <n v="18752"/>
    <n v="37504"/>
  </r>
  <r>
    <x v="265"/>
    <x v="557"/>
    <x v="1"/>
    <n v="8"/>
    <x v="0"/>
    <n v="3"/>
    <x v="4"/>
    <x v="0"/>
    <x v="2"/>
    <x v="2"/>
    <x v="0"/>
    <n v="2"/>
    <n v="18752"/>
    <n v="37504"/>
  </r>
  <r>
    <x v="265"/>
    <x v="558"/>
    <x v="1"/>
    <n v="10"/>
    <x v="6"/>
    <n v="4"/>
    <x v="4"/>
    <x v="0"/>
    <x v="2"/>
    <x v="2"/>
    <x v="0"/>
    <n v="2"/>
    <n v="18752"/>
    <n v="37504"/>
  </r>
  <r>
    <x v="266"/>
    <x v="559"/>
    <x v="2"/>
    <n v="1"/>
    <x v="3"/>
    <n v="1"/>
    <x v="5"/>
    <x v="2"/>
    <x v="1"/>
    <x v="0"/>
    <x v="0"/>
    <n v="1"/>
    <n v="129"/>
    <n v="129"/>
  </r>
  <r>
    <x v="266"/>
    <x v="560"/>
    <x v="1"/>
    <n v="7"/>
    <x v="9"/>
    <n v="3"/>
    <x v="5"/>
    <x v="2"/>
    <x v="1"/>
    <x v="0"/>
    <x v="0"/>
    <n v="1"/>
    <n v="129"/>
    <n v="129"/>
  </r>
  <r>
    <x v="266"/>
    <x v="561"/>
    <x v="0"/>
    <n v="1"/>
    <x v="3"/>
    <n v="1"/>
    <x v="5"/>
    <x v="2"/>
    <x v="1"/>
    <x v="0"/>
    <x v="0"/>
    <n v="1"/>
    <n v="129"/>
    <n v="129"/>
  </r>
  <r>
    <x v="267"/>
    <x v="335"/>
    <x v="0"/>
    <n v="9"/>
    <x v="10"/>
    <n v="3"/>
    <x v="6"/>
    <x v="3"/>
    <x v="3"/>
    <x v="0"/>
    <x v="1"/>
    <n v="1"/>
    <n v="828"/>
    <n v="828"/>
  </r>
  <r>
    <x v="267"/>
    <x v="528"/>
    <x v="1"/>
    <n v="11"/>
    <x v="2"/>
    <n v="4"/>
    <x v="6"/>
    <x v="3"/>
    <x v="3"/>
    <x v="0"/>
    <x v="1"/>
    <n v="1"/>
    <n v="828"/>
    <n v="828"/>
  </r>
  <r>
    <x v="268"/>
    <x v="81"/>
    <x v="0"/>
    <n v="1"/>
    <x v="3"/>
    <n v="1"/>
    <x v="7"/>
    <x v="0"/>
    <x v="4"/>
    <x v="1"/>
    <x v="1"/>
    <n v="2"/>
    <n v="4999"/>
    <n v="9998"/>
  </r>
  <r>
    <x v="268"/>
    <x v="562"/>
    <x v="2"/>
    <n v="7"/>
    <x v="9"/>
    <n v="3"/>
    <x v="7"/>
    <x v="0"/>
    <x v="4"/>
    <x v="1"/>
    <x v="1"/>
    <n v="2"/>
    <n v="4999"/>
    <n v="9998"/>
  </r>
  <r>
    <x v="268"/>
    <x v="342"/>
    <x v="0"/>
    <n v="11"/>
    <x v="2"/>
    <n v="4"/>
    <x v="7"/>
    <x v="0"/>
    <x v="4"/>
    <x v="1"/>
    <x v="1"/>
    <n v="2"/>
    <n v="4999"/>
    <n v="9998"/>
  </r>
  <r>
    <x v="268"/>
    <x v="563"/>
    <x v="0"/>
    <n v="7"/>
    <x v="9"/>
    <n v="3"/>
    <x v="7"/>
    <x v="0"/>
    <x v="4"/>
    <x v="1"/>
    <x v="1"/>
    <n v="2"/>
    <n v="4999"/>
    <n v="9998"/>
  </r>
  <r>
    <x v="269"/>
    <x v="265"/>
    <x v="0"/>
    <n v="6"/>
    <x v="1"/>
    <n v="2"/>
    <x v="8"/>
    <x v="1"/>
    <x v="2"/>
    <x v="1"/>
    <x v="0"/>
    <n v="4"/>
    <n v="677"/>
    <n v="2708"/>
  </r>
  <r>
    <x v="269"/>
    <x v="564"/>
    <x v="0"/>
    <n v="8"/>
    <x v="0"/>
    <n v="3"/>
    <x v="8"/>
    <x v="1"/>
    <x v="2"/>
    <x v="1"/>
    <x v="0"/>
    <n v="4"/>
    <n v="677"/>
    <n v="2708"/>
  </r>
  <r>
    <x v="269"/>
    <x v="565"/>
    <x v="2"/>
    <n v="2"/>
    <x v="11"/>
    <n v="1"/>
    <x v="8"/>
    <x v="1"/>
    <x v="2"/>
    <x v="1"/>
    <x v="0"/>
    <n v="4"/>
    <n v="677"/>
    <n v="2708"/>
  </r>
  <r>
    <x v="270"/>
    <x v="566"/>
    <x v="2"/>
    <n v="11"/>
    <x v="2"/>
    <n v="4"/>
    <x v="0"/>
    <x v="0"/>
    <x v="3"/>
    <x v="2"/>
    <x v="0"/>
    <n v="1"/>
    <n v="47291"/>
    <n v="47291"/>
  </r>
  <r>
    <x v="270"/>
    <x v="567"/>
    <x v="2"/>
    <n v="6"/>
    <x v="1"/>
    <n v="2"/>
    <x v="0"/>
    <x v="0"/>
    <x v="3"/>
    <x v="2"/>
    <x v="0"/>
    <n v="1"/>
    <n v="47291"/>
    <n v="47291"/>
  </r>
  <r>
    <x v="270"/>
    <x v="568"/>
    <x v="1"/>
    <n v="3"/>
    <x v="5"/>
    <n v="1"/>
    <x v="0"/>
    <x v="0"/>
    <x v="3"/>
    <x v="2"/>
    <x v="0"/>
    <n v="1"/>
    <n v="47291"/>
    <n v="47291"/>
  </r>
  <r>
    <x v="271"/>
    <x v="347"/>
    <x v="0"/>
    <n v="12"/>
    <x v="7"/>
    <n v="4"/>
    <x v="1"/>
    <x v="0"/>
    <x v="2"/>
    <x v="2"/>
    <x v="0"/>
    <n v="3"/>
    <n v="2127"/>
    <n v="6381"/>
  </r>
  <r>
    <x v="271"/>
    <x v="270"/>
    <x v="0"/>
    <n v="10"/>
    <x v="6"/>
    <n v="4"/>
    <x v="1"/>
    <x v="0"/>
    <x v="2"/>
    <x v="2"/>
    <x v="0"/>
    <n v="3"/>
    <n v="2127"/>
    <n v="6381"/>
  </r>
  <r>
    <x v="271"/>
    <x v="569"/>
    <x v="2"/>
    <n v="1"/>
    <x v="3"/>
    <n v="1"/>
    <x v="1"/>
    <x v="0"/>
    <x v="2"/>
    <x v="2"/>
    <x v="0"/>
    <n v="3"/>
    <n v="2127"/>
    <n v="6381"/>
  </r>
  <r>
    <x v="272"/>
    <x v="570"/>
    <x v="0"/>
    <n v="6"/>
    <x v="1"/>
    <n v="2"/>
    <x v="9"/>
    <x v="3"/>
    <x v="1"/>
    <x v="1"/>
    <x v="0"/>
    <n v="3"/>
    <n v="2869"/>
    <n v="8607"/>
  </r>
  <r>
    <x v="272"/>
    <x v="571"/>
    <x v="0"/>
    <n v="11"/>
    <x v="2"/>
    <n v="4"/>
    <x v="9"/>
    <x v="3"/>
    <x v="1"/>
    <x v="1"/>
    <x v="0"/>
    <n v="3"/>
    <n v="2869"/>
    <n v="8607"/>
  </r>
  <r>
    <x v="272"/>
    <x v="440"/>
    <x v="2"/>
    <n v="7"/>
    <x v="9"/>
    <n v="3"/>
    <x v="9"/>
    <x v="3"/>
    <x v="1"/>
    <x v="1"/>
    <x v="0"/>
    <n v="3"/>
    <n v="2869"/>
    <n v="8607"/>
  </r>
  <r>
    <x v="272"/>
    <x v="341"/>
    <x v="0"/>
    <n v="11"/>
    <x v="2"/>
    <n v="4"/>
    <x v="9"/>
    <x v="3"/>
    <x v="1"/>
    <x v="1"/>
    <x v="0"/>
    <n v="3"/>
    <n v="2869"/>
    <n v="8607"/>
  </r>
  <r>
    <x v="272"/>
    <x v="188"/>
    <x v="2"/>
    <n v="12"/>
    <x v="7"/>
    <n v="4"/>
    <x v="9"/>
    <x v="3"/>
    <x v="1"/>
    <x v="1"/>
    <x v="0"/>
    <n v="3"/>
    <n v="2869"/>
    <n v="8607"/>
  </r>
  <r>
    <x v="273"/>
    <x v="572"/>
    <x v="2"/>
    <n v="8"/>
    <x v="0"/>
    <n v="3"/>
    <x v="2"/>
    <x v="1"/>
    <x v="4"/>
    <x v="2"/>
    <x v="2"/>
    <n v="3"/>
    <n v="7361"/>
    <n v="22083"/>
  </r>
  <r>
    <x v="273"/>
    <x v="69"/>
    <x v="0"/>
    <n v="10"/>
    <x v="6"/>
    <n v="4"/>
    <x v="2"/>
    <x v="1"/>
    <x v="4"/>
    <x v="2"/>
    <x v="2"/>
    <n v="3"/>
    <n v="7361"/>
    <n v="22083"/>
  </r>
  <r>
    <x v="273"/>
    <x v="573"/>
    <x v="2"/>
    <n v="10"/>
    <x v="6"/>
    <n v="4"/>
    <x v="2"/>
    <x v="1"/>
    <x v="4"/>
    <x v="2"/>
    <x v="2"/>
    <n v="3"/>
    <n v="7361"/>
    <n v="22083"/>
  </r>
  <r>
    <x v="273"/>
    <x v="574"/>
    <x v="0"/>
    <n v="5"/>
    <x v="8"/>
    <n v="2"/>
    <x v="2"/>
    <x v="1"/>
    <x v="4"/>
    <x v="2"/>
    <x v="2"/>
    <n v="3"/>
    <n v="7361"/>
    <n v="22083"/>
  </r>
  <r>
    <x v="274"/>
    <x v="463"/>
    <x v="1"/>
    <n v="2"/>
    <x v="11"/>
    <n v="1"/>
    <x v="4"/>
    <x v="0"/>
    <x v="3"/>
    <x v="1"/>
    <x v="1"/>
    <n v="1"/>
    <n v="16337"/>
    <n v="16337"/>
  </r>
  <r>
    <x v="274"/>
    <x v="575"/>
    <x v="2"/>
    <n v="4"/>
    <x v="4"/>
    <n v="2"/>
    <x v="4"/>
    <x v="0"/>
    <x v="3"/>
    <x v="1"/>
    <x v="1"/>
    <n v="1"/>
    <n v="16337"/>
    <n v="16337"/>
  </r>
  <r>
    <x v="274"/>
    <x v="576"/>
    <x v="0"/>
    <n v="4"/>
    <x v="4"/>
    <n v="2"/>
    <x v="4"/>
    <x v="0"/>
    <x v="3"/>
    <x v="1"/>
    <x v="1"/>
    <n v="1"/>
    <n v="16337"/>
    <n v="16337"/>
  </r>
  <r>
    <x v="274"/>
    <x v="115"/>
    <x v="0"/>
    <n v="12"/>
    <x v="7"/>
    <n v="4"/>
    <x v="4"/>
    <x v="0"/>
    <x v="3"/>
    <x v="1"/>
    <x v="1"/>
    <n v="1"/>
    <n v="16337"/>
    <n v="16337"/>
  </r>
  <r>
    <x v="275"/>
    <x v="446"/>
    <x v="0"/>
    <n v="1"/>
    <x v="3"/>
    <n v="1"/>
    <x v="5"/>
    <x v="2"/>
    <x v="0"/>
    <x v="0"/>
    <x v="0"/>
    <n v="3"/>
    <n v="295"/>
    <n v="885"/>
  </r>
  <r>
    <x v="275"/>
    <x v="461"/>
    <x v="0"/>
    <n v="6"/>
    <x v="1"/>
    <n v="2"/>
    <x v="5"/>
    <x v="2"/>
    <x v="0"/>
    <x v="0"/>
    <x v="0"/>
    <n v="3"/>
    <n v="295"/>
    <n v="885"/>
  </r>
  <r>
    <x v="275"/>
    <x v="577"/>
    <x v="0"/>
    <n v="4"/>
    <x v="4"/>
    <n v="2"/>
    <x v="5"/>
    <x v="2"/>
    <x v="0"/>
    <x v="0"/>
    <x v="0"/>
    <n v="3"/>
    <n v="295"/>
    <n v="885"/>
  </r>
  <r>
    <x v="275"/>
    <x v="578"/>
    <x v="2"/>
    <n v="12"/>
    <x v="7"/>
    <n v="4"/>
    <x v="5"/>
    <x v="2"/>
    <x v="0"/>
    <x v="0"/>
    <x v="0"/>
    <n v="3"/>
    <n v="295"/>
    <n v="885"/>
  </r>
  <r>
    <x v="275"/>
    <x v="473"/>
    <x v="0"/>
    <n v="10"/>
    <x v="6"/>
    <n v="4"/>
    <x v="5"/>
    <x v="2"/>
    <x v="0"/>
    <x v="0"/>
    <x v="0"/>
    <n v="3"/>
    <n v="295"/>
    <n v="885"/>
  </r>
  <r>
    <x v="276"/>
    <x v="579"/>
    <x v="2"/>
    <n v="12"/>
    <x v="7"/>
    <n v="4"/>
    <x v="6"/>
    <x v="3"/>
    <x v="5"/>
    <x v="0"/>
    <x v="1"/>
    <n v="2"/>
    <n v="1486"/>
    <n v="2972"/>
  </r>
  <r>
    <x v="277"/>
    <x v="580"/>
    <x v="0"/>
    <n v="11"/>
    <x v="2"/>
    <n v="4"/>
    <x v="7"/>
    <x v="0"/>
    <x v="5"/>
    <x v="0"/>
    <x v="2"/>
    <n v="2"/>
    <n v="12872"/>
    <n v="25744"/>
  </r>
  <r>
    <x v="277"/>
    <x v="496"/>
    <x v="0"/>
    <n v="5"/>
    <x v="8"/>
    <n v="2"/>
    <x v="7"/>
    <x v="0"/>
    <x v="5"/>
    <x v="0"/>
    <x v="2"/>
    <n v="2"/>
    <n v="12872"/>
    <n v="25744"/>
  </r>
  <r>
    <x v="277"/>
    <x v="54"/>
    <x v="1"/>
    <n v="3"/>
    <x v="5"/>
    <n v="1"/>
    <x v="7"/>
    <x v="0"/>
    <x v="5"/>
    <x v="0"/>
    <x v="2"/>
    <n v="2"/>
    <n v="12872"/>
    <n v="25744"/>
  </r>
  <r>
    <x v="277"/>
    <x v="250"/>
    <x v="1"/>
    <n v="8"/>
    <x v="0"/>
    <n v="3"/>
    <x v="7"/>
    <x v="0"/>
    <x v="5"/>
    <x v="0"/>
    <x v="2"/>
    <n v="2"/>
    <n v="12872"/>
    <n v="25744"/>
  </r>
  <r>
    <x v="278"/>
    <x v="336"/>
    <x v="1"/>
    <n v="3"/>
    <x v="5"/>
    <n v="1"/>
    <x v="8"/>
    <x v="1"/>
    <x v="2"/>
    <x v="1"/>
    <x v="1"/>
    <n v="3"/>
    <n v="740"/>
    <n v="2220"/>
  </r>
  <r>
    <x v="278"/>
    <x v="93"/>
    <x v="0"/>
    <n v="2"/>
    <x v="11"/>
    <n v="1"/>
    <x v="8"/>
    <x v="1"/>
    <x v="2"/>
    <x v="1"/>
    <x v="1"/>
    <n v="3"/>
    <n v="740"/>
    <n v="2220"/>
  </r>
  <r>
    <x v="278"/>
    <x v="53"/>
    <x v="0"/>
    <n v="9"/>
    <x v="10"/>
    <n v="3"/>
    <x v="8"/>
    <x v="1"/>
    <x v="2"/>
    <x v="1"/>
    <x v="1"/>
    <n v="3"/>
    <n v="740"/>
    <n v="2220"/>
  </r>
  <r>
    <x v="279"/>
    <x v="210"/>
    <x v="2"/>
    <n v="9"/>
    <x v="10"/>
    <n v="3"/>
    <x v="0"/>
    <x v="0"/>
    <x v="5"/>
    <x v="1"/>
    <x v="0"/>
    <n v="1"/>
    <n v="69296"/>
    <n v="69296"/>
  </r>
  <r>
    <x v="279"/>
    <x v="559"/>
    <x v="2"/>
    <n v="1"/>
    <x v="3"/>
    <n v="1"/>
    <x v="0"/>
    <x v="0"/>
    <x v="5"/>
    <x v="1"/>
    <x v="0"/>
    <n v="1"/>
    <n v="69296"/>
    <n v="69296"/>
  </r>
  <r>
    <x v="279"/>
    <x v="424"/>
    <x v="2"/>
    <n v="5"/>
    <x v="8"/>
    <n v="2"/>
    <x v="0"/>
    <x v="0"/>
    <x v="5"/>
    <x v="1"/>
    <x v="0"/>
    <n v="1"/>
    <n v="69296"/>
    <n v="69296"/>
  </r>
  <r>
    <x v="279"/>
    <x v="581"/>
    <x v="2"/>
    <n v="7"/>
    <x v="9"/>
    <n v="3"/>
    <x v="0"/>
    <x v="0"/>
    <x v="5"/>
    <x v="1"/>
    <x v="0"/>
    <n v="1"/>
    <n v="69296"/>
    <n v="69296"/>
  </r>
  <r>
    <x v="280"/>
    <x v="71"/>
    <x v="0"/>
    <n v="1"/>
    <x v="3"/>
    <n v="1"/>
    <x v="1"/>
    <x v="0"/>
    <x v="4"/>
    <x v="0"/>
    <x v="1"/>
    <n v="1"/>
    <n v="3960"/>
    <n v="3960"/>
  </r>
  <r>
    <x v="280"/>
    <x v="441"/>
    <x v="0"/>
    <n v="5"/>
    <x v="8"/>
    <n v="2"/>
    <x v="1"/>
    <x v="0"/>
    <x v="4"/>
    <x v="0"/>
    <x v="1"/>
    <n v="1"/>
    <n v="3960"/>
    <n v="3960"/>
  </r>
  <r>
    <x v="280"/>
    <x v="582"/>
    <x v="2"/>
    <n v="2"/>
    <x v="11"/>
    <n v="1"/>
    <x v="1"/>
    <x v="0"/>
    <x v="4"/>
    <x v="0"/>
    <x v="1"/>
    <n v="1"/>
    <n v="3960"/>
    <n v="3960"/>
  </r>
  <r>
    <x v="280"/>
    <x v="264"/>
    <x v="1"/>
    <n v="4"/>
    <x v="4"/>
    <n v="2"/>
    <x v="1"/>
    <x v="0"/>
    <x v="4"/>
    <x v="0"/>
    <x v="1"/>
    <n v="1"/>
    <n v="3960"/>
    <n v="3960"/>
  </r>
  <r>
    <x v="280"/>
    <x v="350"/>
    <x v="0"/>
    <n v="5"/>
    <x v="8"/>
    <n v="2"/>
    <x v="1"/>
    <x v="0"/>
    <x v="4"/>
    <x v="0"/>
    <x v="1"/>
    <n v="1"/>
    <n v="3960"/>
    <n v="3960"/>
  </r>
  <r>
    <x v="280"/>
    <x v="583"/>
    <x v="1"/>
    <n v="2"/>
    <x v="11"/>
    <n v="1"/>
    <x v="1"/>
    <x v="0"/>
    <x v="4"/>
    <x v="0"/>
    <x v="1"/>
    <n v="1"/>
    <n v="3960"/>
    <n v="3960"/>
  </r>
  <r>
    <x v="281"/>
    <x v="299"/>
    <x v="0"/>
    <n v="11"/>
    <x v="2"/>
    <n v="4"/>
    <x v="9"/>
    <x v="3"/>
    <x v="5"/>
    <x v="0"/>
    <x v="1"/>
    <n v="3"/>
    <n v="4486"/>
    <n v="13458"/>
  </r>
  <r>
    <x v="281"/>
    <x v="584"/>
    <x v="1"/>
    <n v="3"/>
    <x v="5"/>
    <n v="1"/>
    <x v="9"/>
    <x v="3"/>
    <x v="5"/>
    <x v="0"/>
    <x v="1"/>
    <n v="3"/>
    <n v="4486"/>
    <n v="13458"/>
  </r>
  <r>
    <x v="282"/>
    <x v="585"/>
    <x v="1"/>
    <n v="11"/>
    <x v="2"/>
    <n v="4"/>
    <x v="2"/>
    <x v="1"/>
    <x v="5"/>
    <x v="0"/>
    <x v="1"/>
    <n v="1"/>
    <n v="18146"/>
    <n v="18146"/>
  </r>
  <r>
    <x v="282"/>
    <x v="480"/>
    <x v="1"/>
    <n v="9"/>
    <x v="10"/>
    <n v="3"/>
    <x v="2"/>
    <x v="1"/>
    <x v="5"/>
    <x v="0"/>
    <x v="1"/>
    <n v="1"/>
    <n v="18146"/>
    <n v="18146"/>
  </r>
  <r>
    <x v="282"/>
    <x v="260"/>
    <x v="0"/>
    <n v="3"/>
    <x v="5"/>
    <n v="1"/>
    <x v="2"/>
    <x v="1"/>
    <x v="5"/>
    <x v="0"/>
    <x v="1"/>
    <n v="1"/>
    <n v="18146"/>
    <n v="18146"/>
  </r>
  <r>
    <x v="282"/>
    <x v="586"/>
    <x v="1"/>
    <n v="8"/>
    <x v="0"/>
    <n v="3"/>
    <x v="2"/>
    <x v="1"/>
    <x v="5"/>
    <x v="0"/>
    <x v="1"/>
    <n v="1"/>
    <n v="18146"/>
    <n v="18146"/>
  </r>
  <r>
    <x v="283"/>
    <x v="587"/>
    <x v="1"/>
    <n v="9"/>
    <x v="10"/>
    <n v="3"/>
    <x v="4"/>
    <x v="0"/>
    <x v="1"/>
    <x v="2"/>
    <x v="1"/>
    <n v="1"/>
    <n v="34548"/>
    <n v="34548"/>
  </r>
  <r>
    <x v="283"/>
    <x v="181"/>
    <x v="0"/>
    <n v="12"/>
    <x v="7"/>
    <n v="4"/>
    <x v="4"/>
    <x v="0"/>
    <x v="1"/>
    <x v="2"/>
    <x v="1"/>
    <n v="1"/>
    <n v="34548"/>
    <n v="34548"/>
  </r>
  <r>
    <x v="283"/>
    <x v="588"/>
    <x v="1"/>
    <n v="7"/>
    <x v="9"/>
    <n v="3"/>
    <x v="4"/>
    <x v="0"/>
    <x v="1"/>
    <x v="2"/>
    <x v="1"/>
    <n v="1"/>
    <n v="34548"/>
    <n v="34548"/>
  </r>
  <r>
    <x v="283"/>
    <x v="48"/>
    <x v="2"/>
    <n v="5"/>
    <x v="8"/>
    <n v="2"/>
    <x v="4"/>
    <x v="0"/>
    <x v="1"/>
    <x v="2"/>
    <x v="1"/>
    <n v="1"/>
    <n v="34548"/>
    <n v="34548"/>
  </r>
  <r>
    <x v="284"/>
    <x v="556"/>
    <x v="0"/>
    <n v="12"/>
    <x v="7"/>
    <n v="4"/>
    <x v="5"/>
    <x v="2"/>
    <x v="4"/>
    <x v="2"/>
    <x v="2"/>
    <n v="1"/>
    <n v="925"/>
    <n v="925"/>
  </r>
  <r>
    <x v="285"/>
    <x v="293"/>
    <x v="1"/>
    <n v="12"/>
    <x v="7"/>
    <n v="4"/>
    <x v="6"/>
    <x v="3"/>
    <x v="5"/>
    <x v="1"/>
    <x v="2"/>
    <n v="4"/>
    <n v="899"/>
    <n v="3596"/>
  </r>
  <r>
    <x v="286"/>
    <x v="589"/>
    <x v="0"/>
    <n v="5"/>
    <x v="8"/>
    <n v="2"/>
    <x v="7"/>
    <x v="0"/>
    <x v="3"/>
    <x v="1"/>
    <x v="0"/>
    <n v="2"/>
    <n v="11888"/>
    <n v="23776"/>
  </r>
  <r>
    <x v="286"/>
    <x v="590"/>
    <x v="1"/>
    <n v="6"/>
    <x v="1"/>
    <n v="2"/>
    <x v="7"/>
    <x v="0"/>
    <x v="3"/>
    <x v="1"/>
    <x v="0"/>
    <n v="2"/>
    <n v="11888"/>
    <n v="23776"/>
  </r>
  <r>
    <x v="286"/>
    <x v="591"/>
    <x v="0"/>
    <n v="5"/>
    <x v="8"/>
    <n v="2"/>
    <x v="7"/>
    <x v="0"/>
    <x v="3"/>
    <x v="1"/>
    <x v="0"/>
    <n v="2"/>
    <n v="11888"/>
    <n v="23776"/>
  </r>
  <r>
    <x v="287"/>
    <x v="443"/>
    <x v="1"/>
    <n v="3"/>
    <x v="5"/>
    <n v="1"/>
    <x v="0"/>
    <x v="0"/>
    <x v="1"/>
    <x v="1"/>
    <x v="2"/>
    <n v="1"/>
    <n v="57645"/>
    <n v="57645"/>
  </r>
  <r>
    <x v="288"/>
    <x v="592"/>
    <x v="0"/>
    <n v="6"/>
    <x v="1"/>
    <n v="2"/>
    <x v="1"/>
    <x v="0"/>
    <x v="1"/>
    <x v="0"/>
    <x v="0"/>
    <n v="2"/>
    <n v="3967"/>
    <n v="7934"/>
  </r>
  <r>
    <x v="288"/>
    <x v="522"/>
    <x v="0"/>
    <n v="5"/>
    <x v="8"/>
    <n v="2"/>
    <x v="1"/>
    <x v="0"/>
    <x v="1"/>
    <x v="0"/>
    <x v="0"/>
    <n v="2"/>
    <n v="3967"/>
    <n v="7934"/>
  </r>
  <r>
    <x v="289"/>
    <x v="593"/>
    <x v="1"/>
    <n v="11"/>
    <x v="2"/>
    <n v="4"/>
    <x v="9"/>
    <x v="3"/>
    <x v="1"/>
    <x v="0"/>
    <x v="1"/>
    <n v="1"/>
    <n v="4593"/>
    <n v="4593"/>
  </r>
  <r>
    <x v="289"/>
    <x v="447"/>
    <x v="1"/>
    <n v="8"/>
    <x v="0"/>
    <n v="3"/>
    <x v="9"/>
    <x v="3"/>
    <x v="1"/>
    <x v="0"/>
    <x v="1"/>
    <n v="1"/>
    <n v="4593"/>
    <n v="4593"/>
  </r>
  <r>
    <x v="290"/>
    <x v="264"/>
    <x v="1"/>
    <n v="4"/>
    <x v="4"/>
    <n v="2"/>
    <x v="2"/>
    <x v="1"/>
    <x v="1"/>
    <x v="1"/>
    <x v="2"/>
    <n v="4"/>
    <n v="5728"/>
    <n v="22912"/>
  </r>
  <r>
    <x v="290"/>
    <x v="302"/>
    <x v="1"/>
    <n v="12"/>
    <x v="7"/>
    <n v="4"/>
    <x v="2"/>
    <x v="1"/>
    <x v="1"/>
    <x v="1"/>
    <x v="2"/>
    <n v="4"/>
    <n v="5728"/>
    <n v="22912"/>
  </r>
  <r>
    <x v="290"/>
    <x v="445"/>
    <x v="0"/>
    <n v="11"/>
    <x v="2"/>
    <n v="4"/>
    <x v="2"/>
    <x v="1"/>
    <x v="1"/>
    <x v="1"/>
    <x v="2"/>
    <n v="4"/>
    <n v="5728"/>
    <n v="22912"/>
  </r>
  <r>
    <x v="290"/>
    <x v="594"/>
    <x v="0"/>
    <n v="4"/>
    <x v="4"/>
    <n v="2"/>
    <x v="2"/>
    <x v="1"/>
    <x v="1"/>
    <x v="1"/>
    <x v="2"/>
    <n v="4"/>
    <n v="5728"/>
    <n v="22912"/>
  </r>
  <r>
    <x v="291"/>
    <x v="441"/>
    <x v="0"/>
    <n v="5"/>
    <x v="8"/>
    <n v="2"/>
    <x v="3"/>
    <x v="1"/>
    <x v="5"/>
    <x v="1"/>
    <x v="2"/>
    <n v="2"/>
    <n v="498"/>
    <n v="996"/>
  </r>
  <r>
    <x v="291"/>
    <x v="299"/>
    <x v="0"/>
    <n v="11"/>
    <x v="2"/>
    <n v="4"/>
    <x v="3"/>
    <x v="1"/>
    <x v="5"/>
    <x v="1"/>
    <x v="2"/>
    <n v="2"/>
    <n v="498"/>
    <n v="996"/>
  </r>
  <r>
    <x v="291"/>
    <x v="595"/>
    <x v="0"/>
    <n v="1"/>
    <x v="3"/>
    <n v="1"/>
    <x v="3"/>
    <x v="1"/>
    <x v="5"/>
    <x v="1"/>
    <x v="2"/>
    <n v="2"/>
    <n v="498"/>
    <n v="996"/>
  </r>
  <r>
    <x v="292"/>
    <x v="368"/>
    <x v="0"/>
    <n v="3"/>
    <x v="5"/>
    <n v="1"/>
    <x v="4"/>
    <x v="0"/>
    <x v="4"/>
    <x v="1"/>
    <x v="1"/>
    <n v="2"/>
    <n v="39710"/>
    <n v="79420"/>
  </r>
  <r>
    <x v="293"/>
    <x v="596"/>
    <x v="1"/>
    <n v="2"/>
    <x v="11"/>
    <n v="1"/>
    <x v="5"/>
    <x v="2"/>
    <x v="1"/>
    <x v="0"/>
    <x v="0"/>
    <n v="3"/>
    <n v="197"/>
    <n v="591"/>
  </r>
  <r>
    <x v="293"/>
    <x v="137"/>
    <x v="0"/>
    <n v="1"/>
    <x v="3"/>
    <n v="1"/>
    <x v="5"/>
    <x v="2"/>
    <x v="1"/>
    <x v="0"/>
    <x v="0"/>
    <n v="3"/>
    <n v="197"/>
    <n v="591"/>
  </r>
  <r>
    <x v="293"/>
    <x v="142"/>
    <x v="2"/>
    <n v="10"/>
    <x v="6"/>
    <n v="4"/>
    <x v="5"/>
    <x v="2"/>
    <x v="1"/>
    <x v="0"/>
    <x v="0"/>
    <n v="3"/>
    <n v="197"/>
    <n v="591"/>
  </r>
  <r>
    <x v="293"/>
    <x v="597"/>
    <x v="0"/>
    <n v="7"/>
    <x v="9"/>
    <n v="3"/>
    <x v="5"/>
    <x v="2"/>
    <x v="1"/>
    <x v="0"/>
    <x v="0"/>
    <n v="3"/>
    <n v="197"/>
    <n v="591"/>
  </r>
  <r>
    <x v="294"/>
    <x v="598"/>
    <x v="0"/>
    <n v="7"/>
    <x v="9"/>
    <n v="3"/>
    <x v="6"/>
    <x v="3"/>
    <x v="3"/>
    <x v="1"/>
    <x v="1"/>
    <n v="2"/>
    <n v="1815"/>
    <n v="3630"/>
  </r>
  <r>
    <x v="295"/>
    <x v="599"/>
    <x v="2"/>
    <n v="8"/>
    <x v="0"/>
    <n v="3"/>
    <x v="7"/>
    <x v="0"/>
    <x v="0"/>
    <x v="0"/>
    <x v="1"/>
    <n v="2"/>
    <n v="3949"/>
    <n v="7898"/>
  </r>
  <r>
    <x v="296"/>
    <x v="346"/>
    <x v="1"/>
    <n v="5"/>
    <x v="8"/>
    <n v="2"/>
    <x v="8"/>
    <x v="1"/>
    <x v="4"/>
    <x v="1"/>
    <x v="2"/>
    <n v="1"/>
    <n v="208"/>
    <n v="208"/>
  </r>
  <r>
    <x v="296"/>
    <x v="351"/>
    <x v="0"/>
    <n v="10"/>
    <x v="6"/>
    <n v="4"/>
    <x v="8"/>
    <x v="1"/>
    <x v="4"/>
    <x v="1"/>
    <x v="2"/>
    <n v="1"/>
    <n v="208"/>
    <n v="208"/>
  </r>
  <r>
    <x v="297"/>
    <x v="600"/>
    <x v="2"/>
    <n v="12"/>
    <x v="7"/>
    <n v="4"/>
    <x v="0"/>
    <x v="0"/>
    <x v="4"/>
    <x v="1"/>
    <x v="2"/>
    <n v="1"/>
    <n v="50605"/>
    <n v="50605"/>
  </r>
  <r>
    <x v="298"/>
    <x v="601"/>
    <x v="2"/>
    <n v="11"/>
    <x v="2"/>
    <n v="4"/>
    <x v="1"/>
    <x v="0"/>
    <x v="3"/>
    <x v="1"/>
    <x v="2"/>
    <n v="3"/>
    <n v="4319"/>
    <n v="12957"/>
  </r>
  <r>
    <x v="298"/>
    <x v="492"/>
    <x v="2"/>
    <n v="7"/>
    <x v="9"/>
    <n v="3"/>
    <x v="1"/>
    <x v="0"/>
    <x v="3"/>
    <x v="1"/>
    <x v="2"/>
    <n v="3"/>
    <n v="4319"/>
    <n v="12957"/>
  </r>
  <r>
    <x v="298"/>
    <x v="86"/>
    <x v="0"/>
    <n v="7"/>
    <x v="9"/>
    <n v="3"/>
    <x v="1"/>
    <x v="0"/>
    <x v="3"/>
    <x v="1"/>
    <x v="2"/>
    <n v="3"/>
    <n v="4319"/>
    <n v="12957"/>
  </r>
  <r>
    <x v="298"/>
    <x v="453"/>
    <x v="0"/>
    <n v="5"/>
    <x v="8"/>
    <n v="2"/>
    <x v="1"/>
    <x v="0"/>
    <x v="3"/>
    <x v="1"/>
    <x v="2"/>
    <n v="3"/>
    <n v="4319"/>
    <n v="12957"/>
  </r>
  <r>
    <x v="298"/>
    <x v="602"/>
    <x v="0"/>
    <n v="8"/>
    <x v="0"/>
    <n v="3"/>
    <x v="1"/>
    <x v="0"/>
    <x v="3"/>
    <x v="1"/>
    <x v="2"/>
    <n v="3"/>
    <n v="4319"/>
    <n v="12957"/>
  </r>
  <r>
    <x v="298"/>
    <x v="603"/>
    <x v="2"/>
    <n v="9"/>
    <x v="10"/>
    <n v="3"/>
    <x v="1"/>
    <x v="0"/>
    <x v="3"/>
    <x v="1"/>
    <x v="2"/>
    <n v="3"/>
    <n v="4319"/>
    <n v="12957"/>
  </r>
  <r>
    <x v="298"/>
    <x v="604"/>
    <x v="1"/>
    <n v="11"/>
    <x v="2"/>
    <n v="4"/>
    <x v="1"/>
    <x v="0"/>
    <x v="3"/>
    <x v="1"/>
    <x v="2"/>
    <n v="3"/>
    <n v="4319"/>
    <n v="12957"/>
  </r>
  <r>
    <x v="298"/>
    <x v="187"/>
    <x v="0"/>
    <n v="3"/>
    <x v="5"/>
    <n v="1"/>
    <x v="1"/>
    <x v="0"/>
    <x v="3"/>
    <x v="1"/>
    <x v="2"/>
    <n v="3"/>
    <n v="4319"/>
    <n v="12957"/>
  </r>
  <r>
    <x v="298"/>
    <x v="605"/>
    <x v="0"/>
    <n v="1"/>
    <x v="3"/>
    <n v="1"/>
    <x v="1"/>
    <x v="0"/>
    <x v="3"/>
    <x v="1"/>
    <x v="2"/>
    <n v="3"/>
    <n v="4319"/>
    <n v="12957"/>
  </r>
  <r>
    <x v="299"/>
    <x v="82"/>
    <x v="2"/>
    <n v="1"/>
    <x v="3"/>
    <n v="1"/>
    <x v="9"/>
    <x v="3"/>
    <x v="1"/>
    <x v="1"/>
    <x v="0"/>
    <n v="1"/>
    <n v="3721"/>
    <n v="3721"/>
  </r>
  <r>
    <x v="299"/>
    <x v="153"/>
    <x v="0"/>
    <n v="9"/>
    <x v="10"/>
    <n v="3"/>
    <x v="9"/>
    <x v="3"/>
    <x v="1"/>
    <x v="1"/>
    <x v="0"/>
    <n v="1"/>
    <n v="3721"/>
    <n v="3721"/>
  </r>
  <r>
    <x v="300"/>
    <x v="606"/>
    <x v="2"/>
    <n v="10"/>
    <x v="6"/>
    <n v="4"/>
    <x v="2"/>
    <x v="1"/>
    <x v="2"/>
    <x v="0"/>
    <x v="1"/>
    <n v="2"/>
    <n v="12930"/>
    <n v="25860"/>
  </r>
  <r>
    <x v="300"/>
    <x v="502"/>
    <x v="2"/>
    <n v="9"/>
    <x v="10"/>
    <n v="3"/>
    <x v="2"/>
    <x v="1"/>
    <x v="2"/>
    <x v="0"/>
    <x v="1"/>
    <n v="2"/>
    <n v="12930"/>
    <n v="25860"/>
  </r>
  <r>
    <x v="300"/>
    <x v="258"/>
    <x v="1"/>
    <n v="5"/>
    <x v="8"/>
    <n v="2"/>
    <x v="2"/>
    <x v="1"/>
    <x v="2"/>
    <x v="0"/>
    <x v="1"/>
    <n v="2"/>
    <n v="12930"/>
    <n v="25860"/>
  </r>
  <r>
    <x v="300"/>
    <x v="510"/>
    <x v="1"/>
    <n v="8"/>
    <x v="0"/>
    <n v="3"/>
    <x v="2"/>
    <x v="1"/>
    <x v="2"/>
    <x v="0"/>
    <x v="1"/>
    <n v="2"/>
    <n v="12930"/>
    <n v="25860"/>
  </r>
  <r>
    <x v="300"/>
    <x v="35"/>
    <x v="1"/>
    <n v="4"/>
    <x v="4"/>
    <n v="2"/>
    <x v="2"/>
    <x v="1"/>
    <x v="2"/>
    <x v="0"/>
    <x v="1"/>
    <n v="2"/>
    <n v="12930"/>
    <n v="25860"/>
  </r>
  <r>
    <x v="300"/>
    <x v="599"/>
    <x v="2"/>
    <n v="8"/>
    <x v="0"/>
    <n v="3"/>
    <x v="2"/>
    <x v="1"/>
    <x v="2"/>
    <x v="0"/>
    <x v="1"/>
    <n v="2"/>
    <n v="12930"/>
    <n v="25860"/>
  </r>
  <r>
    <x v="300"/>
    <x v="48"/>
    <x v="2"/>
    <n v="5"/>
    <x v="8"/>
    <n v="2"/>
    <x v="2"/>
    <x v="1"/>
    <x v="2"/>
    <x v="0"/>
    <x v="1"/>
    <n v="2"/>
    <n v="12930"/>
    <n v="25860"/>
  </r>
  <r>
    <x v="301"/>
    <x v="425"/>
    <x v="0"/>
    <n v="5"/>
    <x v="8"/>
    <n v="2"/>
    <x v="3"/>
    <x v="1"/>
    <x v="2"/>
    <x v="2"/>
    <x v="0"/>
    <n v="4"/>
    <n v="707"/>
    <n v="2828"/>
  </r>
  <r>
    <x v="301"/>
    <x v="61"/>
    <x v="0"/>
    <n v="9"/>
    <x v="10"/>
    <n v="3"/>
    <x v="3"/>
    <x v="1"/>
    <x v="2"/>
    <x v="2"/>
    <x v="0"/>
    <n v="4"/>
    <n v="707"/>
    <n v="2828"/>
  </r>
  <r>
    <x v="302"/>
    <x v="607"/>
    <x v="1"/>
    <n v="3"/>
    <x v="5"/>
    <n v="1"/>
    <x v="4"/>
    <x v="0"/>
    <x v="3"/>
    <x v="2"/>
    <x v="0"/>
    <n v="2"/>
    <n v="36907"/>
    <n v="73814"/>
  </r>
  <r>
    <x v="302"/>
    <x v="608"/>
    <x v="0"/>
    <n v="2"/>
    <x v="11"/>
    <n v="1"/>
    <x v="4"/>
    <x v="0"/>
    <x v="3"/>
    <x v="2"/>
    <x v="0"/>
    <n v="2"/>
    <n v="36907"/>
    <n v="73814"/>
  </r>
  <r>
    <x v="302"/>
    <x v="273"/>
    <x v="2"/>
    <n v="4"/>
    <x v="4"/>
    <n v="2"/>
    <x v="4"/>
    <x v="0"/>
    <x v="3"/>
    <x v="2"/>
    <x v="0"/>
    <n v="2"/>
    <n v="36907"/>
    <n v="73814"/>
  </r>
  <r>
    <x v="302"/>
    <x v="39"/>
    <x v="2"/>
    <n v="6"/>
    <x v="1"/>
    <n v="2"/>
    <x v="4"/>
    <x v="0"/>
    <x v="3"/>
    <x v="2"/>
    <x v="0"/>
    <n v="2"/>
    <n v="36907"/>
    <n v="73814"/>
  </r>
  <r>
    <x v="302"/>
    <x v="609"/>
    <x v="2"/>
    <n v="4"/>
    <x v="4"/>
    <n v="2"/>
    <x v="4"/>
    <x v="0"/>
    <x v="3"/>
    <x v="2"/>
    <x v="0"/>
    <n v="2"/>
    <n v="36907"/>
    <n v="73814"/>
  </r>
  <r>
    <x v="303"/>
    <x v="416"/>
    <x v="2"/>
    <n v="11"/>
    <x v="2"/>
    <n v="4"/>
    <x v="5"/>
    <x v="2"/>
    <x v="1"/>
    <x v="1"/>
    <x v="2"/>
    <n v="1"/>
    <n v="942"/>
    <n v="942"/>
  </r>
  <r>
    <x v="303"/>
    <x v="96"/>
    <x v="1"/>
    <n v="1"/>
    <x v="3"/>
    <n v="1"/>
    <x v="5"/>
    <x v="2"/>
    <x v="1"/>
    <x v="1"/>
    <x v="2"/>
    <n v="1"/>
    <n v="942"/>
    <n v="942"/>
  </r>
  <r>
    <x v="304"/>
    <x v="586"/>
    <x v="1"/>
    <n v="8"/>
    <x v="0"/>
    <n v="3"/>
    <x v="6"/>
    <x v="3"/>
    <x v="4"/>
    <x v="0"/>
    <x v="1"/>
    <n v="3"/>
    <n v="826"/>
    <n v="2478"/>
  </r>
  <r>
    <x v="304"/>
    <x v="610"/>
    <x v="2"/>
    <n v="7"/>
    <x v="9"/>
    <n v="3"/>
    <x v="6"/>
    <x v="3"/>
    <x v="4"/>
    <x v="0"/>
    <x v="1"/>
    <n v="3"/>
    <n v="826"/>
    <n v="2478"/>
  </r>
  <r>
    <x v="305"/>
    <x v="611"/>
    <x v="0"/>
    <n v="10"/>
    <x v="6"/>
    <n v="4"/>
    <x v="7"/>
    <x v="0"/>
    <x v="3"/>
    <x v="2"/>
    <x v="0"/>
    <n v="1"/>
    <n v="3941"/>
    <n v="3941"/>
  </r>
  <r>
    <x v="305"/>
    <x v="353"/>
    <x v="2"/>
    <n v="5"/>
    <x v="8"/>
    <n v="2"/>
    <x v="7"/>
    <x v="0"/>
    <x v="3"/>
    <x v="2"/>
    <x v="0"/>
    <n v="1"/>
    <n v="3941"/>
    <n v="3941"/>
  </r>
  <r>
    <x v="305"/>
    <x v="612"/>
    <x v="1"/>
    <n v="11"/>
    <x v="2"/>
    <n v="4"/>
    <x v="7"/>
    <x v="0"/>
    <x v="3"/>
    <x v="2"/>
    <x v="0"/>
    <n v="1"/>
    <n v="3941"/>
    <n v="3941"/>
  </r>
  <r>
    <x v="305"/>
    <x v="430"/>
    <x v="1"/>
    <n v="8"/>
    <x v="0"/>
    <n v="3"/>
    <x v="7"/>
    <x v="0"/>
    <x v="3"/>
    <x v="2"/>
    <x v="0"/>
    <n v="1"/>
    <n v="3941"/>
    <n v="3941"/>
  </r>
  <r>
    <x v="306"/>
    <x v="604"/>
    <x v="1"/>
    <n v="11"/>
    <x v="2"/>
    <n v="4"/>
    <x v="8"/>
    <x v="1"/>
    <x v="0"/>
    <x v="1"/>
    <x v="0"/>
    <n v="2"/>
    <n v="476"/>
    <n v="952"/>
  </r>
  <r>
    <x v="306"/>
    <x v="422"/>
    <x v="1"/>
    <n v="8"/>
    <x v="0"/>
    <n v="3"/>
    <x v="8"/>
    <x v="1"/>
    <x v="0"/>
    <x v="1"/>
    <x v="0"/>
    <n v="2"/>
    <n v="476"/>
    <n v="952"/>
  </r>
  <r>
    <x v="306"/>
    <x v="613"/>
    <x v="0"/>
    <n v="10"/>
    <x v="6"/>
    <n v="4"/>
    <x v="8"/>
    <x v="1"/>
    <x v="0"/>
    <x v="1"/>
    <x v="0"/>
    <n v="2"/>
    <n v="476"/>
    <n v="952"/>
  </r>
  <r>
    <x v="307"/>
    <x v="271"/>
    <x v="1"/>
    <n v="4"/>
    <x v="4"/>
    <n v="2"/>
    <x v="1"/>
    <x v="0"/>
    <x v="5"/>
    <x v="2"/>
    <x v="1"/>
    <n v="1"/>
    <n v="4084"/>
    <n v="4084"/>
  </r>
  <r>
    <x v="307"/>
    <x v="614"/>
    <x v="2"/>
    <n v="6"/>
    <x v="1"/>
    <n v="2"/>
    <x v="1"/>
    <x v="0"/>
    <x v="5"/>
    <x v="2"/>
    <x v="1"/>
    <n v="1"/>
    <n v="4084"/>
    <n v="4084"/>
  </r>
  <r>
    <x v="307"/>
    <x v="615"/>
    <x v="0"/>
    <n v="1"/>
    <x v="3"/>
    <n v="1"/>
    <x v="1"/>
    <x v="0"/>
    <x v="5"/>
    <x v="2"/>
    <x v="1"/>
    <n v="1"/>
    <n v="4084"/>
    <n v="4084"/>
  </r>
  <r>
    <x v="308"/>
    <x v="70"/>
    <x v="1"/>
    <n v="9"/>
    <x v="10"/>
    <n v="3"/>
    <x v="9"/>
    <x v="3"/>
    <x v="2"/>
    <x v="2"/>
    <x v="1"/>
    <n v="3"/>
    <n v="3098"/>
    <n v="9294"/>
  </r>
  <r>
    <x v="309"/>
    <x v="616"/>
    <x v="1"/>
    <n v="7"/>
    <x v="9"/>
    <n v="3"/>
    <x v="2"/>
    <x v="1"/>
    <x v="4"/>
    <x v="0"/>
    <x v="2"/>
    <n v="5"/>
    <n v="18226"/>
    <n v="91130"/>
  </r>
  <r>
    <x v="309"/>
    <x v="68"/>
    <x v="1"/>
    <n v="5"/>
    <x v="8"/>
    <n v="2"/>
    <x v="2"/>
    <x v="1"/>
    <x v="4"/>
    <x v="0"/>
    <x v="2"/>
    <n v="5"/>
    <n v="18226"/>
    <n v="91130"/>
  </r>
  <r>
    <x v="309"/>
    <x v="18"/>
    <x v="0"/>
    <n v="8"/>
    <x v="0"/>
    <n v="3"/>
    <x v="2"/>
    <x v="1"/>
    <x v="4"/>
    <x v="0"/>
    <x v="2"/>
    <n v="5"/>
    <n v="18226"/>
    <n v="91130"/>
  </r>
  <r>
    <x v="309"/>
    <x v="594"/>
    <x v="0"/>
    <n v="4"/>
    <x v="4"/>
    <n v="2"/>
    <x v="2"/>
    <x v="1"/>
    <x v="4"/>
    <x v="0"/>
    <x v="2"/>
    <n v="5"/>
    <n v="18226"/>
    <n v="91130"/>
  </r>
  <r>
    <x v="310"/>
    <x v="617"/>
    <x v="2"/>
    <n v="1"/>
    <x v="3"/>
    <n v="1"/>
    <x v="3"/>
    <x v="1"/>
    <x v="0"/>
    <x v="2"/>
    <x v="2"/>
    <n v="5"/>
    <n v="298"/>
    <n v="1490"/>
  </r>
  <r>
    <x v="310"/>
    <x v="618"/>
    <x v="2"/>
    <n v="10"/>
    <x v="6"/>
    <n v="4"/>
    <x v="3"/>
    <x v="1"/>
    <x v="0"/>
    <x v="2"/>
    <x v="2"/>
    <n v="5"/>
    <n v="298"/>
    <n v="1490"/>
  </r>
  <r>
    <x v="310"/>
    <x v="150"/>
    <x v="0"/>
    <n v="5"/>
    <x v="8"/>
    <n v="2"/>
    <x v="3"/>
    <x v="1"/>
    <x v="0"/>
    <x v="2"/>
    <x v="2"/>
    <n v="5"/>
    <n v="298"/>
    <n v="1490"/>
  </r>
  <r>
    <x v="310"/>
    <x v="619"/>
    <x v="2"/>
    <n v="7"/>
    <x v="9"/>
    <n v="3"/>
    <x v="3"/>
    <x v="1"/>
    <x v="0"/>
    <x v="2"/>
    <x v="2"/>
    <n v="5"/>
    <n v="298"/>
    <n v="1490"/>
  </r>
  <r>
    <x v="311"/>
    <x v="63"/>
    <x v="0"/>
    <n v="5"/>
    <x v="8"/>
    <n v="2"/>
    <x v="4"/>
    <x v="0"/>
    <x v="3"/>
    <x v="1"/>
    <x v="2"/>
    <n v="2"/>
    <n v="12992"/>
    <n v="25984"/>
  </r>
  <r>
    <x v="311"/>
    <x v="620"/>
    <x v="1"/>
    <n v="8"/>
    <x v="0"/>
    <n v="3"/>
    <x v="4"/>
    <x v="0"/>
    <x v="3"/>
    <x v="1"/>
    <x v="2"/>
    <n v="2"/>
    <n v="12992"/>
    <n v="25984"/>
  </r>
  <r>
    <x v="312"/>
    <x v="461"/>
    <x v="0"/>
    <n v="6"/>
    <x v="1"/>
    <n v="2"/>
    <x v="5"/>
    <x v="2"/>
    <x v="1"/>
    <x v="1"/>
    <x v="2"/>
    <n v="5"/>
    <n v="984"/>
    <n v="4920"/>
  </r>
  <r>
    <x v="312"/>
    <x v="621"/>
    <x v="1"/>
    <n v="2"/>
    <x v="11"/>
    <n v="1"/>
    <x v="5"/>
    <x v="2"/>
    <x v="1"/>
    <x v="1"/>
    <x v="2"/>
    <n v="5"/>
    <n v="984"/>
    <n v="4920"/>
  </r>
  <r>
    <x v="312"/>
    <x v="142"/>
    <x v="2"/>
    <n v="10"/>
    <x v="6"/>
    <n v="4"/>
    <x v="5"/>
    <x v="2"/>
    <x v="1"/>
    <x v="1"/>
    <x v="2"/>
    <n v="5"/>
    <n v="984"/>
    <n v="4920"/>
  </r>
  <r>
    <x v="312"/>
    <x v="622"/>
    <x v="0"/>
    <n v="10"/>
    <x v="6"/>
    <n v="4"/>
    <x v="5"/>
    <x v="2"/>
    <x v="1"/>
    <x v="1"/>
    <x v="2"/>
    <n v="5"/>
    <n v="984"/>
    <n v="4920"/>
  </r>
  <r>
    <x v="312"/>
    <x v="398"/>
    <x v="1"/>
    <n v="3"/>
    <x v="5"/>
    <n v="1"/>
    <x v="5"/>
    <x v="2"/>
    <x v="1"/>
    <x v="1"/>
    <x v="2"/>
    <n v="5"/>
    <n v="984"/>
    <n v="4920"/>
  </r>
  <r>
    <x v="312"/>
    <x v="623"/>
    <x v="2"/>
    <n v="2"/>
    <x v="11"/>
    <n v="1"/>
    <x v="5"/>
    <x v="2"/>
    <x v="1"/>
    <x v="1"/>
    <x v="2"/>
    <n v="5"/>
    <n v="984"/>
    <n v="4920"/>
  </r>
  <r>
    <x v="313"/>
    <x v="624"/>
    <x v="2"/>
    <n v="8"/>
    <x v="0"/>
    <n v="3"/>
    <x v="6"/>
    <x v="3"/>
    <x v="0"/>
    <x v="0"/>
    <x v="0"/>
    <n v="5"/>
    <n v="1432"/>
    <n v="7160"/>
  </r>
  <r>
    <x v="313"/>
    <x v="625"/>
    <x v="1"/>
    <n v="9"/>
    <x v="10"/>
    <n v="3"/>
    <x v="6"/>
    <x v="3"/>
    <x v="0"/>
    <x v="0"/>
    <x v="0"/>
    <n v="5"/>
    <n v="1432"/>
    <n v="7160"/>
  </r>
  <r>
    <x v="313"/>
    <x v="274"/>
    <x v="0"/>
    <n v="10"/>
    <x v="6"/>
    <n v="4"/>
    <x v="6"/>
    <x v="3"/>
    <x v="0"/>
    <x v="0"/>
    <x v="0"/>
    <n v="5"/>
    <n v="1432"/>
    <n v="7160"/>
  </r>
  <r>
    <x v="313"/>
    <x v="626"/>
    <x v="2"/>
    <n v="1"/>
    <x v="3"/>
    <n v="1"/>
    <x v="6"/>
    <x v="3"/>
    <x v="0"/>
    <x v="0"/>
    <x v="0"/>
    <n v="5"/>
    <n v="1432"/>
    <n v="7160"/>
  </r>
  <r>
    <x v="313"/>
    <x v="627"/>
    <x v="2"/>
    <n v="7"/>
    <x v="9"/>
    <n v="3"/>
    <x v="6"/>
    <x v="3"/>
    <x v="0"/>
    <x v="0"/>
    <x v="0"/>
    <n v="5"/>
    <n v="1432"/>
    <n v="7160"/>
  </r>
  <r>
    <x v="314"/>
    <x v="350"/>
    <x v="0"/>
    <n v="5"/>
    <x v="8"/>
    <n v="2"/>
    <x v="7"/>
    <x v="0"/>
    <x v="3"/>
    <x v="1"/>
    <x v="2"/>
    <n v="2"/>
    <n v="12324"/>
    <n v="24648"/>
  </r>
  <r>
    <x v="314"/>
    <x v="270"/>
    <x v="0"/>
    <n v="10"/>
    <x v="6"/>
    <n v="4"/>
    <x v="7"/>
    <x v="0"/>
    <x v="3"/>
    <x v="1"/>
    <x v="2"/>
    <n v="2"/>
    <n v="12324"/>
    <n v="24648"/>
  </r>
  <r>
    <x v="315"/>
    <x v="567"/>
    <x v="2"/>
    <n v="6"/>
    <x v="1"/>
    <n v="2"/>
    <x v="8"/>
    <x v="1"/>
    <x v="5"/>
    <x v="2"/>
    <x v="2"/>
    <n v="4"/>
    <n v="705"/>
    <n v="2820"/>
  </r>
  <r>
    <x v="315"/>
    <x v="43"/>
    <x v="0"/>
    <n v="10"/>
    <x v="6"/>
    <n v="4"/>
    <x v="8"/>
    <x v="1"/>
    <x v="5"/>
    <x v="2"/>
    <x v="2"/>
    <n v="4"/>
    <n v="705"/>
    <n v="2820"/>
  </r>
  <r>
    <x v="315"/>
    <x v="252"/>
    <x v="1"/>
    <n v="7"/>
    <x v="9"/>
    <n v="3"/>
    <x v="8"/>
    <x v="1"/>
    <x v="5"/>
    <x v="2"/>
    <x v="2"/>
    <n v="4"/>
    <n v="705"/>
    <n v="2820"/>
  </r>
  <r>
    <x v="315"/>
    <x v="628"/>
    <x v="2"/>
    <n v="2"/>
    <x v="11"/>
    <n v="1"/>
    <x v="8"/>
    <x v="1"/>
    <x v="5"/>
    <x v="2"/>
    <x v="2"/>
    <n v="4"/>
    <n v="705"/>
    <n v="2820"/>
  </r>
  <r>
    <x v="315"/>
    <x v="327"/>
    <x v="0"/>
    <n v="4"/>
    <x v="4"/>
    <n v="2"/>
    <x v="8"/>
    <x v="1"/>
    <x v="5"/>
    <x v="2"/>
    <x v="2"/>
    <n v="4"/>
    <n v="705"/>
    <n v="2820"/>
  </r>
  <r>
    <x v="316"/>
    <x v="617"/>
    <x v="2"/>
    <n v="1"/>
    <x v="3"/>
    <n v="1"/>
    <x v="0"/>
    <x v="0"/>
    <x v="4"/>
    <x v="1"/>
    <x v="2"/>
    <n v="2"/>
    <n v="66703"/>
    <n v="133406"/>
  </r>
  <r>
    <x v="316"/>
    <x v="629"/>
    <x v="0"/>
    <n v="7"/>
    <x v="9"/>
    <n v="3"/>
    <x v="0"/>
    <x v="0"/>
    <x v="4"/>
    <x v="1"/>
    <x v="2"/>
    <n v="2"/>
    <n v="66703"/>
    <n v="133406"/>
  </r>
  <r>
    <x v="316"/>
    <x v="630"/>
    <x v="1"/>
    <n v="10"/>
    <x v="6"/>
    <n v="4"/>
    <x v="0"/>
    <x v="0"/>
    <x v="4"/>
    <x v="1"/>
    <x v="2"/>
    <n v="2"/>
    <n v="66703"/>
    <n v="133406"/>
  </r>
  <r>
    <x v="317"/>
    <x v="631"/>
    <x v="1"/>
    <n v="5"/>
    <x v="8"/>
    <n v="2"/>
    <x v="1"/>
    <x v="0"/>
    <x v="5"/>
    <x v="2"/>
    <x v="1"/>
    <n v="1"/>
    <n v="2242"/>
    <n v="2242"/>
  </r>
  <r>
    <x v="317"/>
    <x v="632"/>
    <x v="2"/>
    <n v="1"/>
    <x v="3"/>
    <n v="1"/>
    <x v="1"/>
    <x v="0"/>
    <x v="5"/>
    <x v="2"/>
    <x v="1"/>
    <n v="1"/>
    <n v="2242"/>
    <n v="2242"/>
  </r>
  <r>
    <x v="318"/>
    <x v="7"/>
    <x v="0"/>
    <n v="3"/>
    <x v="5"/>
    <n v="1"/>
    <x v="9"/>
    <x v="3"/>
    <x v="2"/>
    <x v="2"/>
    <x v="0"/>
    <n v="3"/>
    <n v="3095"/>
    <n v="9285"/>
  </r>
  <r>
    <x v="318"/>
    <x v="449"/>
    <x v="2"/>
    <n v="10"/>
    <x v="6"/>
    <n v="4"/>
    <x v="9"/>
    <x v="3"/>
    <x v="2"/>
    <x v="2"/>
    <x v="0"/>
    <n v="3"/>
    <n v="3095"/>
    <n v="9285"/>
  </r>
  <r>
    <x v="319"/>
    <x v="16"/>
    <x v="1"/>
    <n v="12"/>
    <x v="7"/>
    <n v="4"/>
    <x v="2"/>
    <x v="1"/>
    <x v="1"/>
    <x v="2"/>
    <x v="0"/>
    <n v="3"/>
    <n v="4016"/>
    <n v="12048"/>
  </r>
  <r>
    <x v="320"/>
    <x v="633"/>
    <x v="0"/>
    <n v="3"/>
    <x v="5"/>
    <n v="1"/>
    <x v="3"/>
    <x v="1"/>
    <x v="1"/>
    <x v="1"/>
    <x v="0"/>
    <n v="4"/>
    <n v="258"/>
    <n v="1032"/>
  </r>
  <r>
    <x v="320"/>
    <x v="634"/>
    <x v="2"/>
    <n v="3"/>
    <x v="5"/>
    <n v="1"/>
    <x v="3"/>
    <x v="1"/>
    <x v="1"/>
    <x v="1"/>
    <x v="0"/>
    <n v="4"/>
    <n v="258"/>
    <n v="1032"/>
  </r>
  <r>
    <x v="320"/>
    <x v="635"/>
    <x v="1"/>
    <n v="12"/>
    <x v="7"/>
    <n v="4"/>
    <x v="3"/>
    <x v="1"/>
    <x v="1"/>
    <x v="1"/>
    <x v="0"/>
    <n v="4"/>
    <n v="258"/>
    <n v="1032"/>
  </r>
  <r>
    <x v="320"/>
    <x v="224"/>
    <x v="1"/>
    <n v="10"/>
    <x v="6"/>
    <n v="4"/>
    <x v="3"/>
    <x v="1"/>
    <x v="1"/>
    <x v="1"/>
    <x v="0"/>
    <n v="4"/>
    <n v="258"/>
    <n v="1032"/>
  </r>
  <r>
    <x v="320"/>
    <x v="413"/>
    <x v="0"/>
    <n v="7"/>
    <x v="9"/>
    <n v="3"/>
    <x v="3"/>
    <x v="1"/>
    <x v="1"/>
    <x v="1"/>
    <x v="0"/>
    <n v="4"/>
    <n v="258"/>
    <n v="1032"/>
  </r>
  <r>
    <x v="321"/>
    <x v="349"/>
    <x v="0"/>
    <n v="6"/>
    <x v="1"/>
    <n v="2"/>
    <x v="4"/>
    <x v="0"/>
    <x v="5"/>
    <x v="1"/>
    <x v="2"/>
    <n v="1"/>
    <n v="38061"/>
    <n v="38061"/>
  </r>
  <r>
    <x v="321"/>
    <x v="636"/>
    <x v="1"/>
    <n v="11"/>
    <x v="2"/>
    <n v="4"/>
    <x v="4"/>
    <x v="0"/>
    <x v="5"/>
    <x v="1"/>
    <x v="2"/>
    <n v="1"/>
    <n v="38061"/>
    <n v="38061"/>
  </r>
  <r>
    <x v="321"/>
    <x v="247"/>
    <x v="1"/>
    <n v="4"/>
    <x v="4"/>
    <n v="2"/>
    <x v="4"/>
    <x v="0"/>
    <x v="5"/>
    <x v="1"/>
    <x v="2"/>
    <n v="1"/>
    <n v="38061"/>
    <n v="38061"/>
  </r>
  <r>
    <x v="322"/>
    <x v="27"/>
    <x v="0"/>
    <n v="9"/>
    <x v="10"/>
    <n v="3"/>
    <x v="5"/>
    <x v="2"/>
    <x v="1"/>
    <x v="1"/>
    <x v="1"/>
    <n v="2"/>
    <n v="366"/>
    <n v="732"/>
  </r>
  <r>
    <x v="322"/>
    <x v="637"/>
    <x v="1"/>
    <n v="4"/>
    <x v="4"/>
    <n v="2"/>
    <x v="5"/>
    <x v="2"/>
    <x v="1"/>
    <x v="1"/>
    <x v="1"/>
    <n v="2"/>
    <n v="366"/>
    <n v="732"/>
  </r>
  <r>
    <x v="322"/>
    <x v="277"/>
    <x v="2"/>
    <n v="1"/>
    <x v="3"/>
    <n v="1"/>
    <x v="5"/>
    <x v="2"/>
    <x v="1"/>
    <x v="1"/>
    <x v="1"/>
    <n v="2"/>
    <n v="366"/>
    <n v="732"/>
  </r>
  <r>
    <x v="322"/>
    <x v="638"/>
    <x v="0"/>
    <n v="11"/>
    <x v="2"/>
    <n v="4"/>
    <x v="5"/>
    <x v="2"/>
    <x v="1"/>
    <x v="1"/>
    <x v="1"/>
    <n v="2"/>
    <n v="366"/>
    <n v="732"/>
  </r>
  <r>
    <x v="323"/>
    <x v="639"/>
    <x v="0"/>
    <n v="10"/>
    <x v="6"/>
    <n v="4"/>
    <x v="6"/>
    <x v="3"/>
    <x v="1"/>
    <x v="2"/>
    <x v="0"/>
    <n v="1"/>
    <n v="1827"/>
    <n v="1827"/>
  </r>
  <r>
    <x v="323"/>
    <x v="253"/>
    <x v="0"/>
    <n v="2"/>
    <x v="11"/>
    <n v="1"/>
    <x v="6"/>
    <x v="3"/>
    <x v="1"/>
    <x v="2"/>
    <x v="0"/>
    <n v="1"/>
    <n v="1827"/>
    <n v="1827"/>
  </r>
  <r>
    <x v="323"/>
    <x v="608"/>
    <x v="0"/>
    <n v="2"/>
    <x v="11"/>
    <n v="1"/>
    <x v="6"/>
    <x v="3"/>
    <x v="1"/>
    <x v="2"/>
    <x v="0"/>
    <n v="1"/>
    <n v="1827"/>
    <n v="1827"/>
  </r>
  <r>
    <x v="324"/>
    <x v="640"/>
    <x v="1"/>
    <n v="8"/>
    <x v="0"/>
    <n v="3"/>
    <x v="7"/>
    <x v="0"/>
    <x v="3"/>
    <x v="0"/>
    <x v="1"/>
    <n v="1"/>
    <n v="6196"/>
    <n v="6196"/>
  </r>
  <r>
    <x v="324"/>
    <x v="540"/>
    <x v="2"/>
    <n v="10"/>
    <x v="6"/>
    <n v="4"/>
    <x v="7"/>
    <x v="0"/>
    <x v="3"/>
    <x v="0"/>
    <x v="1"/>
    <n v="1"/>
    <n v="6196"/>
    <n v="6196"/>
  </r>
  <r>
    <x v="325"/>
    <x v="580"/>
    <x v="0"/>
    <n v="11"/>
    <x v="2"/>
    <n v="4"/>
    <x v="0"/>
    <x v="0"/>
    <x v="5"/>
    <x v="2"/>
    <x v="1"/>
    <n v="2"/>
    <n v="57783"/>
    <n v="115566"/>
  </r>
  <r>
    <x v="325"/>
    <x v="641"/>
    <x v="1"/>
    <n v="9"/>
    <x v="10"/>
    <n v="3"/>
    <x v="0"/>
    <x v="0"/>
    <x v="5"/>
    <x v="2"/>
    <x v="1"/>
    <n v="2"/>
    <n v="57783"/>
    <n v="115566"/>
  </r>
  <r>
    <x v="325"/>
    <x v="642"/>
    <x v="2"/>
    <n v="10"/>
    <x v="6"/>
    <n v="4"/>
    <x v="0"/>
    <x v="0"/>
    <x v="5"/>
    <x v="2"/>
    <x v="1"/>
    <n v="2"/>
    <n v="57783"/>
    <n v="115566"/>
  </r>
  <r>
    <x v="0"/>
    <x v="643"/>
    <x v="3"/>
    <n v="1"/>
    <x v="3"/>
    <n v="1"/>
    <x v="0"/>
    <x v="0"/>
    <x v="0"/>
    <x v="0"/>
    <x v="0"/>
    <n v="2"/>
    <n v="50353"/>
    <n v="100706"/>
  </r>
  <r>
    <x v="1"/>
    <x v="644"/>
    <x v="3"/>
    <n v="1"/>
    <x v="3"/>
    <n v="1"/>
    <x v="1"/>
    <x v="0"/>
    <x v="1"/>
    <x v="1"/>
    <x v="1"/>
    <n v="2"/>
    <n v="2008"/>
    <n v="4016"/>
  </r>
  <r>
    <x v="326"/>
    <x v="645"/>
    <x v="3"/>
    <n v="1"/>
    <x v="3"/>
    <n v="1"/>
    <x v="9"/>
    <x v="3"/>
    <x v="0"/>
    <x v="1"/>
    <x v="1"/>
    <n v="1"/>
    <n v="4736"/>
    <n v="4736"/>
  </r>
  <r>
    <x v="2"/>
    <x v="646"/>
    <x v="3"/>
    <n v="1"/>
    <x v="3"/>
    <n v="1"/>
    <x v="2"/>
    <x v="1"/>
    <x v="2"/>
    <x v="0"/>
    <x v="0"/>
    <n v="2"/>
    <n v="10072"/>
    <n v="20144"/>
  </r>
  <r>
    <x v="3"/>
    <x v="647"/>
    <x v="3"/>
    <n v="1"/>
    <x v="3"/>
    <n v="1"/>
    <x v="3"/>
    <x v="1"/>
    <x v="2"/>
    <x v="1"/>
    <x v="1"/>
    <n v="2"/>
    <n v="920"/>
    <n v="1840"/>
  </r>
  <r>
    <x v="4"/>
    <x v="648"/>
    <x v="3"/>
    <n v="1"/>
    <x v="3"/>
    <n v="1"/>
    <x v="4"/>
    <x v="0"/>
    <x v="1"/>
    <x v="2"/>
    <x v="2"/>
    <n v="1"/>
    <n v="13225"/>
    <n v="13225"/>
  </r>
  <r>
    <x v="5"/>
    <x v="649"/>
    <x v="3"/>
    <n v="1"/>
    <x v="3"/>
    <n v="1"/>
    <x v="5"/>
    <x v="2"/>
    <x v="3"/>
    <x v="0"/>
    <x v="1"/>
    <n v="3"/>
    <n v="621"/>
    <n v="1863"/>
  </r>
  <r>
    <x v="6"/>
    <x v="650"/>
    <x v="3"/>
    <n v="1"/>
    <x v="3"/>
    <n v="1"/>
    <x v="6"/>
    <x v="3"/>
    <x v="4"/>
    <x v="1"/>
    <x v="2"/>
    <n v="2"/>
    <n v="905"/>
    <n v="1810"/>
  </r>
  <r>
    <x v="7"/>
    <x v="651"/>
    <x v="3"/>
    <n v="1"/>
    <x v="3"/>
    <n v="1"/>
    <x v="7"/>
    <x v="0"/>
    <x v="3"/>
    <x v="2"/>
    <x v="0"/>
    <n v="1"/>
    <n v="8563"/>
    <n v="8563"/>
  </r>
  <r>
    <x v="8"/>
    <x v="652"/>
    <x v="3"/>
    <n v="1"/>
    <x v="3"/>
    <n v="1"/>
    <x v="8"/>
    <x v="1"/>
    <x v="0"/>
    <x v="1"/>
    <x v="1"/>
    <n v="1"/>
    <n v="268"/>
    <n v="268"/>
  </r>
  <r>
    <x v="9"/>
    <x v="653"/>
    <x v="3"/>
    <n v="1"/>
    <x v="3"/>
    <n v="1"/>
    <x v="0"/>
    <x v="0"/>
    <x v="3"/>
    <x v="2"/>
    <x v="0"/>
    <n v="2"/>
    <n v="54018"/>
    <n v="108036"/>
  </r>
  <r>
    <x v="10"/>
    <x v="654"/>
    <x v="3"/>
    <n v="1"/>
    <x v="3"/>
    <n v="1"/>
    <x v="1"/>
    <x v="0"/>
    <x v="1"/>
    <x v="2"/>
    <x v="1"/>
    <n v="3"/>
    <n v="4762"/>
    <n v="14286"/>
  </r>
  <r>
    <x v="11"/>
    <x v="655"/>
    <x v="3"/>
    <n v="1"/>
    <x v="3"/>
    <n v="1"/>
    <x v="9"/>
    <x v="3"/>
    <x v="2"/>
    <x v="2"/>
    <x v="2"/>
    <n v="2"/>
    <n v="4880"/>
    <n v="9760"/>
  </r>
  <r>
    <x v="12"/>
    <x v="656"/>
    <x v="3"/>
    <n v="1"/>
    <x v="3"/>
    <n v="1"/>
    <x v="2"/>
    <x v="1"/>
    <x v="0"/>
    <x v="2"/>
    <x v="0"/>
    <n v="1"/>
    <n v="8508"/>
    <n v="8508"/>
  </r>
  <r>
    <x v="13"/>
    <x v="657"/>
    <x v="3"/>
    <n v="1"/>
    <x v="3"/>
    <n v="1"/>
    <x v="3"/>
    <x v="1"/>
    <x v="0"/>
    <x v="1"/>
    <x v="1"/>
    <n v="4"/>
    <n v="119"/>
    <n v="476"/>
  </r>
  <r>
    <x v="14"/>
    <x v="658"/>
    <x v="3"/>
    <n v="1"/>
    <x v="3"/>
    <n v="1"/>
    <x v="4"/>
    <x v="0"/>
    <x v="5"/>
    <x v="1"/>
    <x v="2"/>
    <n v="1"/>
    <n v="37589"/>
    <n v="37589"/>
  </r>
  <r>
    <x v="15"/>
    <x v="659"/>
    <x v="3"/>
    <n v="1"/>
    <x v="3"/>
    <n v="1"/>
    <x v="5"/>
    <x v="2"/>
    <x v="1"/>
    <x v="0"/>
    <x v="1"/>
    <n v="1"/>
    <n v="781"/>
    <n v="781"/>
  </r>
  <r>
    <x v="16"/>
    <x v="660"/>
    <x v="3"/>
    <n v="1"/>
    <x v="3"/>
    <n v="1"/>
    <x v="6"/>
    <x v="3"/>
    <x v="5"/>
    <x v="0"/>
    <x v="1"/>
    <n v="5"/>
    <n v="809"/>
    <n v="4045"/>
  </r>
  <r>
    <x v="17"/>
    <x v="661"/>
    <x v="3"/>
    <n v="1"/>
    <x v="3"/>
    <n v="1"/>
    <x v="7"/>
    <x v="0"/>
    <x v="2"/>
    <x v="0"/>
    <x v="1"/>
    <n v="2"/>
    <n v="4129"/>
    <n v="8258"/>
  </r>
  <r>
    <x v="327"/>
    <x v="662"/>
    <x v="3"/>
    <n v="1"/>
    <x v="3"/>
    <n v="1"/>
    <x v="8"/>
    <x v="1"/>
    <x v="1"/>
    <x v="2"/>
    <x v="2"/>
    <n v="4"/>
    <n v="168"/>
    <n v="672"/>
  </r>
  <r>
    <x v="18"/>
    <x v="663"/>
    <x v="3"/>
    <n v="1"/>
    <x v="3"/>
    <n v="1"/>
    <x v="0"/>
    <x v="0"/>
    <x v="2"/>
    <x v="0"/>
    <x v="2"/>
    <n v="2"/>
    <n v="68516"/>
    <n v="137032"/>
  </r>
  <r>
    <x v="19"/>
    <x v="664"/>
    <x v="3"/>
    <n v="1"/>
    <x v="3"/>
    <n v="1"/>
    <x v="1"/>
    <x v="0"/>
    <x v="5"/>
    <x v="1"/>
    <x v="0"/>
    <n v="1"/>
    <n v="3985"/>
    <n v="3985"/>
  </r>
  <r>
    <x v="20"/>
    <x v="665"/>
    <x v="3"/>
    <n v="1"/>
    <x v="3"/>
    <n v="1"/>
    <x v="9"/>
    <x v="3"/>
    <x v="5"/>
    <x v="2"/>
    <x v="1"/>
    <n v="1"/>
    <n v="2380"/>
    <n v="2380"/>
  </r>
  <r>
    <x v="21"/>
    <x v="666"/>
    <x v="3"/>
    <n v="1"/>
    <x v="3"/>
    <n v="1"/>
    <x v="2"/>
    <x v="1"/>
    <x v="4"/>
    <x v="1"/>
    <x v="1"/>
    <n v="3"/>
    <n v="13522"/>
    <n v="40566"/>
  </r>
  <r>
    <x v="22"/>
    <x v="667"/>
    <x v="3"/>
    <n v="1"/>
    <x v="3"/>
    <n v="1"/>
    <x v="3"/>
    <x v="1"/>
    <x v="2"/>
    <x v="0"/>
    <x v="2"/>
    <n v="1"/>
    <n v="340"/>
    <n v="340"/>
  </r>
  <r>
    <x v="23"/>
    <x v="668"/>
    <x v="3"/>
    <n v="1"/>
    <x v="3"/>
    <n v="1"/>
    <x v="4"/>
    <x v="0"/>
    <x v="4"/>
    <x v="2"/>
    <x v="1"/>
    <n v="1"/>
    <n v="34153"/>
    <n v="34153"/>
  </r>
  <r>
    <x v="24"/>
    <x v="669"/>
    <x v="3"/>
    <n v="1"/>
    <x v="3"/>
    <n v="1"/>
    <x v="5"/>
    <x v="2"/>
    <x v="1"/>
    <x v="2"/>
    <x v="1"/>
    <n v="1"/>
    <n v="884"/>
    <n v="884"/>
  </r>
  <r>
    <x v="25"/>
    <x v="670"/>
    <x v="3"/>
    <n v="1"/>
    <x v="3"/>
    <n v="1"/>
    <x v="6"/>
    <x v="3"/>
    <x v="2"/>
    <x v="1"/>
    <x v="2"/>
    <n v="1"/>
    <n v="1961"/>
    <n v="1961"/>
  </r>
  <r>
    <x v="26"/>
    <x v="671"/>
    <x v="3"/>
    <n v="1"/>
    <x v="3"/>
    <n v="1"/>
    <x v="7"/>
    <x v="0"/>
    <x v="2"/>
    <x v="0"/>
    <x v="1"/>
    <n v="1"/>
    <n v="7608"/>
    <n v="7608"/>
  </r>
  <r>
    <x v="27"/>
    <x v="672"/>
    <x v="3"/>
    <n v="1"/>
    <x v="3"/>
    <n v="1"/>
    <x v="8"/>
    <x v="1"/>
    <x v="3"/>
    <x v="0"/>
    <x v="2"/>
    <n v="5"/>
    <n v="126"/>
    <n v="630"/>
  </r>
  <r>
    <x v="28"/>
    <x v="673"/>
    <x v="3"/>
    <n v="2"/>
    <x v="11"/>
    <n v="1"/>
    <x v="0"/>
    <x v="0"/>
    <x v="3"/>
    <x v="1"/>
    <x v="2"/>
    <n v="1"/>
    <n v="68088"/>
    <n v="68088"/>
  </r>
  <r>
    <x v="29"/>
    <x v="674"/>
    <x v="3"/>
    <n v="2"/>
    <x v="11"/>
    <n v="1"/>
    <x v="1"/>
    <x v="0"/>
    <x v="1"/>
    <x v="1"/>
    <x v="1"/>
    <n v="3"/>
    <n v="2723"/>
    <n v="8169"/>
  </r>
  <r>
    <x v="30"/>
    <x v="675"/>
    <x v="3"/>
    <n v="2"/>
    <x v="11"/>
    <n v="1"/>
    <x v="9"/>
    <x v="3"/>
    <x v="5"/>
    <x v="1"/>
    <x v="2"/>
    <n v="1"/>
    <n v="4157"/>
    <n v="4157"/>
  </r>
  <r>
    <x v="328"/>
    <x v="676"/>
    <x v="3"/>
    <n v="2"/>
    <x v="11"/>
    <n v="1"/>
    <x v="2"/>
    <x v="1"/>
    <x v="2"/>
    <x v="2"/>
    <x v="1"/>
    <n v="3"/>
    <n v="3589"/>
    <n v="10767"/>
  </r>
  <r>
    <x v="31"/>
    <x v="677"/>
    <x v="3"/>
    <n v="2"/>
    <x v="11"/>
    <n v="1"/>
    <x v="3"/>
    <x v="1"/>
    <x v="1"/>
    <x v="2"/>
    <x v="1"/>
    <n v="3"/>
    <n v="414"/>
    <n v="1242"/>
  </r>
  <r>
    <x v="32"/>
    <x v="678"/>
    <x v="3"/>
    <n v="2"/>
    <x v="11"/>
    <n v="1"/>
    <x v="4"/>
    <x v="0"/>
    <x v="4"/>
    <x v="2"/>
    <x v="0"/>
    <n v="2"/>
    <n v="15134"/>
    <n v="30268"/>
  </r>
  <r>
    <x v="33"/>
    <x v="679"/>
    <x v="3"/>
    <n v="2"/>
    <x v="11"/>
    <n v="1"/>
    <x v="5"/>
    <x v="2"/>
    <x v="3"/>
    <x v="2"/>
    <x v="0"/>
    <n v="5"/>
    <n v="605"/>
    <n v="3025"/>
  </r>
  <r>
    <x v="34"/>
    <x v="680"/>
    <x v="3"/>
    <n v="2"/>
    <x v="11"/>
    <n v="1"/>
    <x v="6"/>
    <x v="3"/>
    <x v="1"/>
    <x v="2"/>
    <x v="0"/>
    <n v="3"/>
    <n v="1857"/>
    <n v="5571"/>
  </r>
  <r>
    <x v="35"/>
    <x v="681"/>
    <x v="3"/>
    <n v="2"/>
    <x v="11"/>
    <n v="1"/>
    <x v="7"/>
    <x v="0"/>
    <x v="0"/>
    <x v="2"/>
    <x v="2"/>
    <n v="1"/>
    <n v="5190"/>
    <n v="5190"/>
  </r>
  <r>
    <x v="36"/>
    <x v="682"/>
    <x v="3"/>
    <n v="2"/>
    <x v="11"/>
    <n v="1"/>
    <x v="8"/>
    <x v="1"/>
    <x v="4"/>
    <x v="0"/>
    <x v="2"/>
    <n v="4"/>
    <n v="338"/>
    <n v="1352"/>
  </r>
  <r>
    <x v="37"/>
    <x v="683"/>
    <x v="3"/>
    <n v="2"/>
    <x v="11"/>
    <n v="1"/>
    <x v="0"/>
    <x v="0"/>
    <x v="3"/>
    <x v="1"/>
    <x v="2"/>
    <n v="1"/>
    <n v="52555"/>
    <n v="52555"/>
  </r>
  <r>
    <x v="38"/>
    <x v="684"/>
    <x v="3"/>
    <n v="2"/>
    <x v="11"/>
    <n v="1"/>
    <x v="1"/>
    <x v="0"/>
    <x v="1"/>
    <x v="2"/>
    <x v="1"/>
    <n v="1"/>
    <n v="2478"/>
    <n v="2478"/>
  </r>
  <r>
    <x v="39"/>
    <x v="685"/>
    <x v="3"/>
    <n v="2"/>
    <x v="11"/>
    <n v="1"/>
    <x v="9"/>
    <x v="3"/>
    <x v="0"/>
    <x v="2"/>
    <x v="2"/>
    <n v="2"/>
    <n v="4368"/>
    <n v="8736"/>
  </r>
  <r>
    <x v="40"/>
    <x v="686"/>
    <x v="3"/>
    <n v="2"/>
    <x v="11"/>
    <n v="1"/>
    <x v="2"/>
    <x v="1"/>
    <x v="2"/>
    <x v="2"/>
    <x v="1"/>
    <n v="5"/>
    <n v="4294"/>
    <n v="21470"/>
  </r>
  <r>
    <x v="41"/>
    <x v="687"/>
    <x v="3"/>
    <n v="2"/>
    <x v="11"/>
    <n v="1"/>
    <x v="3"/>
    <x v="1"/>
    <x v="0"/>
    <x v="0"/>
    <x v="0"/>
    <n v="5"/>
    <n v="877"/>
    <n v="4385"/>
  </r>
  <r>
    <x v="42"/>
    <x v="688"/>
    <x v="3"/>
    <n v="2"/>
    <x v="11"/>
    <n v="1"/>
    <x v="4"/>
    <x v="0"/>
    <x v="3"/>
    <x v="0"/>
    <x v="1"/>
    <n v="2"/>
    <n v="35059"/>
    <n v="70118"/>
  </r>
  <r>
    <x v="43"/>
    <x v="689"/>
    <x v="3"/>
    <n v="2"/>
    <x v="11"/>
    <n v="1"/>
    <x v="5"/>
    <x v="2"/>
    <x v="0"/>
    <x v="1"/>
    <x v="1"/>
    <n v="3"/>
    <n v="935"/>
    <n v="2805"/>
  </r>
  <r>
    <x v="44"/>
    <x v="690"/>
    <x v="3"/>
    <n v="2"/>
    <x v="11"/>
    <n v="1"/>
    <x v="6"/>
    <x v="3"/>
    <x v="0"/>
    <x v="1"/>
    <x v="0"/>
    <n v="1"/>
    <n v="1978"/>
    <n v="1978"/>
  </r>
  <r>
    <x v="45"/>
    <x v="691"/>
    <x v="3"/>
    <n v="2"/>
    <x v="11"/>
    <n v="1"/>
    <x v="7"/>
    <x v="0"/>
    <x v="5"/>
    <x v="0"/>
    <x v="0"/>
    <n v="2"/>
    <n v="14326"/>
    <n v="28652"/>
  </r>
  <r>
    <x v="46"/>
    <x v="692"/>
    <x v="3"/>
    <n v="2"/>
    <x v="11"/>
    <n v="1"/>
    <x v="8"/>
    <x v="1"/>
    <x v="5"/>
    <x v="1"/>
    <x v="0"/>
    <n v="3"/>
    <n v="100"/>
    <n v="300"/>
  </r>
  <r>
    <x v="47"/>
    <x v="693"/>
    <x v="3"/>
    <n v="2"/>
    <x v="11"/>
    <n v="1"/>
    <x v="0"/>
    <x v="0"/>
    <x v="0"/>
    <x v="1"/>
    <x v="2"/>
    <n v="2"/>
    <n v="54846"/>
    <n v="109692"/>
  </r>
  <r>
    <x v="48"/>
    <x v="694"/>
    <x v="3"/>
    <n v="2"/>
    <x v="11"/>
    <n v="1"/>
    <x v="1"/>
    <x v="0"/>
    <x v="0"/>
    <x v="1"/>
    <x v="0"/>
    <n v="3"/>
    <n v="4855"/>
    <n v="14565"/>
  </r>
  <r>
    <x v="49"/>
    <x v="695"/>
    <x v="3"/>
    <n v="2"/>
    <x v="11"/>
    <n v="1"/>
    <x v="9"/>
    <x v="3"/>
    <x v="3"/>
    <x v="0"/>
    <x v="1"/>
    <n v="3"/>
    <n v="1718"/>
    <n v="5154"/>
  </r>
  <r>
    <x v="50"/>
    <x v="696"/>
    <x v="3"/>
    <n v="2"/>
    <x v="11"/>
    <n v="1"/>
    <x v="2"/>
    <x v="1"/>
    <x v="2"/>
    <x v="1"/>
    <x v="2"/>
    <n v="5"/>
    <n v="17415"/>
    <n v="87075"/>
  </r>
  <r>
    <x v="51"/>
    <x v="697"/>
    <x v="3"/>
    <n v="2"/>
    <x v="11"/>
    <n v="1"/>
    <x v="3"/>
    <x v="1"/>
    <x v="5"/>
    <x v="1"/>
    <x v="1"/>
    <n v="3"/>
    <n v="661"/>
    <n v="1983"/>
  </r>
  <r>
    <x v="52"/>
    <x v="698"/>
    <x v="3"/>
    <n v="2"/>
    <x v="11"/>
    <n v="1"/>
    <x v="4"/>
    <x v="0"/>
    <x v="2"/>
    <x v="2"/>
    <x v="0"/>
    <n v="2"/>
    <n v="30075"/>
    <n v="60150"/>
  </r>
  <r>
    <x v="53"/>
    <x v="699"/>
    <x v="3"/>
    <n v="2"/>
    <x v="11"/>
    <n v="1"/>
    <x v="5"/>
    <x v="2"/>
    <x v="3"/>
    <x v="0"/>
    <x v="0"/>
    <n v="3"/>
    <n v="387"/>
    <n v="1161"/>
  </r>
  <r>
    <x v="54"/>
    <x v="700"/>
    <x v="3"/>
    <n v="2"/>
    <x v="11"/>
    <n v="1"/>
    <x v="6"/>
    <x v="3"/>
    <x v="5"/>
    <x v="1"/>
    <x v="1"/>
    <n v="5"/>
    <n v="1084"/>
    <n v="5420"/>
  </r>
  <r>
    <x v="55"/>
    <x v="701"/>
    <x v="3"/>
    <n v="3"/>
    <x v="5"/>
    <n v="1"/>
    <x v="7"/>
    <x v="0"/>
    <x v="5"/>
    <x v="1"/>
    <x v="0"/>
    <n v="1"/>
    <n v="11559"/>
    <n v="11559"/>
  </r>
  <r>
    <x v="56"/>
    <x v="702"/>
    <x v="3"/>
    <n v="3"/>
    <x v="5"/>
    <n v="1"/>
    <x v="8"/>
    <x v="1"/>
    <x v="1"/>
    <x v="0"/>
    <x v="1"/>
    <n v="5"/>
    <n v="717"/>
    <n v="3585"/>
  </r>
  <r>
    <x v="57"/>
    <x v="703"/>
    <x v="3"/>
    <n v="3"/>
    <x v="5"/>
    <n v="1"/>
    <x v="0"/>
    <x v="0"/>
    <x v="2"/>
    <x v="2"/>
    <x v="2"/>
    <n v="2"/>
    <n v="51590"/>
    <n v="103180"/>
  </r>
  <r>
    <x v="58"/>
    <x v="704"/>
    <x v="3"/>
    <n v="3"/>
    <x v="5"/>
    <n v="1"/>
    <x v="1"/>
    <x v="0"/>
    <x v="4"/>
    <x v="1"/>
    <x v="1"/>
    <n v="2"/>
    <n v="2555"/>
    <n v="5110"/>
  </r>
  <r>
    <x v="59"/>
    <x v="705"/>
    <x v="3"/>
    <n v="3"/>
    <x v="5"/>
    <n v="1"/>
    <x v="9"/>
    <x v="3"/>
    <x v="2"/>
    <x v="1"/>
    <x v="2"/>
    <n v="3"/>
    <n v="3601"/>
    <n v="10803"/>
  </r>
  <r>
    <x v="60"/>
    <x v="706"/>
    <x v="3"/>
    <n v="3"/>
    <x v="5"/>
    <n v="1"/>
    <x v="2"/>
    <x v="1"/>
    <x v="0"/>
    <x v="0"/>
    <x v="1"/>
    <n v="5"/>
    <n v="9924"/>
    <n v="49620"/>
  </r>
  <r>
    <x v="61"/>
    <x v="707"/>
    <x v="3"/>
    <n v="3"/>
    <x v="5"/>
    <n v="1"/>
    <x v="3"/>
    <x v="1"/>
    <x v="1"/>
    <x v="2"/>
    <x v="2"/>
    <n v="5"/>
    <n v="511"/>
    <n v="2555"/>
  </r>
  <r>
    <x v="62"/>
    <x v="708"/>
    <x v="3"/>
    <n v="3"/>
    <x v="5"/>
    <n v="1"/>
    <x v="4"/>
    <x v="0"/>
    <x v="1"/>
    <x v="1"/>
    <x v="2"/>
    <n v="1"/>
    <n v="29247"/>
    <n v="29247"/>
  </r>
  <r>
    <x v="63"/>
    <x v="709"/>
    <x v="3"/>
    <n v="3"/>
    <x v="5"/>
    <n v="1"/>
    <x v="5"/>
    <x v="2"/>
    <x v="2"/>
    <x v="0"/>
    <x v="1"/>
    <n v="4"/>
    <n v="699"/>
    <n v="2796"/>
  </r>
  <r>
    <x v="64"/>
    <x v="710"/>
    <x v="3"/>
    <n v="3"/>
    <x v="5"/>
    <n v="1"/>
    <x v="6"/>
    <x v="3"/>
    <x v="3"/>
    <x v="2"/>
    <x v="2"/>
    <n v="5"/>
    <n v="566"/>
    <n v="2830"/>
  </r>
  <r>
    <x v="65"/>
    <x v="711"/>
    <x v="3"/>
    <n v="3"/>
    <x v="5"/>
    <n v="1"/>
    <x v="7"/>
    <x v="0"/>
    <x v="4"/>
    <x v="0"/>
    <x v="1"/>
    <n v="1"/>
    <n v="5629"/>
    <n v="5629"/>
  </r>
  <r>
    <x v="66"/>
    <x v="712"/>
    <x v="3"/>
    <n v="3"/>
    <x v="5"/>
    <n v="1"/>
    <x v="8"/>
    <x v="1"/>
    <x v="1"/>
    <x v="2"/>
    <x v="0"/>
    <n v="3"/>
    <n v="579"/>
    <n v="1737"/>
  </r>
  <r>
    <x v="67"/>
    <x v="713"/>
    <x v="3"/>
    <n v="3"/>
    <x v="5"/>
    <n v="1"/>
    <x v="0"/>
    <x v="0"/>
    <x v="2"/>
    <x v="1"/>
    <x v="0"/>
    <n v="2"/>
    <n v="58940"/>
    <n v="117880"/>
  </r>
  <r>
    <x v="68"/>
    <x v="714"/>
    <x v="3"/>
    <n v="3"/>
    <x v="5"/>
    <n v="1"/>
    <x v="1"/>
    <x v="0"/>
    <x v="2"/>
    <x v="1"/>
    <x v="1"/>
    <n v="1"/>
    <n v="3615"/>
    <n v="3615"/>
  </r>
  <r>
    <x v="69"/>
    <x v="715"/>
    <x v="3"/>
    <n v="3"/>
    <x v="5"/>
    <n v="1"/>
    <x v="9"/>
    <x v="3"/>
    <x v="1"/>
    <x v="0"/>
    <x v="2"/>
    <n v="3"/>
    <n v="3472"/>
    <n v="10416"/>
  </r>
  <r>
    <x v="70"/>
    <x v="716"/>
    <x v="3"/>
    <n v="3"/>
    <x v="5"/>
    <n v="1"/>
    <x v="2"/>
    <x v="1"/>
    <x v="1"/>
    <x v="2"/>
    <x v="0"/>
    <n v="1"/>
    <n v="2976"/>
    <n v="2976"/>
  </r>
  <r>
    <x v="71"/>
    <x v="717"/>
    <x v="3"/>
    <n v="3"/>
    <x v="5"/>
    <n v="1"/>
    <x v="3"/>
    <x v="1"/>
    <x v="4"/>
    <x v="0"/>
    <x v="0"/>
    <n v="3"/>
    <n v="359"/>
    <n v="1077"/>
  </r>
  <r>
    <x v="72"/>
    <x v="718"/>
    <x v="3"/>
    <n v="3"/>
    <x v="5"/>
    <n v="1"/>
    <x v="4"/>
    <x v="0"/>
    <x v="4"/>
    <x v="1"/>
    <x v="2"/>
    <n v="1"/>
    <n v="20775"/>
    <n v="20775"/>
  </r>
  <r>
    <x v="73"/>
    <x v="719"/>
    <x v="3"/>
    <n v="3"/>
    <x v="5"/>
    <n v="1"/>
    <x v="5"/>
    <x v="2"/>
    <x v="1"/>
    <x v="1"/>
    <x v="0"/>
    <n v="4"/>
    <n v="920"/>
    <n v="3680"/>
  </r>
  <r>
    <x v="74"/>
    <x v="720"/>
    <x v="3"/>
    <n v="3"/>
    <x v="5"/>
    <n v="1"/>
    <x v="6"/>
    <x v="3"/>
    <x v="2"/>
    <x v="0"/>
    <x v="1"/>
    <n v="2"/>
    <n v="907"/>
    <n v="1814"/>
  </r>
  <r>
    <x v="75"/>
    <x v="721"/>
    <x v="3"/>
    <n v="3"/>
    <x v="5"/>
    <n v="1"/>
    <x v="7"/>
    <x v="0"/>
    <x v="2"/>
    <x v="2"/>
    <x v="2"/>
    <n v="1"/>
    <n v="13388"/>
    <n v="13388"/>
  </r>
  <r>
    <x v="76"/>
    <x v="722"/>
    <x v="3"/>
    <n v="3"/>
    <x v="5"/>
    <n v="1"/>
    <x v="8"/>
    <x v="1"/>
    <x v="3"/>
    <x v="1"/>
    <x v="1"/>
    <n v="2"/>
    <n v="372"/>
    <n v="744"/>
  </r>
  <r>
    <x v="77"/>
    <x v="723"/>
    <x v="3"/>
    <n v="3"/>
    <x v="5"/>
    <n v="1"/>
    <x v="0"/>
    <x v="0"/>
    <x v="1"/>
    <x v="0"/>
    <x v="2"/>
    <n v="1"/>
    <n v="44531"/>
    <n v="44531"/>
  </r>
  <r>
    <x v="78"/>
    <x v="724"/>
    <x v="3"/>
    <n v="3"/>
    <x v="5"/>
    <n v="1"/>
    <x v="1"/>
    <x v="0"/>
    <x v="3"/>
    <x v="0"/>
    <x v="0"/>
    <n v="2"/>
    <n v="1963"/>
    <n v="3926"/>
  </r>
  <r>
    <x v="79"/>
    <x v="725"/>
    <x v="3"/>
    <n v="3"/>
    <x v="5"/>
    <n v="1"/>
    <x v="9"/>
    <x v="3"/>
    <x v="2"/>
    <x v="1"/>
    <x v="0"/>
    <n v="1"/>
    <n v="2483"/>
    <n v="2483"/>
  </r>
  <r>
    <x v="80"/>
    <x v="726"/>
    <x v="3"/>
    <n v="3"/>
    <x v="5"/>
    <n v="1"/>
    <x v="2"/>
    <x v="1"/>
    <x v="5"/>
    <x v="1"/>
    <x v="2"/>
    <n v="5"/>
    <n v="18677"/>
    <n v="93385"/>
  </r>
  <r>
    <x v="81"/>
    <x v="727"/>
    <x v="3"/>
    <n v="3"/>
    <x v="5"/>
    <n v="1"/>
    <x v="3"/>
    <x v="1"/>
    <x v="2"/>
    <x v="1"/>
    <x v="0"/>
    <n v="1"/>
    <n v="583"/>
    <n v="583"/>
  </r>
  <r>
    <x v="82"/>
    <x v="728"/>
    <x v="3"/>
    <n v="3"/>
    <x v="5"/>
    <n v="1"/>
    <x v="4"/>
    <x v="0"/>
    <x v="2"/>
    <x v="2"/>
    <x v="0"/>
    <n v="1"/>
    <n v="34775"/>
    <n v="34775"/>
  </r>
  <r>
    <x v="83"/>
    <x v="729"/>
    <x v="3"/>
    <n v="3"/>
    <x v="5"/>
    <n v="1"/>
    <x v="5"/>
    <x v="2"/>
    <x v="2"/>
    <x v="1"/>
    <x v="0"/>
    <n v="3"/>
    <n v="635"/>
    <n v="1905"/>
  </r>
  <r>
    <x v="84"/>
    <x v="730"/>
    <x v="3"/>
    <n v="3"/>
    <x v="5"/>
    <n v="1"/>
    <x v="6"/>
    <x v="3"/>
    <x v="2"/>
    <x v="2"/>
    <x v="2"/>
    <n v="5"/>
    <n v="527"/>
    <n v="2635"/>
  </r>
  <r>
    <x v="85"/>
    <x v="731"/>
    <x v="3"/>
    <n v="3"/>
    <x v="5"/>
    <n v="1"/>
    <x v="7"/>
    <x v="0"/>
    <x v="5"/>
    <x v="2"/>
    <x v="2"/>
    <n v="2"/>
    <n v="3327"/>
    <n v="6654"/>
  </r>
  <r>
    <x v="86"/>
    <x v="732"/>
    <x v="3"/>
    <n v="4"/>
    <x v="4"/>
    <n v="2"/>
    <x v="8"/>
    <x v="1"/>
    <x v="3"/>
    <x v="1"/>
    <x v="1"/>
    <n v="1"/>
    <n v="383"/>
    <n v="383"/>
  </r>
  <r>
    <x v="87"/>
    <x v="733"/>
    <x v="3"/>
    <n v="4"/>
    <x v="4"/>
    <n v="2"/>
    <x v="0"/>
    <x v="0"/>
    <x v="0"/>
    <x v="0"/>
    <x v="1"/>
    <n v="1"/>
    <n v="61156"/>
    <n v="61156"/>
  </r>
  <r>
    <x v="88"/>
    <x v="734"/>
    <x v="3"/>
    <n v="4"/>
    <x v="4"/>
    <n v="2"/>
    <x v="1"/>
    <x v="0"/>
    <x v="1"/>
    <x v="2"/>
    <x v="2"/>
    <n v="1"/>
    <n v="3607"/>
    <n v="3607"/>
  </r>
  <r>
    <x v="89"/>
    <x v="735"/>
    <x v="3"/>
    <n v="4"/>
    <x v="4"/>
    <n v="2"/>
    <x v="9"/>
    <x v="3"/>
    <x v="2"/>
    <x v="0"/>
    <x v="2"/>
    <n v="3"/>
    <n v="3055"/>
    <n v="9165"/>
  </r>
  <r>
    <x v="90"/>
    <x v="736"/>
    <x v="3"/>
    <n v="4"/>
    <x v="4"/>
    <n v="2"/>
    <x v="2"/>
    <x v="1"/>
    <x v="2"/>
    <x v="1"/>
    <x v="2"/>
    <n v="4"/>
    <n v="18106"/>
    <n v="72424"/>
  </r>
  <r>
    <x v="91"/>
    <x v="737"/>
    <x v="3"/>
    <n v="4"/>
    <x v="4"/>
    <n v="2"/>
    <x v="3"/>
    <x v="1"/>
    <x v="1"/>
    <x v="0"/>
    <x v="1"/>
    <n v="5"/>
    <n v="103"/>
    <n v="515"/>
  </r>
  <r>
    <x v="92"/>
    <x v="738"/>
    <x v="3"/>
    <n v="4"/>
    <x v="4"/>
    <n v="2"/>
    <x v="4"/>
    <x v="0"/>
    <x v="2"/>
    <x v="2"/>
    <x v="0"/>
    <n v="1"/>
    <n v="13217"/>
    <n v="13217"/>
  </r>
  <r>
    <x v="93"/>
    <x v="739"/>
    <x v="3"/>
    <n v="4"/>
    <x v="4"/>
    <n v="2"/>
    <x v="5"/>
    <x v="2"/>
    <x v="3"/>
    <x v="0"/>
    <x v="2"/>
    <n v="2"/>
    <n v="511"/>
    <n v="1022"/>
  </r>
  <r>
    <x v="94"/>
    <x v="740"/>
    <x v="3"/>
    <n v="4"/>
    <x v="4"/>
    <n v="2"/>
    <x v="6"/>
    <x v="3"/>
    <x v="5"/>
    <x v="0"/>
    <x v="1"/>
    <n v="2"/>
    <n v="513"/>
    <n v="1026"/>
  </r>
  <r>
    <x v="95"/>
    <x v="741"/>
    <x v="3"/>
    <n v="4"/>
    <x v="4"/>
    <n v="2"/>
    <x v="7"/>
    <x v="0"/>
    <x v="0"/>
    <x v="0"/>
    <x v="1"/>
    <n v="2"/>
    <n v="6283"/>
    <n v="12566"/>
  </r>
  <r>
    <x v="96"/>
    <x v="742"/>
    <x v="3"/>
    <n v="4"/>
    <x v="4"/>
    <n v="2"/>
    <x v="8"/>
    <x v="1"/>
    <x v="1"/>
    <x v="0"/>
    <x v="2"/>
    <n v="4"/>
    <n v="552"/>
    <n v="2208"/>
  </r>
  <r>
    <x v="97"/>
    <x v="743"/>
    <x v="3"/>
    <n v="4"/>
    <x v="4"/>
    <n v="2"/>
    <x v="0"/>
    <x v="0"/>
    <x v="0"/>
    <x v="2"/>
    <x v="0"/>
    <n v="1"/>
    <n v="56441"/>
    <n v="56441"/>
  </r>
  <r>
    <x v="98"/>
    <x v="744"/>
    <x v="3"/>
    <n v="4"/>
    <x v="4"/>
    <n v="2"/>
    <x v="1"/>
    <x v="0"/>
    <x v="3"/>
    <x v="0"/>
    <x v="1"/>
    <n v="2"/>
    <n v="4833"/>
    <n v="9666"/>
  </r>
  <r>
    <x v="99"/>
    <x v="745"/>
    <x v="3"/>
    <n v="4"/>
    <x v="4"/>
    <n v="2"/>
    <x v="9"/>
    <x v="3"/>
    <x v="3"/>
    <x v="0"/>
    <x v="0"/>
    <n v="1"/>
    <n v="1314"/>
    <n v="1314"/>
  </r>
  <r>
    <x v="100"/>
    <x v="746"/>
    <x v="3"/>
    <n v="4"/>
    <x v="4"/>
    <n v="2"/>
    <x v="2"/>
    <x v="1"/>
    <x v="0"/>
    <x v="1"/>
    <x v="2"/>
    <n v="1"/>
    <n v="5201"/>
    <n v="5201"/>
  </r>
  <r>
    <x v="101"/>
    <x v="747"/>
    <x v="3"/>
    <n v="4"/>
    <x v="4"/>
    <n v="2"/>
    <x v="3"/>
    <x v="1"/>
    <x v="0"/>
    <x v="1"/>
    <x v="0"/>
    <n v="2"/>
    <n v="469"/>
    <n v="938"/>
  </r>
  <r>
    <x v="102"/>
    <x v="748"/>
    <x v="3"/>
    <n v="4"/>
    <x v="4"/>
    <n v="2"/>
    <x v="4"/>
    <x v="0"/>
    <x v="2"/>
    <x v="1"/>
    <x v="1"/>
    <n v="2"/>
    <n v="24448"/>
    <n v="48896"/>
  </r>
  <r>
    <x v="103"/>
    <x v="749"/>
    <x v="3"/>
    <n v="4"/>
    <x v="4"/>
    <n v="2"/>
    <x v="5"/>
    <x v="2"/>
    <x v="5"/>
    <x v="1"/>
    <x v="1"/>
    <n v="3"/>
    <n v="378"/>
    <n v="1134"/>
  </r>
  <r>
    <x v="104"/>
    <x v="750"/>
    <x v="3"/>
    <n v="4"/>
    <x v="4"/>
    <n v="2"/>
    <x v="6"/>
    <x v="3"/>
    <x v="5"/>
    <x v="1"/>
    <x v="1"/>
    <n v="1"/>
    <n v="1310"/>
    <n v="1310"/>
  </r>
  <r>
    <x v="105"/>
    <x v="751"/>
    <x v="3"/>
    <n v="4"/>
    <x v="4"/>
    <n v="2"/>
    <x v="7"/>
    <x v="0"/>
    <x v="5"/>
    <x v="2"/>
    <x v="2"/>
    <n v="1"/>
    <n v="5590"/>
    <n v="5590"/>
  </r>
  <r>
    <x v="106"/>
    <x v="752"/>
    <x v="3"/>
    <n v="4"/>
    <x v="4"/>
    <n v="2"/>
    <x v="8"/>
    <x v="1"/>
    <x v="1"/>
    <x v="0"/>
    <x v="2"/>
    <n v="3"/>
    <n v="405"/>
    <n v="1215"/>
  </r>
  <r>
    <x v="107"/>
    <x v="753"/>
    <x v="3"/>
    <n v="4"/>
    <x v="4"/>
    <n v="2"/>
    <x v="0"/>
    <x v="0"/>
    <x v="4"/>
    <x v="0"/>
    <x v="2"/>
    <n v="1"/>
    <n v="51984"/>
    <n v="51984"/>
  </r>
  <r>
    <x v="108"/>
    <x v="754"/>
    <x v="3"/>
    <n v="4"/>
    <x v="4"/>
    <n v="2"/>
    <x v="1"/>
    <x v="0"/>
    <x v="0"/>
    <x v="2"/>
    <x v="2"/>
    <n v="3"/>
    <n v="2766"/>
    <n v="8298"/>
  </r>
  <r>
    <x v="109"/>
    <x v="755"/>
    <x v="3"/>
    <n v="4"/>
    <x v="4"/>
    <n v="2"/>
    <x v="9"/>
    <x v="3"/>
    <x v="5"/>
    <x v="0"/>
    <x v="1"/>
    <n v="3"/>
    <n v="2625"/>
    <n v="7875"/>
  </r>
  <r>
    <x v="110"/>
    <x v="756"/>
    <x v="3"/>
    <n v="4"/>
    <x v="4"/>
    <n v="2"/>
    <x v="2"/>
    <x v="1"/>
    <x v="2"/>
    <x v="2"/>
    <x v="1"/>
    <n v="2"/>
    <n v="2573"/>
    <n v="5146"/>
  </r>
  <r>
    <x v="111"/>
    <x v="757"/>
    <x v="3"/>
    <n v="4"/>
    <x v="4"/>
    <n v="2"/>
    <x v="3"/>
    <x v="1"/>
    <x v="1"/>
    <x v="0"/>
    <x v="2"/>
    <n v="2"/>
    <n v="798"/>
    <n v="1596"/>
  </r>
  <r>
    <x v="112"/>
    <x v="758"/>
    <x v="3"/>
    <n v="4"/>
    <x v="4"/>
    <n v="2"/>
    <x v="4"/>
    <x v="0"/>
    <x v="5"/>
    <x v="0"/>
    <x v="0"/>
    <n v="2"/>
    <n v="31517"/>
    <n v="63034"/>
  </r>
  <r>
    <x v="113"/>
    <x v="759"/>
    <x v="3"/>
    <n v="4"/>
    <x v="4"/>
    <n v="2"/>
    <x v="5"/>
    <x v="2"/>
    <x v="0"/>
    <x v="2"/>
    <x v="1"/>
    <n v="1"/>
    <n v="343"/>
    <n v="343"/>
  </r>
  <r>
    <x v="114"/>
    <x v="760"/>
    <x v="3"/>
    <n v="4"/>
    <x v="4"/>
    <n v="2"/>
    <x v="6"/>
    <x v="3"/>
    <x v="0"/>
    <x v="2"/>
    <x v="2"/>
    <n v="3"/>
    <n v="1021"/>
    <n v="3063"/>
  </r>
  <r>
    <x v="115"/>
    <x v="761"/>
    <x v="3"/>
    <n v="4"/>
    <x v="4"/>
    <n v="2"/>
    <x v="7"/>
    <x v="0"/>
    <x v="5"/>
    <x v="0"/>
    <x v="0"/>
    <n v="1"/>
    <n v="8543"/>
    <n v="8543"/>
  </r>
  <r>
    <x v="329"/>
    <x v="762"/>
    <x v="3"/>
    <n v="5"/>
    <x v="8"/>
    <n v="2"/>
    <x v="8"/>
    <x v="1"/>
    <x v="1"/>
    <x v="2"/>
    <x v="0"/>
    <n v="2"/>
    <n v="235"/>
    <n v="470"/>
  </r>
  <r>
    <x v="116"/>
    <x v="763"/>
    <x v="3"/>
    <n v="5"/>
    <x v="8"/>
    <n v="2"/>
    <x v="0"/>
    <x v="0"/>
    <x v="1"/>
    <x v="0"/>
    <x v="2"/>
    <n v="1"/>
    <n v="51840"/>
    <n v="51840"/>
  </r>
  <r>
    <x v="117"/>
    <x v="764"/>
    <x v="3"/>
    <n v="5"/>
    <x v="8"/>
    <n v="2"/>
    <x v="1"/>
    <x v="0"/>
    <x v="0"/>
    <x v="0"/>
    <x v="2"/>
    <n v="2"/>
    <n v="4435"/>
    <n v="8870"/>
  </r>
  <r>
    <x v="118"/>
    <x v="765"/>
    <x v="3"/>
    <n v="5"/>
    <x v="8"/>
    <n v="2"/>
    <x v="9"/>
    <x v="3"/>
    <x v="0"/>
    <x v="0"/>
    <x v="0"/>
    <n v="3"/>
    <n v="2138"/>
    <n v="6414"/>
  </r>
  <r>
    <x v="119"/>
    <x v="766"/>
    <x v="3"/>
    <n v="5"/>
    <x v="8"/>
    <n v="2"/>
    <x v="2"/>
    <x v="1"/>
    <x v="3"/>
    <x v="0"/>
    <x v="0"/>
    <n v="5"/>
    <n v="5434"/>
    <n v="27170"/>
  </r>
  <r>
    <x v="120"/>
    <x v="767"/>
    <x v="3"/>
    <n v="5"/>
    <x v="8"/>
    <n v="2"/>
    <x v="3"/>
    <x v="1"/>
    <x v="0"/>
    <x v="0"/>
    <x v="1"/>
    <n v="1"/>
    <n v="961"/>
    <n v="961"/>
  </r>
  <r>
    <x v="121"/>
    <x v="768"/>
    <x v="3"/>
    <n v="5"/>
    <x v="8"/>
    <n v="2"/>
    <x v="4"/>
    <x v="0"/>
    <x v="2"/>
    <x v="1"/>
    <x v="0"/>
    <n v="2"/>
    <n v="28891"/>
    <n v="57782"/>
  </r>
  <r>
    <x v="122"/>
    <x v="769"/>
    <x v="3"/>
    <n v="5"/>
    <x v="8"/>
    <n v="2"/>
    <x v="5"/>
    <x v="2"/>
    <x v="5"/>
    <x v="0"/>
    <x v="2"/>
    <n v="3"/>
    <n v="433"/>
    <n v="1299"/>
  </r>
  <r>
    <x v="123"/>
    <x v="770"/>
    <x v="3"/>
    <n v="5"/>
    <x v="8"/>
    <n v="2"/>
    <x v="6"/>
    <x v="3"/>
    <x v="5"/>
    <x v="0"/>
    <x v="2"/>
    <n v="2"/>
    <n v="912"/>
    <n v="1824"/>
  </r>
  <r>
    <x v="124"/>
    <x v="771"/>
    <x v="3"/>
    <n v="5"/>
    <x v="8"/>
    <n v="2"/>
    <x v="7"/>
    <x v="0"/>
    <x v="0"/>
    <x v="1"/>
    <x v="0"/>
    <n v="2"/>
    <n v="12792"/>
    <n v="25584"/>
  </r>
  <r>
    <x v="125"/>
    <x v="772"/>
    <x v="3"/>
    <n v="5"/>
    <x v="8"/>
    <n v="2"/>
    <x v="8"/>
    <x v="1"/>
    <x v="4"/>
    <x v="1"/>
    <x v="2"/>
    <n v="3"/>
    <n v="150"/>
    <n v="450"/>
  </r>
  <r>
    <x v="126"/>
    <x v="773"/>
    <x v="3"/>
    <n v="5"/>
    <x v="8"/>
    <n v="2"/>
    <x v="0"/>
    <x v="0"/>
    <x v="3"/>
    <x v="1"/>
    <x v="0"/>
    <n v="1"/>
    <n v="61259"/>
    <n v="61259"/>
  </r>
  <r>
    <x v="127"/>
    <x v="774"/>
    <x v="3"/>
    <n v="5"/>
    <x v="8"/>
    <n v="2"/>
    <x v="1"/>
    <x v="0"/>
    <x v="0"/>
    <x v="0"/>
    <x v="0"/>
    <n v="1"/>
    <n v="2998"/>
    <n v="2998"/>
  </r>
  <r>
    <x v="128"/>
    <x v="775"/>
    <x v="3"/>
    <n v="5"/>
    <x v="8"/>
    <n v="2"/>
    <x v="9"/>
    <x v="3"/>
    <x v="3"/>
    <x v="1"/>
    <x v="1"/>
    <n v="3"/>
    <n v="1682"/>
    <n v="5046"/>
  </r>
  <r>
    <x v="129"/>
    <x v="776"/>
    <x v="3"/>
    <n v="5"/>
    <x v="8"/>
    <n v="2"/>
    <x v="2"/>
    <x v="1"/>
    <x v="0"/>
    <x v="0"/>
    <x v="1"/>
    <n v="1"/>
    <n v="12576"/>
    <n v="12576"/>
  </r>
  <r>
    <x v="130"/>
    <x v="777"/>
    <x v="3"/>
    <n v="5"/>
    <x v="8"/>
    <n v="2"/>
    <x v="3"/>
    <x v="1"/>
    <x v="5"/>
    <x v="2"/>
    <x v="2"/>
    <n v="1"/>
    <n v="740"/>
    <n v="740"/>
  </r>
  <r>
    <x v="131"/>
    <x v="778"/>
    <x v="3"/>
    <n v="5"/>
    <x v="8"/>
    <n v="2"/>
    <x v="4"/>
    <x v="0"/>
    <x v="3"/>
    <x v="1"/>
    <x v="1"/>
    <n v="2"/>
    <n v="38690"/>
    <n v="77380"/>
  </r>
  <r>
    <x v="132"/>
    <x v="779"/>
    <x v="3"/>
    <n v="5"/>
    <x v="8"/>
    <n v="2"/>
    <x v="5"/>
    <x v="2"/>
    <x v="5"/>
    <x v="2"/>
    <x v="0"/>
    <n v="1"/>
    <n v="309"/>
    <n v="309"/>
  </r>
  <r>
    <x v="133"/>
    <x v="780"/>
    <x v="3"/>
    <n v="5"/>
    <x v="8"/>
    <n v="2"/>
    <x v="6"/>
    <x v="3"/>
    <x v="3"/>
    <x v="2"/>
    <x v="1"/>
    <n v="3"/>
    <n v="1670"/>
    <n v="5010"/>
  </r>
  <r>
    <x v="134"/>
    <x v="781"/>
    <x v="3"/>
    <n v="5"/>
    <x v="8"/>
    <n v="2"/>
    <x v="7"/>
    <x v="0"/>
    <x v="2"/>
    <x v="0"/>
    <x v="0"/>
    <n v="1"/>
    <n v="13908"/>
    <n v="13908"/>
  </r>
  <r>
    <x v="135"/>
    <x v="782"/>
    <x v="3"/>
    <n v="5"/>
    <x v="8"/>
    <n v="2"/>
    <x v="8"/>
    <x v="1"/>
    <x v="2"/>
    <x v="1"/>
    <x v="2"/>
    <n v="1"/>
    <n v="619"/>
    <n v="619"/>
  </r>
  <r>
    <x v="136"/>
    <x v="783"/>
    <x v="3"/>
    <n v="5"/>
    <x v="8"/>
    <n v="2"/>
    <x v="0"/>
    <x v="0"/>
    <x v="1"/>
    <x v="0"/>
    <x v="2"/>
    <n v="1"/>
    <n v="58661"/>
    <n v="58661"/>
  </r>
  <r>
    <x v="137"/>
    <x v="784"/>
    <x v="3"/>
    <n v="5"/>
    <x v="8"/>
    <n v="2"/>
    <x v="1"/>
    <x v="0"/>
    <x v="2"/>
    <x v="1"/>
    <x v="2"/>
    <n v="3"/>
    <n v="3441"/>
    <n v="10323"/>
  </r>
  <r>
    <x v="138"/>
    <x v="785"/>
    <x v="3"/>
    <n v="5"/>
    <x v="8"/>
    <n v="2"/>
    <x v="9"/>
    <x v="3"/>
    <x v="1"/>
    <x v="1"/>
    <x v="0"/>
    <n v="2"/>
    <n v="4503"/>
    <n v="9006"/>
  </r>
  <r>
    <x v="139"/>
    <x v="786"/>
    <x v="3"/>
    <n v="5"/>
    <x v="8"/>
    <n v="2"/>
    <x v="2"/>
    <x v="1"/>
    <x v="0"/>
    <x v="2"/>
    <x v="1"/>
    <n v="5"/>
    <n v="10835"/>
    <n v="54175"/>
  </r>
  <r>
    <x v="140"/>
    <x v="787"/>
    <x v="3"/>
    <n v="5"/>
    <x v="8"/>
    <n v="2"/>
    <x v="3"/>
    <x v="1"/>
    <x v="2"/>
    <x v="2"/>
    <x v="1"/>
    <n v="2"/>
    <n v="334"/>
    <n v="668"/>
  </r>
  <r>
    <x v="141"/>
    <x v="788"/>
    <x v="3"/>
    <n v="5"/>
    <x v="8"/>
    <n v="2"/>
    <x v="4"/>
    <x v="0"/>
    <x v="1"/>
    <x v="0"/>
    <x v="2"/>
    <n v="2"/>
    <n v="14992"/>
    <n v="29984"/>
  </r>
  <r>
    <x v="142"/>
    <x v="789"/>
    <x v="3"/>
    <n v="5"/>
    <x v="8"/>
    <n v="2"/>
    <x v="5"/>
    <x v="2"/>
    <x v="1"/>
    <x v="1"/>
    <x v="0"/>
    <n v="3"/>
    <n v="385"/>
    <n v="1155"/>
  </r>
  <r>
    <x v="143"/>
    <x v="790"/>
    <x v="3"/>
    <n v="5"/>
    <x v="8"/>
    <n v="2"/>
    <x v="6"/>
    <x v="3"/>
    <x v="5"/>
    <x v="2"/>
    <x v="1"/>
    <n v="1"/>
    <n v="1196"/>
    <n v="1196"/>
  </r>
  <r>
    <x v="144"/>
    <x v="791"/>
    <x v="3"/>
    <n v="5"/>
    <x v="8"/>
    <n v="2"/>
    <x v="7"/>
    <x v="0"/>
    <x v="4"/>
    <x v="2"/>
    <x v="0"/>
    <n v="2"/>
    <n v="4766"/>
    <n v="9532"/>
  </r>
  <r>
    <x v="145"/>
    <x v="792"/>
    <x v="3"/>
    <n v="5"/>
    <x v="8"/>
    <n v="2"/>
    <x v="8"/>
    <x v="1"/>
    <x v="0"/>
    <x v="0"/>
    <x v="2"/>
    <n v="4"/>
    <n v="317"/>
    <n v="1268"/>
  </r>
  <r>
    <x v="146"/>
    <x v="793"/>
    <x v="3"/>
    <n v="6"/>
    <x v="1"/>
    <n v="2"/>
    <x v="0"/>
    <x v="0"/>
    <x v="1"/>
    <x v="2"/>
    <x v="1"/>
    <n v="2"/>
    <n v="59735"/>
    <n v="119470"/>
  </r>
  <r>
    <x v="147"/>
    <x v="794"/>
    <x v="3"/>
    <n v="6"/>
    <x v="1"/>
    <n v="2"/>
    <x v="1"/>
    <x v="0"/>
    <x v="2"/>
    <x v="1"/>
    <x v="1"/>
    <n v="2"/>
    <n v="3950"/>
    <n v="7900"/>
  </r>
  <r>
    <x v="148"/>
    <x v="795"/>
    <x v="3"/>
    <n v="6"/>
    <x v="1"/>
    <n v="2"/>
    <x v="9"/>
    <x v="3"/>
    <x v="0"/>
    <x v="1"/>
    <x v="1"/>
    <n v="2"/>
    <n v="3263"/>
    <n v="6526"/>
  </r>
  <r>
    <x v="149"/>
    <x v="796"/>
    <x v="3"/>
    <n v="6"/>
    <x v="1"/>
    <n v="2"/>
    <x v="2"/>
    <x v="1"/>
    <x v="1"/>
    <x v="1"/>
    <x v="2"/>
    <n v="4"/>
    <n v="8514"/>
    <n v="34056"/>
  </r>
  <r>
    <x v="150"/>
    <x v="797"/>
    <x v="3"/>
    <n v="6"/>
    <x v="1"/>
    <n v="2"/>
    <x v="3"/>
    <x v="1"/>
    <x v="4"/>
    <x v="0"/>
    <x v="2"/>
    <n v="2"/>
    <n v="172"/>
    <n v="344"/>
  </r>
  <r>
    <x v="151"/>
    <x v="798"/>
    <x v="3"/>
    <n v="6"/>
    <x v="1"/>
    <n v="2"/>
    <x v="4"/>
    <x v="0"/>
    <x v="4"/>
    <x v="1"/>
    <x v="1"/>
    <n v="1"/>
    <n v="21077"/>
    <n v="21077"/>
  </r>
  <r>
    <x v="152"/>
    <x v="799"/>
    <x v="3"/>
    <n v="6"/>
    <x v="1"/>
    <n v="2"/>
    <x v="5"/>
    <x v="2"/>
    <x v="4"/>
    <x v="2"/>
    <x v="2"/>
    <n v="5"/>
    <n v="747"/>
    <n v="3735"/>
  </r>
  <r>
    <x v="153"/>
    <x v="800"/>
    <x v="3"/>
    <n v="6"/>
    <x v="1"/>
    <n v="2"/>
    <x v="6"/>
    <x v="3"/>
    <x v="2"/>
    <x v="0"/>
    <x v="0"/>
    <n v="2"/>
    <n v="850"/>
    <n v="1700"/>
  </r>
  <r>
    <x v="154"/>
    <x v="801"/>
    <x v="3"/>
    <n v="6"/>
    <x v="1"/>
    <n v="2"/>
    <x v="7"/>
    <x v="0"/>
    <x v="0"/>
    <x v="0"/>
    <x v="0"/>
    <n v="2"/>
    <n v="13771"/>
    <n v="27542"/>
  </r>
  <r>
    <x v="155"/>
    <x v="802"/>
    <x v="3"/>
    <n v="6"/>
    <x v="1"/>
    <n v="2"/>
    <x v="8"/>
    <x v="1"/>
    <x v="4"/>
    <x v="1"/>
    <x v="1"/>
    <n v="4"/>
    <n v="258"/>
    <n v="1032"/>
  </r>
  <r>
    <x v="156"/>
    <x v="803"/>
    <x v="3"/>
    <n v="6"/>
    <x v="1"/>
    <n v="2"/>
    <x v="0"/>
    <x v="0"/>
    <x v="5"/>
    <x v="1"/>
    <x v="2"/>
    <n v="2"/>
    <n v="44856"/>
    <n v="89712"/>
  </r>
  <r>
    <x v="157"/>
    <x v="804"/>
    <x v="3"/>
    <n v="6"/>
    <x v="1"/>
    <n v="2"/>
    <x v="1"/>
    <x v="0"/>
    <x v="0"/>
    <x v="1"/>
    <x v="2"/>
    <n v="3"/>
    <n v="3161"/>
    <n v="9483"/>
  </r>
  <r>
    <x v="158"/>
    <x v="805"/>
    <x v="3"/>
    <n v="6"/>
    <x v="1"/>
    <n v="2"/>
    <x v="9"/>
    <x v="3"/>
    <x v="0"/>
    <x v="2"/>
    <x v="2"/>
    <n v="1"/>
    <n v="4464"/>
    <n v="4464"/>
  </r>
  <r>
    <x v="159"/>
    <x v="806"/>
    <x v="3"/>
    <n v="6"/>
    <x v="1"/>
    <n v="2"/>
    <x v="2"/>
    <x v="1"/>
    <x v="1"/>
    <x v="2"/>
    <x v="2"/>
    <n v="1"/>
    <n v="4758"/>
    <n v="4758"/>
  </r>
  <r>
    <x v="160"/>
    <x v="807"/>
    <x v="3"/>
    <n v="6"/>
    <x v="1"/>
    <n v="2"/>
    <x v="3"/>
    <x v="1"/>
    <x v="0"/>
    <x v="2"/>
    <x v="1"/>
    <n v="4"/>
    <n v="490"/>
    <n v="1960"/>
  </r>
  <r>
    <x v="161"/>
    <x v="808"/>
    <x v="3"/>
    <n v="6"/>
    <x v="1"/>
    <n v="2"/>
    <x v="4"/>
    <x v="0"/>
    <x v="4"/>
    <x v="0"/>
    <x v="1"/>
    <n v="1"/>
    <n v="38739"/>
    <n v="38739"/>
  </r>
  <r>
    <x v="162"/>
    <x v="809"/>
    <x v="3"/>
    <n v="6"/>
    <x v="1"/>
    <n v="2"/>
    <x v="5"/>
    <x v="2"/>
    <x v="0"/>
    <x v="1"/>
    <x v="2"/>
    <n v="3"/>
    <n v="368"/>
    <n v="1104"/>
  </r>
  <r>
    <x v="163"/>
    <x v="810"/>
    <x v="3"/>
    <n v="6"/>
    <x v="1"/>
    <n v="2"/>
    <x v="6"/>
    <x v="3"/>
    <x v="2"/>
    <x v="1"/>
    <x v="0"/>
    <n v="1"/>
    <n v="1931"/>
    <n v="1931"/>
  </r>
  <r>
    <x v="164"/>
    <x v="811"/>
    <x v="3"/>
    <n v="6"/>
    <x v="1"/>
    <n v="2"/>
    <x v="7"/>
    <x v="0"/>
    <x v="5"/>
    <x v="1"/>
    <x v="1"/>
    <n v="2"/>
    <n v="14370"/>
    <n v="28740"/>
  </r>
  <r>
    <x v="165"/>
    <x v="812"/>
    <x v="3"/>
    <n v="6"/>
    <x v="1"/>
    <n v="2"/>
    <x v="8"/>
    <x v="1"/>
    <x v="0"/>
    <x v="2"/>
    <x v="2"/>
    <n v="2"/>
    <n v="780"/>
    <n v="1560"/>
  </r>
  <r>
    <x v="166"/>
    <x v="813"/>
    <x v="3"/>
    <n v="6"/>
    <x v="1"/>
    <n v="2"/>
    <x v="0"/>
    <x v="0"/>
    <x v="4"/>
    <x v="0"/>
    <x v="1"/>
    <n v="2"/>
    <n v="54865"/>
    <n v="109730"/>
  </r>
  <r>
    <x v="167"/>
    <x v="814"/>
    <x v="3"/>
    <n v="6"/>
    <x v="1"/>
    <n v="2"/>
    <x v="1"/>
    <x v="0"/>
    <x v="3"/>
    <x v="0"/>
    <x v="1"/>
    <n v="2"/>
    <n v="4481"/>
    <n v="8962"/>
  </r>
  <r>
    <x v="168"/>
    <x v="815"/>
    <x v="3"/>
    <n v="6"/>
    <x v="1"/>
    <n v="2"/>
    <x v="9"/>
    <x v="3"/>
    <x v="2"/>
    <x v="0"/>
    <x v="0"/>
    <n v="2"/>
    <n v="1972"/>
    <n v="3944"/>
  </r>
  <r>
    <x v="169"/>
    <x v="816"/>
    <x v="3"/>
    <n v="6"/>
    <x v="1"/>
    <n v="2"/>
    <x v="2"/>
    <x v="1"/>
    <x v="4"/>
    <x v="0"/>
    <x v="0"/>
    <n v="1"/>
    <n v="9837"/>
    <n v="9837"/>
  </r>
  <r>
    <x v="170"/>
    <x v="817"/>
    <x v="3"/>
    <n v="6"/>
    <x v="1"/>
    <n v="2"/>
    <x v="3"/>
    <x v="1"/>
    <x v="0"/>
    <x v="1"/>
    <x v="0"/>
    <n v="5"/>
    <n v="857"/>
    <n v="4285"/>
  </r>
  <r>
    <x v="171"/>
    <x v="818"/>
    <x v="3"/>
    <n v="6"/>
    <x v="1"/>
    <n v="2"/>
    <x v="4"/>
    <x v="0"/>
    <x v="0"/>
    <x v="0"/>
    <x v="0"/>
    <n v="1"/>
    <n v="20323"/>
    <n v="20323"/>
  </r>
  <r>
    <x v="172"/>
    <x v="819"/>
    <x v="3"/>
    <n v="6"/>
    <x v="1"/>
    <n v="2"/>
    <x v="5"/>
    <x v="2"/>
    <x v="4"/>
    <x v="1"/>
    <x v="2"/>
    <n v="5"/>
    <n v="1000"/>
    <n v="5000"/>
  </r>
  <r>
    <x v="173"/>
    <x v="820"/>
    <x v="3"/>
    <n v="6"/>
    <x v="1"/>
    <n v="2"/>
    <x v="6"/>
    <x v="3"/>
    <x v="0"/>
    <x v="2"/>
    <x v="2"/>
    <n v="5"/>
    <n v="1359"/>
    <n v="6795"/>
  </r>
  <r>
    <x v="174"/>
    <x v="821"/>
    <x v="3"/>
    <n v="6"/>
    <x v="1"/>
    <n v="2"/>
    <x v="7"/>
    <x v="0"/>
    <x v="2"/>
    <x v="2"/>
    <x v="0"/>
    <n v="1"/>
    <n v="14026"/>
    <n v="14026"/>
  </r>
  <r>
    <x v="175"/>
    <x v="822"/>
    <x v="3"/>
    <n v="6"/>
    <x v="1"/>
    <n v="2"/>
    <x v="8"/>
    <x v="1"/>
    <x v="4"/>
    <x v="1"/>
    <x v="1"/>
    <n v="2"/>
    <n v="685"/>
    <n v="1370"/>
  </r>
  <r>
    <x v="176"/>
    <x v="823"/>
    <x v="3"/>
    <n v="7"/>
    <x v="9"/>
    <n v="3"/>
    <x v="0"/>
    <x v="0"/>
    <x v="1"/>
    <x v="2"/>
    <x v="1"/>
    <n v="1"/>
    <n v="54311"/>
    <n v="54311"/>
  </r>
  <r>
    <x v="177"/>
    <x v="824"/>
    <x v="3"/>
    <n v="7"/>
    <x v="9"/>
    <n v="3"/>
    <x v="1"/>
    <x v="0"/>
    <x v="2"/>
    <x v="0"/>
    <x v="0"/>
    <n v="2"/>
    <n v="1713"/>
    <n v="3426"/>
  </r>
  <r>
    <x v="178"/>
    <x v="825"/>
    <x v="3"/>
    <n v="7"/>
    <x v="9"/>
    <n v="3"/>
    <x v="9"/>
    <x v="3"/>
    <x v="4"/>
    <x v="2"/>
    <x v="1"/>
    <n v="2"/>
    <n v="3204"/>
    <n v="6408"/>
  </r>
  <r>
    <x v="179"/>
    <x v="826"/>
    <x v="3"/>
    <n v="7"/>
    <x v="9"/>
    <n v="3"/>
    <x v="2"/>
    <x v="1"/>
    <x v="4"/>
    <x v="1"/>
    <x v="1"/>
    <n v="5"/>
    <n v="18542"/>
    <n v="92710"/>
  </r>
  <r>
    <x v="180"/>
    <x v="827"/>
    <x v="3"/>
    <n v="7"/>
    <x v="9"/>
    <n v="3"/>
    <x v="3"/>
    <x v="1"/>
    <x v="0"/>
    <x v="0"/>
    <x v="1"/>
    <n v="1"/>
    <n v="521"/>
    <n v="521"/>
  </r>
  <r>
    <x v="181"/>
    <x v="828"/>
    <x v="3"/>
    <n v="7"/>
    <x v="9"/>
    <n v="3"/>
    <x v="4"/>
    <x v="0"/>
    <x v="4"/>
    <x v="0"/>
    <x v="1"/>
    <n v="1"/>
    <n v="13218"/>
    <n v="13218"/>
  </r>
  <r>
    <x v="182"/>
    <x v="829"/>
    <x v="3"/>
    <n v="7"/>
    <x v="9"/>
    <n v="3"/>
    <x v="5"/>
    <x v="2"/>
    <x v="2"/>
    <x v="1"/>
    <x v="1"/>
    <n v="2"/>
    <n v="248"/>
    <n v="496"/>
  </r>
  <r>
    <x v="183"/>
    <x v="830"/>
    <x v="3"/>
    <n v="7"/>
    <x v="9"/>
    <n v="3"/>
    <x v="6"/>
    <x v="3"/>
    <x v="2"/>
    <x v="2"/>
    <x v="2"/>
    <n v="4"/>
    <n v="1353"/>
    <n v="5412"/>
  </r>
  <r>
    <x v="184"/>
    <x v="831"/>
    <x v="3"/>
    <n v="7"/>
    <x v="9"/>
    <n v="3"/>
    <x v="7"/>
    <x v="0"/>
    <x v="0"/>
    <x v="1"/>
    <x v="2"/>
    <n v="2"/>
    <n v="13462"/>
    <n v="26924"/>
  </r>
  <r>
    <x v="185"/>
    <x v="832"/>
    <x v="3"/>
    <n v="7"/>
    <x v="9"/>
    <n v="3"/>
    <x v="8"/>
    <x v="1"/>
    <x v="4"/>
    <x v="1"/>
    <x v="0"/>
    <n v="5"/>
    <n v="404"/>
    <n v="2020"/>
  </r>
  <r>
    <x v="186"/>
    <x v="833"/>
    <x v="3"/>
    <n v="7"/>
    <x v="9"/>
    <n v="3"/>
    <x v="0"/>
    <x v="0"/>
    <x v="3"/>
    <x v="1"/>
    <x v="2"/>
    <n v="1"/>
    <n v="59800"/>
    <n v="59800"/>
  </r>
  <r>
    <x v="187"/>
    <x v="834"/>
    <x v="3"/>
    <n v="7"/>
    <x v="9"/>
    <n v="3"/>
    <x v="1"/>
    <x v="0"/>
    <x v="1"/>
    <x v="2"/>
    <x v="1"/>
    <n v="2"/>
    <n v="2639"/>
    <n v="5278"/>
  </r>
  <r>
    <x v="188"/>
    <x v="835"/>
    <x v="3"/>
    <n v="7"/>
    <x v="9"/>
    <n v="3"/>
    <x v="9"/>
    <x v="3"/>
    <x v="5"/>
    <x v="0"/>
    <x v="1"/>
    <n v="1"/>
    <n v="2167"/>
    <n v="2167"/>
  </r>
  <r>
    <x v="189"/>
    <x v="836"/>
    <x v="3"/>
    <n v="7"/>
    <x v="9"/>
    <n v="3"/>
    <x v="2"/>
    <x v="1"/>
    <x v="0"/>
    <x v="2"/>
    <x v="0"/>
    <n v="3"/>
    <n v="8179"/>
    <n v="24537"/>
  </r>
  <r>
    <x v="190"/>
    <x v="837"/>
    <x v="3"/>
    <n v="7"/>
    <x v="9"/>
    <n v="3"/>
    <x v="3"/>
    <x v="1"/>
    <x v="4"/>
    <x v="0"/>
    <x v="0"/>
    <n v="1"/>
    <n v="374"/>
    <n v="374"/>
  </r>
  <r>
    <x v="191"/>
    <x v="838"/>
    <x v="3"/>
    <n v="7"/>
    <x v="9"/>
    <n v="3"/>
    <x v="4"/>
    <x v="0"/>
    <x v="2"/>
    <x v="0"/>
    <x v="2"/>
    <n v="1"/>
    <n v="36595"/>
    <n v="36595"/>
  </r>
  <r>
    <x v="192"/>
    <x v="839"/>
    <x v="3"/>
    <n v="7"/>
    <x v="9"/>
    <n v="3"/>
    <x v="5"/>
    <x v="2"/>
    <x v="3"/>
    <x v="1"/>
    <x v="1"/>
    <n v="5"/>
    <n v="570"/>
    <n v="2850"/>
  </r>
  <r>
    <x v="193"/>
    <x v="840"/>
    <x v="3"/>
    <n v="7"/>
    <x v="9"/>
    <n v="3"/>
    <x v="6"/>
    <x v="3"/>
    <x v="3"/>
    <x v="1"/>
    <x v="2"/>
    <n v="3"/>
    <n v="1005"/>
    <n v="3015"/>
  </r>
  <r>
    <x v="194"/>
    <x v="841"/>
    <x v="3"/>
    <n v="7"/>
    <x v="9"/>
    <n v="3"/>
    <x v="7"/>
    <x v="0"/>
    <x v="1"/>
    <x v="1"/>
    <x v="0"/>
    <n v="2"/>
    <n v="14435"/>
    <n v="28870"/>
  </r>
  <r>
    <x v="330"/>
    <x v="842"/>
    <x v="3"/>
    <n v="7"/>
    <x v="9"/>
    <n v="3"/>
    <x v="8"/>
    <x v="1"/>
    <x v="4"/>
    <x v="2"/>
    <x v="0"/>
    <n v="5"/>
    <n v="351"/>
    <n v="1755"/>
  </r>
  <r>
    <x v="195"/>
    <x v="843"/>
    <x v="3"/>
    <n v="7"/>
    <x v="9"/>
    <n v="3"/>
    <x v="0"/>
    <x v="0"/>
    <x v="2"/>
    <x v="0"/>
    <x v="2"/>
    <n v="2"/>
    <n v="60581"/>
    <n v="121162"/>
  </r>
  <r>
    <x v="196"/>
    <x v="844"/>
    <x v="3"/>
    <n v="7"/>
    <x v="9"/>
    <n v="3"/>
    <x v="1"/>
    <x v="0"/>
    <x v="5"/>
    <x v="2"/>
    <x v="2"/>
    <n v="1"/>
    <n v="2742"/>
    <n v="2742"/>
  </r>
  <r>
    <x v="197"/>
    <x v="845"/>
    <x v="3"/>
    <n v="7"/>
    <x v="9"/>
    <n v="3"/>
    <x v="9"/>
    <x v="3"/>
    <x v="3"/>
    <x v="0"/>
    <x v="0"/>
    <n v="3"/>
    <n v="3576"/>
    <n v="10728"/>
  </r>
  <r>
    <x v="198"/>
    <x v="846"/>
    <x v="3"/>
    <n v="7"/>
    <x v="9"/>
    <n v="3"/>
    <x v="2"/>
    <x v="1"/>
    <x v="0"/>
    <x v="1"/>
    <x v="0"/>
    <n v="4"/>
    <n v="15524"/>
    <n v="62096"/>
  </r>
  <r>
    <x v="199"/>
    <x v="847"/>
    <x v="3"/>
    <n v="7"/>
    <x v="9"/>
    <n v="3"/>
    <x v="3"/>
    <x v="1"/>
    <x v="2"/>
    <x v="1"/>
    <x v="1"/>
    <n v="3"/>
    <n v="973"/>
    <n v="2919"/>
  </r>
  <r>
    <x v="200"/>
    <x v="848"/>
    <x v="3"/>
    <n v="7"/>
    <x v="9"/>
    <n v="3"/>
    <x v="4"/>
    <x v="0"/>
    <x v="2"/>
    <x v="0"/>
    <x v="1"/>
    <n v="2"/>
    <n v="19223"/>
    <n v="38446"/>
  </r>
  <r>
    <x v="201"/>
    <x v="849"/>
    <x v="3"/>
    <n v="7"/>
    <x v="9"/>
    <n v="3"/>
    <x v="5"/>
    <x v="2"/>
    <x v="5"/>
    <x v="2"/>
    <x v="0"/>
    <n v="3"/>
    <n v="197"/>
    <n v="591"/>
  </r>
  <r>
    <x v="202"/>
    <x v="850"/>
    <x v="3"/>
    <n v="7"/>
    <x v="9"/>
    <n v="3"/>
    <x v="6"/>
    <x v="3"/>
    <x v="0"/>
    <x v="2"/>
    <x v="1"/>
    <n v="4"/>
    <n v="1862"/>
    <n v="7448"/>
  </r>
  <r>
    <x v="203"/>
    <x v="851"/>
    <x v="3"/>
    <n v="7"/>
    <x v="9"/>
    <n v="3"/>
    <x v="7"/>
    <x v="0"/>
    <x v="4"/>
    <x v="2"/>
    <x v="2"/>
    <n v="2"/>
    <n v="7732"/>
    <n v="15464"/>
  </r>
  <r>
    <x v="204"/>
    <x v="852"/>
    <x v="3"/>
    <n v="7"/>
    <x v="9"/>
    <n v="3"/>
    <x v="8"/>
    <x v="1"/>
    <x v="5"/>
    <x v="0"/>
    <x v="2"/>
    <n v="3"/>
    <n v="508"/>
    <n v="1524"/>
  </r>
  <r>
    <x v="205"/>
    <x v="853"/>
    <x v="3"/>
    <n v="7"/>
    <x v="9"/>
    <n v="3"/>
    <x v="0"/>
    <x v="0"/>
    <x v="2"/>
    <x v="0"/>
    <x v="2"/>
    <n v="1"/>
    <n v="55970"/>
    <n v="55970"/>
  </r>
  <r>
    <x v="206"/>
    <x v="854"/>
    <x v="3"/>
    <n v="8"/>
    <x v="0"/>
    <n v="3"/>
    <x v="1"/>
    <x v="0"/>
    <x v="3"/>
    <x v="2"/>
    <x v="2"/>
    <n v="2"/>
    <n v="2129"/>
    <n v="4258"/>
  </r>
  <r>
    <x v="207"/>
    <x v="855"/>
    <x v="3"/>
    <n v="8"/>
    <x v="0"/>
    <n v="3"/>
    <x v="9"/>
    <x v="3"/>
    <x v="2"/>
    <x v="0"/>
    <x v="1"/>
    <n v="3"/>
    <n v="2280"/>
    <n v="6840"/>
  </r>
  <r>
    <x v="208"/>
    <x v="856"/>
    <x v="3"/>
    <n v="8"/>
    <x v="0"/>
    <n v="3"/>
    <x v="2"/>
    <x v="1"/>
    <x v="1"/>
    <x v="0"/>
    <x v="0"/>
    <n v="1"/>
    <n v="2260"/>
    <n v="2260"/>
  </r>
  <r>
    <x v="209"/>
    <x v="857"/>
    <x v="3"/>
    <n v="8"/>
    <x v="0"/>
    <n v="3"/>
    <x v="3"/>
    <x v="1"/>
    <x v="3"/>
    <x v="0"/>
    <x v="1"/>
    <n v="4"/>
    <n v="962"/>
    <n v="3848"/>
  </r>
  <r>
    <x v="210"/>
    <x v="858"/>
    <x v="3"/>
    <n v="8"/>
    <x v="0"/>
    <n v="3"/>
    <x v="4"/>
    <x v="0"/>
    <x v="4"/>
    <x v="2"/>
    <x v="0"/>
    <n v="2"/>
    <n v="12775"/>
    <n v="25550"/>
  </r>
  <r>
    <x v="211"/>
    <x v="859"/>
    <x v="3"/>
    <n v="8"/>
    <x v="0"/>
    <n v="3"/>
    <x v="5"/>
    <x v="2"/>
    <x v="0"/>
    <x v="1"/>
    <x v="2"/>
    <n v="2"/>
    <n v="685"/>
    <n v="1370"/>
  </r>
  <r>
    <x v="212"/>
    <x v="860"/>
    <x v="3"/>
    <n v="8"/>
    <x v="0"/>
    <n v="3"/>
    <x v="6"/>
    <x v="3"/>
    <x v="5"/>
    <x v="1"/>
    <x v="2"/>
    <n v="4"/>
    <n v="1218"/>
    <n v="4872"/>
  </r>
  <r>
    <x v="213"/>
    <x v="861"/>
    <x v="3"/>
    <n v="8"/>
    <x v="0"/>
    <n v="3"/>
    <x v="7"/>
    <x v="0"/>
    <x v="2"/>
    <x v="0"/>
    <x v="0"/>
    <n v="1"/>
    <n v="4031"/>
    <n v="4031"/>
  </r>
  <r>
    <x v="214"/>
    <x v="862"/>
    <x v="3"/>
    <n v="8"/>
    <x v="0"/>
    <n v="3"/>
    <x v="8"/>
    <x v="1"/>
    <x v="4"/>
    <x v="0"/>
    <x v="0"/>
    <n v="2"/>
    <n v="140"/>
    <n v="280"/>
  </r>
  <r>
    <x v="215"/>
    <x v="863"/>
    <x v="3"/>
    <n v="8"/>
    <x v="0"/>
    <n v="3"/>
    <x v="0"/>
    <x v="0"/>
    <x v="3"/>
    <x v="2"/>
    <x v="2"/>
    <n v="2"/>
    <n v="54557"/>
    <n v="109114"/>
  </r>
  <r>
    <x v="216"/>
    <x v="864"/>
    <x v="3"/>
    <n v="8"/>
    <x v="0"/>
    <n v="3"/>
    <x v="1"/>
    <x v="0"/>
    <x v="4"/>
    <x v="0"/>
    <x v="0"/>
    <n v="2"/>
    <n v="1892"/>
    <n v="3784"/>
  </r>
  <r>
    <x v="217"/>
    <x v="865"/>
    <x v="3"/>
    <n v="8"/>
    <x v="0"/>
    <n v="3"/>
    <x v="9"/>
    <x v="3"/>
    <x v="1"/>
    <x v="0"/>
    <x v="2"/>
    <n v="3"/>
    <n v="3197"/>
    <n v="9591"/>
  </r>
  <r>
    <x v="218"/>
    <x v="866"/>
    <x v="3"/>
    <n v="8"/>
    <x v="0"/>
    <n v="3"/>
    <x v="2"/>
    <x v="1"/>
    <x v="1"/>
    <x v="2"/>
    <x v="2"/>
    <n v="5"/>
    <n v="10225"/>
    <n v="51125"/>
  </r>
  <r>
    <x v="219"/>
    <x v="867"/>
    <x v="3"/>
    <n v="8"/>
    <x v="0"/>
    <n v="3"/>
    <x v="3"/>
    <x v="1"/>
    <x v="5"/>
    <x v="1"/>
    <x v="1"/>
    <n v="2"/>
    <n v="899"/>
    <n v="1798"/>
  </r>
  <r>
    <x v="331"/>
    <x v="868"/>
    <x v="3"/>
    <n v="8"/>
    <x v="0"/>
    <n v="3"/>
    <x v="4"/>
    <x v="0"/>
    <x v="5"/>
    <x v="0"/>
    <x v="0"/>
    <n v="1"/>
    <n v="32743"/>
    <n v="32743"/>
  </r>
  <r>
    <x v="220"/>
    <x v="869"/>
    <x v="3"/>
    <n v="8"/>
    <x v="0"/>
    <n v="3"/>
    <x v="5"/>
    <x v="2"/>
    <x v="4"/>
    <x v="2"/>
    <x v="2"/>
    <n v="3"/>
    <n v="736"/>
    <n v="2208"/>
  </r>
  <r>
    <x v="221"/>
    <x v="870"/>
    <x v="3"/>
    <n v="8"/>
    <x v="0"/>
    <n v="3"/>
    <x v="6"/>
    <x v="3"/>
    <x v="1"/>
    <x v="0"/>
    <x v="2"/>
    <n v="4"/>
    <n v="1504"/>
    <n v="6016"/>
  </r>
  <r>
    <x v="222"/>
    <x v="871"/>
    <x v="3"/>
    <n v="8"/>
    <x v="0"/>
    <n v="3"/>
    <x v="7"/>
    <x v="0"/>
    <x v="2"/>
    <x v="0"/>
    <x v="0"/>
    <n v="2"/>
    <n v="7086"/>
    <n v="14172"/>
  </r>
  <r>
    <x v="223"/>
    <x v="872"/>
    <x v="3"/>
    <n v="8"/>
    <x v="0"/>
    <n v="3"/>
    <x v="8"/>
    <x v="1"/>
    <x v="3"/>
    <x v="2"/>
    <x v="1"/>
    <n v="1"/>
    <n v="783"/>
    <n v="783"/>
  </r>
  <r>
    <x v="224"/>
    <x v="873"/>
    <x v="3"/>
    <n v="8"/>
    <x v="0"/>
    <n v="3"/>
    <x v="0"/>
    <x v="0"/>
    <x v="2"/>
    <x v="1"/>
    <x v="2"/>
    <n v="1"/>
    <n v="67161"/>
    <n v="67161"/>
  </r>
  <r>
    <x v="225"/>
    <x v="874"/>
    <x v="3"/>
    <n v="8"/>
    <x v="0"/>
    <n v="3"/>
    <x v="1"/>
    <x v="0"/>
    <x v="0"/>
    <x v="1"/>
    <x v="1"/>
    <n v="3"/>
    <n v="2774"/>
    <n v="8322"/>
  </r>
  <r>
    <x v="226"/>
    <x v="875"/>
    <x v="3"/>
    <n v="8"/>
    <x v="0"/>
    <n v="3"/>
    <x v="9"/>
    <x v="3"/>
    <x v="1"/>
    <x v="0"/>
    <x v="0"/>
    <n v="2"/>
    <n v="1961"/>
    <n v="3922"/>
  </r>
  <r>
    <x v="227"/>
    <x v="876"/>
    <x v="3"/>
    <n v="8"/>
    <x v="0"/>
    <n v="3"/>
    <x v="2"/>
    <x v="1"/>
    <x v="3"/>
    <x v="1"/>
    <x v="0"/>
    <n v="3"/>
    <n v="3843"/>
    <n v="11529"/>
  </r>
  <r>
    <x v="228"/>
    <x v="877"/>
    <x v="3"/>
    <n v="8"/>
    <x v="0"/>
    <n v="3"/>
    <x v="3"/>
    <x v="1"/>
    <x v="5"/>
    <x v="0"/>
    <x v="2"/>
    <n v="2"/>
    <n v="515"/>
    <n v="1030"/>
  </r>
  <r>
    <x v="229"/>
    <x v="878"/>
    <x v="3"/>
    <n v="8"/>
    <x v="0"/>
    <n v="3"/>
    <x v="4"/>
    <x v="0"/>
    <x v="3"/>
    <x v="1"/>
    <x v="2"/>
    <n v="2"/>
    <n v="18773"/>
    <n v="37546"/>
  </r>
  <r>
    <x v="332"/>
    <x v="879"/>
    <x v="3"/>
    <n v="8"/>
    <x v="0"/>
    <n v="3"/>
    <x v="5"/>
    <x v="2"/>
    <x v="3"/>
    <x v="1"/>
    <x v="0"/>
    <n v="2"/>
    <n v="418"/>
    <n v="836"/>
  </r>
  <r>
    <x v="230"/>
    <x v="880"/>
    <x v="3"/>
    <n v="8"/>
    <x v="0"/>
    <n v="3"/>
    <x v="6"/>
    <x v="3"/>
    <x v="5"/>
    <x v="2"/>
    <x v="0"/>
    <n v="2"/>
    <n v="996"/>
    <n v="1992"/>
  </r>
  <r>
    <x v="231"/>
    <x v="881"/>
    <x v="3"/>
    <n v="8"/>
    <x v="0"/>
    <n v="3"/>
    <x v="7"/>
    <x v="0"/>
    <x v="3"/>
    <x v="0"/>
    <x v="1"/>
    <n v="2"/>
    <n v="12569"/>
    <n v="25138"/>
  </r>
  <r>
    <x v="232"/>
    <x v="882"/>
    <x v="3"/>
    <n v="8"/>
    <x v="0"/>
    <n v="3"/>
    <x v="8"/>
    <x v="1"/>
    <x v="1"/>
    <x v="2"/>
    <x v="0"/>
    <n v="3"/>
    <n v="241"/>
    <n v="723"/>
  </r>
  <r>
    <x v="233"/>
    <x v="883"/>
    <x v="3"/>
    <n v="8"/>
    <x v="0"/>
    <n v="3"/>
    <x v="0"/>
    <x v="0"/>
    <x v="2"/>
    <x v="1"/>
    <x v="1"/>
    <n v="1"/>
    <n v="51561"/>
    <n v="51561"/>
  </r>
  <r>
    <x v="333"/>
    <x v="884"/>
    <x v="3"/>
    <n v="8"/>
    <x v="0"/>
    <n v="3"/>
    <x v="1"/>
    <x v="0"/>
    <x v="1"/>
    <x v="0"/>
    <x v="0"/>
    <n v="3"/>
    <n v="2846"/>
    <n v="8538"/>
  </r>
  <r>
    <x v="234"/>
    <x v="885"/>
    <x v="3"/>
    <n v="9"/>
    <x v="10"/>
    <n v="3"/>
    <x v="9"/>
    <x v="3"/>
    <x v="3"/>
    <x v="0"/>
    <x v="1"/>
    <n v="2"/>
    <n v="1792"/>
    <n v="3584"/>
  </r>
  <r>
    <x v="235"/>
    <x v="886"/>
    <x v="3"/>
    <n v="9"/>
    <x v="10"/>
    <n v="3"/>
    <x v="2"/>
    <x v="1"/>
    <x v="3"/>
    <x v="0"/>
    <x v="1"/>
    <n v="1"/>
    <n v="17414"/>
    <n v="17414"/>
  </r>
  <r>
    <x v="236"/>
    <x v="887"/>
    <x v="3"/>
    <n v="9"/>
    <x v="10"/>
    <n v="3"/>
    <x v="3"/>
    <x v="1"/>
    <x v="5"/>
    <x v="1"/>
    <x v="2"/>
    <n v="5"/>
    <n v="417"/>
    <n v="2085"/>
  </r>
  <r>
    <x v="237"/>
    <x v="888"/>
    <x v="3"/>
    <n v="9"/>
    <x v="10"/>
    <n v="3"/>
    <x v="4"/>
    <x v="0"/>
    <x v="2"/>
    <x v="0"/>
    <x v="1"/>
    <n v="1"/>
    <n v="32293"/>
    <n v="32293"/>
  </r>
  <r>
    <x v="238"/>
    <x v="889"/>
    <x v="3"/>
    <n v="9"/>
    <x v="10"/>
    <n v="3"/>
    <x v="5"/>
    <x v="2"/>
    <x v="5"/>
    <x v="2"/>
    <x v="2"/>
    <n v="2"/>
    <n v="750"/>
    <n v="1500"/>
  </r>
  <r>
    <x v="239"/>
    <x v="890"/>
    <x v="3"/>
    <n v="9"/>
    <x v="10"/>
    <n v="3"/>
    <x v="6"/>
    <x v="3"/>
    <x v="5"/>
    <x v="0"/>
    <x v="2"/>
    <n v="3"/>
    <n v="1702"/>
    <n v="5106"/>
  </r>
  <r>
    <x v="240"/>
    <x v="891"/>
    <x v="3"/>
    <n v="9"/>
    <x v="10"/>
    <n v="3"/>
    <x v="7"/>
    <x v="0"/>
    <x v="1"/>
    <x v="1"/>
    <x v="0"/>
    <n v="1"/>
    <n v="10698"/>
    <n v="10698"/>
  </r>
  <r>
    <x v="241"/>
    <x v="892"/>
    <x v="3"/>
    <n v="9"/>
    <x v="10"/>
    <n v="3"/>
    <x v="8"/>
    <x v="1"/>
    <x v="1"/>
    <x v="0"/>
    <x v="1"/>
    <n v="3"/>
    <n v="468"/>
    <n v="1404"/>
  </r>
  <r>
    <x v="242"/>
    <x v="893"/>
    <x v="3"/>
    <n v="9"/>
    <x v="10"/>
    <n v="3"/>
    <x v="0"/>
    <x v="0"/>
    <x v="2"/>
    <x v="1"/>
    <x v="2"/>
    <n v="2"/>
    <n v="57310"/>
    <n v="114620"/>
  </r>
  <r>
    <x v="243"/>
    <x v="894"/>
    <x v="3"/>
    <n v="9"/>
    <x v="10"/>
    <n v="3"/>
    <x v="1"/>
    <x v="0"/>
    <x v="5"/>
    <x v="1"/>
    <x v="2"/>
    <n v="1"/>
    <n v="1155"/>
    <n v="1155"/>
  </r>
  <r>
    <x v="334"/>
    <x v="895"/>
    <x v="3"/>
    <n v="9"/>
    <x v="10"/>
    <n v="3"/>
    <x v="9"/>
    <x v="3"/>
    <x v="2"/>
    <x v="1"/>
    <x v="1"/>
    <n v="1"/>
    <n v="3955"/>
    <n v="3955"/>
  </r>
  <r>
    <x v="244"/>
    <x v="896"/>
    <x v="3"/>
    <n v="9"/>
    <x v="10"/>
    <n v="3"/>
    <x v="2"/>
    <x v="1"/>
    <x v="2"/>
    <x v="2"/>
    <x v="2"/>
    <n v="2"/>
    <n v="11560"/>
    <n v="23120"/>
  </r>
  <r>
    <x v="245"/>
    <x v="897"/>
    <x v="3"/>
    <n v="9"/>
    <x v="10"/>
    <n v="3"/>
    <x v="3"/>
    <x v="1"/>
    <x v="2"/>
    <x v="1"/>
    <x v="1"/>
    <n v="3"/>
    <n v="457"/>
    <n v="1371"/>
  </r>
  <r>
    <x v="246"/>
    <x v="898"/>
    <x v="3"/>
    <n v="9"/>
    <x v="10"/>
    <n v="3"/>
    <x v="4"/>
    <x v="0"/>
    <x v="5"/>
    <x v="1"/>
    <x v="0"/>
    <n v="2"/>
    <n v="22337"/>
    <n v="44674"/>
  </r>
  <r>
    <x v="247"/>
    <x v="899"/>
    <x v="3"/>
    <n v="9"/>
    <x v="10"/>
    <n v="3"/>
    <x v="5"/>
    <x v="2"/>
    <x v="5"/>
    <x v="2"/>
    <x v="2"/>
    <n v="5"/>
    <n v="379"/>
    <n v="1895"/>
  </r>
  <r>
    <x v="335"/>
    <x v="900"/>
    <x v="3"/>
    <n v="9"/>
    <x v="10"/>
    <n v="3"/>
    <x v="6"/>
    <x v="3"/>
    <x v="0"/>
    <x v="1"/>
    <x v="0"/>
    <n v="5"/>
    <n v="667"/>
    <n v="3335"/>
  </r>
  <r>
    <x v="248"/>
    <x v="901"/>
    <x v="3"/>
    <n v="9"/>
    <x v="10"/>
    <n v="3"/>
    <x v="7"/>
    <x v="0"/>
    <x v="3"/>
    <x v="1"/>
    <x v="1"/>
    <n v="2"/>
    <n v="13263"/>
    <n v="26526"/>
  </r>
  <r>
    <x v="249"/>
    <x v="902"/>
    <x v="3"/>
    <n v="9"/>
    <x v="10"/>
    <n v="3"/>
    <x v="8"/>
    <x v="1"/>
    <x v="2"/>
    <x v="0"/>
    <x v="1"/>
    <n v="4"/>
    <n v="503"/>
    <n v="2012"/>
  </r>
  <r>
    <x v="250"/>
    <x v="903"/>
    <x v="3"/>
    <n v="9"/>
    <x v="10"/>
    <n v="3"/>
    <x v="0"/>
    <x v="0"/>
    <x v="0"/>
    <x v="0"/>
    <x v="0"/>
    <n v="1"/>
    <n v="53499"/>
    <n v="53499"/>
  </r>
  <r>
    <x v="251"/>
    <x v="904"/>
    <x v="3"/>
    <n v="9"/>
    <x v="10"/>
    <n v="3"/>
    <x v="1"/>
    <x v="0"/>
    <x v="4"/>
    <x v="0"/>
    <x v="1"/>
    <n v="1"/>
    <n v="3910"/>
    <n v="3910"/>
  </r>
  <r>
    <x v="252"/>
    <x v="905"/>
    <x v="3"/>
    <n v="9"/>
    <x v="10"/>
    <n v="3"/>
    <x v="9"/>
    <x v="3"/>
    <x v="3"/>
    <x v="2"/>
    <x v="0"/>
    <n v="1"/>
    <n v="3590"/>
    <n v="3590"/>
  </r>
  <r>
    <x v="253"/>
    <x v="906"/>
    <x v="3"/>
    <n v="9"/>
    <x v="10"/>
    <n v="3"/>
    <x v="2"/>
    <x v="1"/>
    <x v="4"/>
    <x v="2"/>
    <x v="1"/>
    <n v="5"/>
    <n v="4354"/>
    <n v="21770"/>
  </r>
  <r>
    <x v="254"/>
    <x v="907"/>
    <x v="3"/>
    <n v="9"/>
    <x v="10"/>
    <n v="3"/>
    <x v="3"/>
    <x v="1"/>
    <x v="0"/>
    <x v="0"/>
    <x v="0"/>
    <n v="1"/>
    <n v="878"/>
    <n v="878"/>
  </r>
  <r>
    <x v="255"/>
    <x v="908"/>
    <x v="3"/>
    <n v="9"/>
    <x v="10"/>
    <n v="3"/>
    <x v="4"/>
    <x v="0"/>
    <x v="5"/>
    <x v="2"/>
    <x v="2"/>
    <n v="1"/>
    <n v="28657"/>
    <n v="28657"/>
  </r>
  <r>
    <x v="256"/>
    <x v="909"/>
    <x v="3"/>
    <n v="9"/>
    <x v="10"/>
    <n v="3"/>
    <x v="5"/>
    <x v="2"/>
    <x v="1"/>
    <x v="0"/>
    <x v="2"/>
    <n v="1"/>
    <n v="394"/>
    <n v="394"/>
  </r>
  <r>
    <x v="257"/>
    <x v="910"/>
    <x v="3"/>
    <n v="9"/>
    <x v="10"/>
    <n v="3"/>
    <x v="6"/>
    <x v="3"/>
    <x v="3"/>
    <x v="0"/>
    <x v="1"/>
    <n v="3"/>
    <n v="1554"/>
    <n v="4662"/>
  </r>
  <r>
    <x v="258"/>
    <x v="911"/>
    <x v="3"/>
    <n v="9"/>
    <x v="10"/>
    <n v="3"/>
    <x v="7"/>
    <x v="0"/>
    <x v="4"/>
    <x v="2"/>
    <x v="1"/>
    <n v="1"/>
    <n v="4066"/>
    <n v="4066"/>
  </r>
  <r>
    <x v="259"/>
    <x v="912"/>
    <x v="3"/>
    <n v="9"/>
    <x v="10"/>
    <n v="3"/>
    <x v="8"/>
    <x v="1"/>
    <x v="1"/>
    <x v="1"/>
    <x v="1"/>
    <n v="5"/>
    <n v="210"/>
    <n v="1050"/>
  </r>
  <r>
    <x v="260"/>
    <x v="913"/>
    <x v="3"/>
    <n v="9"/>
    <x v="10"/>
    <n v="3"/>
    <x v="0"/>
    <x v="0"/>
    <x v="4"/>
    <x v="2"/>
    <x v="0"/>
    <n v="1"/>
    <n v="40792"/>
    <n v="40792"/>
  </r>
  <r>
    <x v="261"/>
    <x v="914"/>
    <x v="3"/>
    <n v="9"/>
    <x v="10"/>
    <n v="3"/>
    <x v="1"/>
    <x v="0"/>
    <x v="1"/>
    <x v="1"/>
    <x v="0"/>
    <n v="2"/>
    <n v="3380"/>
    <n v="6760"/>
  </r>
  <r>
    <x v="262"/>
    <x v="915"/>
    <x v="3"/>
    <n v="10"/>
    <x v="6"/>
    <n v="4"/>
    <x v="9"/>
    <x v="3"/>
    <x v="3"/>
    <x v="0"/>
    <x v="0"/>
    <n v="2"/>
    <n v="1061"/>
    <n v="2122"/>
  </r>
  <r>
    <x v="263"/>
    <x v="916"/>
    <x v="3"/>
    <n v="10"/>
    <x v="6"/>
    <n v="4"/>
    <x v="2"/>
    <x v="1"/>
    <x v="3"/>
    <x v="2"/>
    <x v="1"/>
    <n v="5"/>
    <n v="9610"/>
    <n v="48050"/>
  </r>
  <r>
    <x v="264"/>
    <x v="917"/>
    <x v="3"/>
    <n v="10"/>
    <x v="6"/>
    <n v="4"/>
    <x v="3"/>
    <x v="1"/>
    <x v="1"/>
    <x v="2"/>
    <x v="1"/>
    <n v="1"/>
    <n v="901"/>
    <n v="901"/>
  </r>
  <r>
    <x v="265"/>
    <x v="918"/>
    <x v="3"/>
    <n v="10"/>
    <x v="6"/>
    <n v="4"/>
    <x v="4"/>
    <x v="0"/>
    <x v="2"/>
    <x v="2"/>
    <x v="0"/>
    <n v="2"/>
    <n v="18752"/>
    <n v="37504"/>
  </r>
  <r>
    <x v="266"/>
    <x v="919"/>
    <x v="3"/>
    <n v="10"/>
    <x v="6"/>
    <n v="4"/>
    <x v="5"/>
    <x v="2"/>
    <x v="1"/>
    <x v="0"/>
    <x v="0"/>
    <n v="1"/>
    <n v="129"/>
    <n v="129"/>
  </r>
  <r>
    <x v="267"/>
    <x v="920"/>
    <x v="3"/>
    <n v="10"/>
    <x v="6"/>
    <n v="4"/>
    <x v="6"/>
    <x v="3"/>
    <x v="3"/>
    <x v="0"/>
    <x v="1"/>
    <n v="1"/>
    <n v="828"/>
    <n v="828"/>
  </r>
  <r>
    <x v="268"/>
    <x v="921"/>
    <x v="3"/>
    <n v="10"/>
    <x v="6"/>
    <n v="4"/>
    <x v="7"/>
    <x v="0"/>
    <x v="4"/>
    <x v="1"/>
    <x v="1"/>
    <n v="2"/>
    <n v="4999"/>
    <n v="9998"/>
  </r>
  <r>
    <x v="269"/>
    <x v="922"/>
    <x v="3"/>
    <n v="10"/>
    <x v="6"/>
    <n v="4"/>
    <x v="8"/>
    <x v="1"/>
    <x v="2"/>
    <x v="1"/>
    <x v="0"/>
    <n v="4"/>
    <n v="677"/>
    <n v="2708"/>
  </r>
  <r>
    <x v="270"/>
    <x v="923"/>
    <x v="3"/>
    <n v="10"/>
    <x v="6"/>
    <n v="4"/>
    <x v="0"/>
    <x v="0"/>
    <x v="3"/>
    <x v="2"/>
    <x v="0"/>
    <n v="1"/>
    <n v="47291"/>
    <n v="47291"/>
  </r>
  <r>
    <x v="271"/>
    <x v="924"/>
    <x v="3"/>
    <n v="10"/>
    <x v="6"/>
    <n v="4"/>
    <x v="1"/>
    <x v="0"/>
    <x v="2"/>
    <x v="2"/>
    <x v="0"/>
    <n v="3"/>
    <n v="2127"/>
    <n v="6381"/>
  </r>
  <r>
    <x v="272"/>
    <x v="925"/>
    <x v="3"/>
    <n v="10"/>
    <x v="6"/>
    <n v="4"/>
    <x v="9"/>
    <x v="3"/>
    <x v="1"/>
    <x v="1"/>
    <x v="0"/>
    <n v="3"/>
    <n v="2869"/>
    <n v="8607"/>
  </r>
  <r>
    <x v="273"/>
    <x v="926"/>
    <x v="3"/>
    <n v="10"/>
    <x v="6"/>
    <n v="4"/>
    <x v="2"/>
    <x v="1"/>
    <x v="4"/>
    <x v="2"/>
    <x v="2"/>
    <n v="3"/>
    <n v="7361"/>
    <n v="22083"/>
  </r>
  <r>
    <x v="336"/>
    <x v="927"/>
    <x v="3"/>
    <n v="10"/>
    <x v="6"/>
    <n v="4"/>
    <x v="3"/>
    <x v="1"/>
    <x v="1"/>
    <x v="1"/>
    <x v="1"/>
    <n v="5"/>
    <n v="828"/>
    <n v="4140"/>
  </r>
  <r>
    <x v="274"/>
    <x v="928"/>
    <x v="3"/>
    <n v="10"/>
    <x v="6"/>
    <n v="4"/>
    <x v="4"/>
    <x v="0"/>
    <x v="3"/>
    <x v="1"/>
    <x v="1"/>
    <n v="1"/>
    <n v="16337"/>
    <n v="16337"/>
  </r>
  <r>
    <x v="275"/>
    <x v="929"/>
    <x v="3"/>
    <n v="10"/>
    <x v="6"/>
    <n v="4"/>
    <x v="5"/>
    <x v="2"/>
    <x v="0"/>
    <x v="0"/>
    <x v="0"/>
    <n v="3"/>
    <n v="295"/>
    <n v="885"/>
  </r>
  <r>
    <x v="276"/>
    <x v="930"/>
    <x v="3"/>
    <n v="10"/>
    <x v="6"/>
    <n v="4"/>
    <x v="6"/>
    <x v="3"/>
    <x v="5"/>
    <x v="0"/>
    <x v="1"/>
    <n v="2"/>
    <n v="1486"/>
    <n v="2972"/>
  </r>
  <r>
    <x v="277"/>
    <x v="931"/>
    <x v="3"/>
    <n v="10"/>
    <x v="6"/>
    <n v="4"/>
    <x v="7"/>
    <x v="0"/>
    <x v="5"/>
    <x v="0"/>
    <x v="2"/>
    <n v="2"/>
    <n v="12872"/>
    <n v="25744"/>
  </r>
  <r>
    <x v="278"/>
    <x v="932"/>
    <x v="3"/>
    <n v="10"/>
    <x v="6"/>
    <n v="4"/>
    <x v="8"/>
    <x v="1"/>
    <x v="2"/>
    <x v="1"/>
    <x v="1"/>
    <n v="3"/>
    <n v="740"/>
    <n v="2220"/>
  </r>
  <r>
    <x v="279"/>
    <x v="933"/>
    <x v="3"/>
    <n v="10"/>
    <x v="6"/>
    <n v="4"/>
    <x v="0"/>
    <x v="0"/>
    <x v="5"/>
    <x v="1"/>
    <x v="0"/>
    <n v="1"/>
    <n v="69296"/>
    <n v="69296"/>
  </r>
  <r>
    <x v="280"/>
    <x v="934"/>
    <x v="3"/>
    <n v="10"/>
    <x v="6"/>
    <n v="4"/>
    <x v="1"/>
    <x v="0"/>
    <x v="4"/>
    <x v="0"/>
    <x v="1"/>
    <n v="1"/>
    <n v="3960"/>
    <n v="3960"/>
  </r>
  <r>
    <x v="281"/>
    <x v="935"/>
    <x v="3"/>
    <n v="10"/>
    <x v="6"/>
    <n v="4"/>
    <x v="9"/>
    <x v="3"/>
    <x v="5"/>
    <x v="0"/>
    <x v="1"/>
    <n v="3"/>
    <n v="4486"/>
    <n v="13458"/>
  </r>
  <r>
    <x v="282"/>
    <x v="936"/>
    <x v="3"/>
    <n v="10"/>
    <x v="6"/>
    <n v="4"/>
    <x v="2"/>
    <x v="1"/>
    <x v="5"/>
    <x v="0"/>
    <x v="1"/>
    <n v="1"/>
    <n v="18146"/>
    <n v="18146"/>
  </r>
  <r>
    <x v="337"/>
    <x v="937"/>
    <x v="3"/>
    <n v="10"/>
    <x v="6"/>
    <n v="4"/>
    <x v="3"/>
    <x v="1"/>
    <x v="1"/>
    <x v="1"/>
    <x v="2"/>
    <n v="1"/>
    <n v="274"/>
    <n v="274"/>
  </r>
  <r>
    <x v="283"/>
    <x v="938"/>
    <x v="3"/>
    <n v="10"/>
    <x v="6"/>
    <n v="4"/>
    <x v="4"/>
    <x v="0"/>
    <x v="1"/>
    <x v="2"/>
    <x v="1"/>
    <n v="1"/>
    <n v="34548"/>
    <n v="34548"/>
  </r>
  <r>
    <x v="284"/>
    <x v="939"/>
    <x v="3"/>
    <n v="10"/>
    <x v="6"/>
    <n v="4"/>
    <x v="5"/>
    <x v="2"/>
    <x v="4"/>
    <x v="2"/>
    <x v="2"/>
    <n v="1"/>
    <n v="925"/>
    <n v="925"/>
  </r>
  <r>
    <x v="285"/>
    <x v="940"/>
    <x v="3"/>
    <n v="10"/>
    <x v="6"/>
    <n v="4"/>
    <x v="6"/>
    <x v="3"/>
    <x v="5"/>
    <x v="1"/>
    <x v="2"/>
    <n v="4"/>
    <n v="899"/>
    <n v="3596"/>
  </r>
  <r>
    <x v="286"/>
    <x v="941"/>
    <x v="3"/>
    <n v="10"/>
    <x v="6"/>
    <n v="4"/>
    <x v="7"/>
    <x v="0"/>
    <x v="3"/>
    <x v="1"/>
    <x v="0"/>
    <n v="2"/>
    <n v="11888"/>
    <n v="23776"/>
  </r>
  <r>
    <x v="338"/>
    <x v="942"/>
    <x v="3"/>
    <n v="10"/>
    <x v="6"/>
    <n v="4"/>
    <x v="8"/>
    <x v="1"/>
    <x v="3"/>
    <x v="2"/>
    <x v="0"/>
    <n v="3"/>
    <n v="551"/>
    <n v="1653"/>
  </r>
  <r>
    <x v="287"/>
    <x v="943"/>
    <x v="3"/>
    <n v="10"/>
    <x v="6"/>
    <n v="4"/>
    <x v="0"/>
    <x v="0"/>
    <x v="1"/>
    <x v="1"/>
    <x v="2"/>
    <n v="1"/>
    <n v="57645"/>
    <n v="57645"/>
  </r>
  <r>
    <x v="288"/>
    <x v="944"/>
    <x v="3"/>
    <n v="10"/>
    <x v="6"/>
    <n v="4"/>
    <x v="1"/>
    <x v="0"/>
    <x v="1"/>
    <x v="0"/>
    <x v="0"/>
    <n v="2"/>
    <n v="3967"/>
    <n v="7934"/>
  </r>
  <r>
    <x v="289"/>
    <x v="945"/>
    <x v="3"/>
    <n v="10"/>
    <x v="6"/>
    <n v="4"/>
    <x v="9"/>
    <x v="3"/>
    <x v="1"/>
    <x v="0"/>
    <x v="1"/>
    <n v="1"/>
    <n v="4593"/>
    <n v="4593"/>
  </r>
  <r>
    <x v="290"/>
    <x v="946"/>
    <x v="3"/>
    <n v="11"/>
    <x v="2"/>
    <n v="4"/>
    <x v="2"/>
    <x v="1"/>
    <x v="1"/>
    <x v="1"/>
    <x v="2"/>
    <n v="4"/>
    <n v="5728"/>
    <n v="22912"/>
  </r>
  <r>
    <x v="291"/>
    <x v="947"/>
    <x v="3"/>
    <n v="11"/>
    <x v="2"/>
    <n v="4"/>
    <x v="3"/>
    <x v="1"/>
    <x v="5"/>
    <x v="1"/>
    <x v="2"/>
    <n v="2"/>
    <n v="498"/>
    <n v="996"/>
  </r>
  <r>
    <x v="292"/>
    <x v="948"/>
    <x v="3"/>
    <n v="11"/>
    <x v="2"/>
    <n v="4"/>
    <x v="4"/>
    <x v="0"/>
    <x v="4"/>
    <x v="1"/>
    <x v="1"/>
    <n v="2"/>
    <n v="39710"/>
    <n v="79420"/>
  </r>
  <r>
    <x v="293"/>
    <x v="949"/>
    <x v="3"/>
    <n v="11"/>
    <x v="2"/>
    <n v="4"/>
    <x v="5"/>
    <x v="2"/>
    <x v="1"/>
    <x v="0"/>
    <x v="0"/>
    <n v="3"/>
    <n v="197"/>
    <n v="591"/>
  </r>
  <r>
    <x v="294"/>
    <x v="950"/>
    <x v="3"/>
    <n v="11"/>
    <x v="2"/>
    <n v="4"/>
    <x v="6"/>
    <x v="3"/>
    <x v="3"/>
    <x v="1"/>
    <x v="1"/>
    <n v="2"/>
    <n v="1815"/>
    <n v="3630"/>
  </r>
  <r>
    <x v="295"/>
    <x v="951"/>
    <x v="3"/>
    <n v="11"/>
    <x v="2"/>
    <n v="4"/>
    <x v="7"/>
    <x v="0"/>
    <x v="0"/>
    <x v="0"/>
    <x v="1"/>
    <n v="2"/>
    <n v="3949"/>
    <n v="7898"/>
  </r>
  <r>
    <x v="296"/>
    <x v="952"/>
    <x v="3"/>
    <n v="11"/>
    <x v="2"/>
    <n v="4"/>
    <x v="8"/>
    <x v="1"/>
    <x v="4"/>
    <x v="1"/>
    <x v="2"/>
    <n v="1"/>
    <n v="208"/>
    <n v="208"/>
  </r>
  <r>
    <x v="297"/>
    <x v="953"/>
    <x v="3"/>
    <n v="11"/>
    <x v="2"/>
    <n v="4"/>
    <x v="0"/>
    <x v="0"/>
    <x v="4"/>
    <x v="1"/>
    <x v="2"/>
    <n v="1"/>
    <n v="50605"/>
    <n v="50605"/>
  </r>
  <r>
    <x v="298"/>
    <x v="954"/>
    <x v="3"/>
    <n v="11"/>
    <x v="2"/>
    <n v="4"/>
    <x v="1"/>
    <x v="0"/>
    <x v="3"/>
    <x v="1"/>
    <x v="2"/>
    <n v="3"/>
    <n v="4319"/>
    <n v="12957"/>
  </r>
  <r>
    <x v="299"/>
    <x v="955"/>
    <x v="3"/>
    <n v="11"/>
    <x v="2"/>
    <n v="4"/>
    <x v="9"/>
    <x v="3"/>
    <x v="1"/>
    <x v="1"/>
    <x v="0"/>
    <n v="1"/>
    <n v="3721"/>
    <n v="3721"/>
  </r>
  <r>
    <x v="300"/>
    <x v="956"/>
    <x v="3"/>
    <n v="11"/>
    <x v="2"/>
    <n v="4"/>
    <x v="2"/>
    <x v="1"/>
    <x v="2"/>
    <x v="0"/>
    <x v="1"/>
    <n v="2"/>
    <n v="12930"/>
    <n v="25860"/>
  </r>
  <r>
    <x v="301"/>
    <x v="957"/>
    <x v="3"/>
    <n v="11"/>
    <x v="2"/>
    <n v="4"/>
    <x v="3"/>
    <x v="1"/>
    <x v="2"/>
    <x v="2"/>
    <x v="0"/>
    <n v="4"/>
    <n v="707"/>
    <n v="2828"/>
  </r>
  <r>
    <x v="302"/>
    <x v="958"/>
    <x v="3"/>
    <n v="11"/>
    <x v="2"/>
    <n v="4"/>
    <x v="4"/>
    <x v="0"/>
    <x v="3"/>
    <x v="2"/>
    <x v="0"/>
    <n v="2"/>
    <n v="36907"/>
    <n v="73814"/>
  </r>
  <r>
    <x v="303"/>
    <x v="959"/>
    <x v="3"/>
    <n v="11"/>
    <x v="2"/>
    <n v="4"/>
    <x v="5"/>
    <x v="2"/>
    <x v="1"/>
    <x v="1"/>
    <x v="2"/>
    <n v="1"/>
    <n v="942"/>
    <n v="942"/>
  </r>
  <r>
    <x v="304"/>
    <x v="960"/>
    <x v="3"/>
    <n v="11"/>
    <x v="2"/>
    <n v="4"/>
    <x v="6"/>
    <x v="3"/>
    <x v="4"/>
    <x v="0"/>
    <x v="1"/>
    <n v="3"/>
    <n v="826"/>
    <n v="2478"/>
  </r>
  <r>
    <x v="305"/>
    <x v="961"/>
    <x v="3"/>
    <n v="11"/>
    <x v="2"/>
    <n v="4"/>
    <x v="7"/>
    <x v="0"/>
    <x v="3"/>
    <x v="2"/>
    <x v="0"/>
    <n v="1"/>
    <n v="3941"/>
    <n v="3941"/>
  </r>
  <r>
    <x v="306"/>
    <x v="962"/>
    <x v="3"/>
    <n v="11"/>
    <x v="2"/>
    <n v="4"/>
    <x v="8"/>
    <x v="1"/>
    <x v="0"/>
    <x v="1"/>
    <x v="0"/>
    <n v="2"/>
    <n v="476"/>
    <n v="952"/>
  </r>
  <r>
    <x v="339"/>
    <x v="963"/>
    <x v="3"/>
    <n v="11"/>
    <x v="2"/>
    <n v="4"/>
    <x v="0"/>
    <x v="0"/>
    <x v="2"/>
    <x v="0"/>
    <x v="2"/>
    <n v="2"/>
    <n v="41658"/>
    <n v="83316"/>
  </r>
  <r>
    <x v="307"/>
    <x v="964"/>
    <x v="3"/>
    <n v="11"/>
    <x v="2"/>
    <n v="4"/>
    <x v="1"/>
    <x v="0"/>
    <x v="5"/>
    <x v="2"/>
    <x v="1"/>
    <n v="1"/>
    <n v="4084"/>
    <n v="4084"/>
  </r>
  <r>
    <x v="308"/>
    <x v="965"/>
    <x v="3"/>
    <n v="11"/>
    <x v="2"/>
    <n v="4"/>
    <x v="9"/>
    <x v="3"/>
    <x v="2"/>
    <x v="2"/>
    <x v="1"/>
    <n v="3"/>
    <n v="3098"/>
    <n v="9294"/>
  </r>
  <r>
    <x v="309"/>
    <x v="966"/>
    <x v="3"/>
    <n v="11"/>
    <x v="2"/>
    <n v="4"/>
    <x v="2"/>
    <x v="1"/>
    <x v="4"/>
    <x v="0"/>
    <x v="2"/>
    <n v="5"/>
    <n v="18226"/>
    <n v="91130"/>
  </r>
  <r>
    <x v="310"/>
    <x v="967"/>
    <x v="3"/>
    <n v="11"/>
    <x v="2"/>
    <n v="4"/>
    <x v="3"/>
    <x v="1"/>
    <x v="0"/>
    <x v="2"/>
    <x v="2"/>
    <n v="5"/>
    <n v="298"/>
    <n v="1490"/>
  </r>
  <r>
    <x v="311"/>
    <x v="968"/>
    <x v="3"/>
    <n v="11"/>
    <x v="2"/>
    <n v="4"/>
    <x v="4"/>
    <x v="0"/>
    <x v="3"/>
    <x v="1"/>
    <x v="2"/>
    <n v="2"/>
    <n v="12992"/>
    <n v="25984"/>
  </r>
  <r>
    <x v="312"/>
    <x v="969"/>
    <x v="3"/>
    <n v="11"/>
    <x v="2"/>
    <n v="4"/>
    <x v="5"/>
    <x v="2"/>
    <x v="1"/>
    <x v="1"/>
    <x v="2"/>
    <n v="5"/>
    <n v="984"/>
    <n v="4920"/>
  </r>
  <r>
    <x v="313"/>
    <x v="970"/>
    <x v="3"/>
    <n v="11"/>
    <x v="2"/>
    <n v="4"/>
    <x v="6"/>
    <x v="3"/>
    <x v="0"/>
    <x v="0"/>
    <x v="0"/>
    <n v="5"/>
    <n v="1432"/>
    <n v="7160"/>
  </r>
  <r>
    <x v="314"/>
    <x v="971"/>
    <x v="3"/>
    <n v="11"/>
    <x v="2"/>
    <n v="4"/>
    <x v="7"/>
    <x v="0"/>
    <x v="3"/>
    <x v="1"/>
    <x v="2"/>
    <n v="2"/>
    <n v="12324"/>
    <n v="24648"/>
  </r>
  <r>
    <x v="315"/>
    <x v="972"/>
    <x v="3"/>
    <n v="11"/>
    <x v="2"/>
    <n v="4"/>
    <x v="8"/>
    <x v="1"/>
    <x v="5"/>
    <x v="2"/>
    <x v="2"/>
    <n v="4"/>
    <n v="705"/>
    <n v="2820"/>
  </r>
  <r>
    <x v="316"/>
    <x v="973"/>
    <x v="3"/>
    <n v="11"/>
    <x v="2"/>
    <n v="4"/>
    <x v="0"/>
    <x v="0"/>
    <x v="4"/>
    <x v="1"/>
    <x v="2"/>
    <n v="2"/>
    <n v="66703"/>
    <n v="133406"/>
  </r>
  <r>
    <x v="317"/>
    <x v="974"/>
    <x v="3"/>
    <n v="11"/>
    <x v="2"/>
    <n v="4"/>
    <x v="1"/>
    <x v="0"/>
    <x v="5"/>
    <x v="2"/>
    <x v="1"/>
    <n v="1"/>
    <n v="2242"/>
    <n v="2242"/>
  </r>
  <r>
    <x v="318"/>
    <x v="975"/>
    <x v="3"/>
    <n v="11"/>
    <x v="2"/>
    <n v="4"/>
    <x v="9"/>
    <x v="3"/>
    <x v="2"/>
    <x v="2"/>
    <x v="0"/>
    <n v="3"/>
    <n v="3095"/>
    <n v="9285"/>
  </r>
  <r>
    <x v="319"/>
    <x v="976"/>
    <x v="3"/>
    <n v="12"/>
    <x v="7"/>
    <n v="4"/>
    <x v="2"/>
    <x v="1"/>
    <x v="1"/>
    <x v="2"/>
    <x v="0"/>
    <n v="3"/>
    <n v="4016"/>
    <n v="12048"/>
  </r>
  <r>
    <x v="320"/>
    <x v="977"/>
    <x v="3"/>
    <n v="12"/>
    <x v="7"/>
    <n v="4"/>
    <x v="3"/>
    <x v="1"/>
    <x v="1"/>
    <x v="1"/>
    <x v="0"/>
    <n v="4"/>
    <n v="258"/>
    <n v="1032"/>
  </r>
  <r>
    <x v="321"/>
    <x v="978"/>
    <x v="3"/>
    <n v="12"/>
    <x v="7"/>
    <n v="4"/>
    <x v="4"/>
    <x v="0"/>
    <x v="5"/>
    <x v="1"/>
    <x v="2"/>
    <n v="1"/>
    <n v="38061"/>
    <n v="38061"/>
  </r>
  <r>
    <x v="322"/>
    <x v="979"/>
    <x v="3"/>
    <n v="12"/>
    <x v="7"/>
    <n v="4"/>
    <x v="5"/>
    <x v="2"/>
    <x v="1"/>
    <x v="1"/>
    <x v="1"/>
    <n v="2"/>
    <n v="366"/>
    <n v="732"/>
  </r>
  <r>
    <x v="323"/>
    <x v="980"/>
    <x v="3"/>
    <n v="12"/>
    <x v="7"/>
    <n v="4"/>
    <x v="6"/>
    <x v="3"/>
    <x v="1"/>
    <x v="2"/>
    <x v="0"/>
    <n v="1"/>
    <n v="1827"/>
    <n v="1827"/>
  </r>
  <r>
    <x v="324"/>
    <x v="981"/>
    <x v="3"/>
    <n v="12"/>
    <x v="7"/>
    <n v="4"/>
    <x v="7"/>
    <x v="0"/>
    <x v="3"/>
    <x v="0"/>
    <x v="1"/>
    <n v="1"/>
    <n v="6196"/>
    <n v="6196"/>
  </r>
  <r>
    <x v="340"/>
    <x v="982"/>
    <x v="3"/>
    <n v="12"/>
    <x v="7"/>
    <n v="4"/>
    <x v="8"/>
    <x v="1"/>
    <x v="2"/>
    <x v="2"/>
    <x v="0"/>
    <n v="5"/>
    <n v="254"/>
    <n v="1270"/>
  </r>
  <r>
    <x v="325"/>
    <x v="983"/>
    <x v="3"/>
    <n v="12"/>
    <x v="7"/>
    <n v="4"/>
    <x v="0"/>
    <x v="0"/>
    <x v="5"/>
    <x v="2"/>
    <x v="1"/>
    <n v="2"/>
    <n v="57783"/>
    <n v="115566"/>
  </r>
  <r>
    <x v="341"/>
    <x v="984"/>
    <x v="3"/>
    <n v="12"/>
    <x v="7"/>
    <n v="4"/>
    <x v="1"/>
    <x v="0"/>
    <x v="1"/>
    <x v="1"/>
    <x v="2"/>
    <n v="3"/>
    <n v="1302"/>
    <n v="3906"/>
  </r>
  <r>
    <x v="342"/>
    <x v="985"/>
    <x v="3"/>
    <n v="12"/>
    <x v="7"/>
    <n v="4"/>
    <x v="9"/>
    <x v="3"/>
    <x v="1"/>
    <x v="1"/>
    <x v="1"/>
    <n v="1"/>
    <n v="1283"/>
    <n v="1283"/>
  </r>
  <r>
    <x v="343"/>
    <x v="986"/>
    <x v="3"/>
    <n v="12"/>
    <x v="7"/>
    <n v="4"/>
    <x v="2"/>
    <x v="1"/>
    <x v="3"/>
    <x v="1"/>
    <x v="1"/>
    <n v="2"/>
    <n v="10838"/>
    <n v="21676"/>
  </r>
  <r>
    <x v="344"/>
    <x v="987"/>
    <x v="3"/>
    <n v="12"/>
    <x v="7"/>
    <n v="4"/>
    <x v="3"/>
    <x v="1"/>
    <x v="1"/>
    <x v="2"/>
    <x v="0"/>
    <n v="1"/>
    <n v="895"/>
    <n v="895"/>
  </r>
  <r>
    <x v="345"/>
    <x v="988"/>
    <x v="3"/>
    <n v="12"/>
    <x v="7"/>
    <n v="4"/>
    <x v="4"/>
    <x v="0"/>
    <x v="4"/>
    <x v="0"/>
    <x v="0"/>
    <n v="2"/>
    <n v="14574"/>
    <n v="29148"/>
  </r>
  <r>
    <x v="346"/>
    <x v="989"/>
    <x v="3"/>
    <n v="12"/>
    <x v="7"/>
    <n v="4"/>
    <x v="5"/>
    <x v="2"/>
    <x v="3"/>
    <x v="1"/>
    <x v="0"/>
    <n v="2"/>
    <n v="348"/>
    <n v="696"/>
  </r>
  <r>
    <x v="347"/>
    <x v="990"/>
    <x v="3"/>
    <n v="12"/>
    <x v="7"/>
    <n v="4"/>
    <x v="6"/>
    <x v="3"/>
    <x v="5"/>
    <x v="0"/>
    <x v="1"/>
    <n v="4"/>
    <n v="544"/>
    <n v="2176"/>
  </r>
  <r>
    <x v="348"/>
    <x v="991"/>
    <x v="3"/>
    <n v="12"/>
    <x v="7"/>
    <n v="4"/>
    <x v="7"/>
    <x v="0"/>
    <x v="2"/>
    <x v="0"/>
    <x v="0"/>
    <n v="1"/>
    <n v="13858"/>
    <n v="13858"/>
  </r>
  <r>
    <x v="349"/>
    <x v="992"/>
    <x v="3"/>
    <n v="12"/>
    <x v="7"/>
    <n v="4"/>
    <x v="8"/>
    <x v="1"/>
    <x v="4"/>
    <x v="2"/>
    <x v="1"/>
    <n v="3"/>
    <n v="215"/>
    <n v="645"/>
  </r>
  <r>
    <x v="350"/>
    <x v="993"/>
    <x v="3"/>
    <n v="12"/>
    <x v="7"/>
    <n v="4"/>
    <x v="0"/>
    <x v="0"/>
    <x v="5"/>
    <x v="0"/>
    <x v="2"/>
    <n v="2"/>
    <n v="57831"/>
    <n v="115662"/>
  </r>
  <r>
    <x v="351"/>
    <x v="994"/>
    <x v="3"/>
    <n v="12"/>
    <x v="7"/>
    <n v="4"/>
    <x v="1"/>
    <x v="0"/>
    <x v="3"/>
    <x v="1"/>
    <x v="2"/>
    <n v="1"/>
    <n v="2608"/>
    <n v="2608"/>
  </r>
  <r>
    <x v="352"/>
    <x v="995"/>
    <x v="3"/>
    <n v="12"/>
    <x v="7"/>
    <n v="4"/>
    <x v="9"/>
    <x v="3"/>
    <x v="5"/>
    <x v="2"/>
    <x v="0"/>
    <n v="1"/>
    <n v="3751"/>
    <n v="3751"/>
  </r>
  <r>
    <x v="353"/>
    <x v="996"/>
    <x v="3"/>
    <n v="12"/>
    <x v="7"/>
    <n v="4"/>
    <x v="2"/>
    <x v="1"/>
    <x v="4"/>
    <x v="2"/>
    <x v="1"/>
    <n v="5"/>
    <n v="11976"/>
    <n v="59880"/>
  </r>
  <r>
    <x v="354"/>
    <x v="997"/>
    <x v="3"/>
    <n v="12"/>
    <x v="7"/>
    <n v="4"/>
    <x v="3"/>
    <x v="1"/>
    <x v="4"/>
    <x v="0"/>
    <x v="1"/>
    <n v="1"/>
    <n v="542"/>
    <n v="542"/>
  </r>
  <r>
    <x v="355"/>
    <x v="998"/>
    <x v="3"/>
    <n v="12"/>
    <x v="7"/>
    <n v="4"/>
    <x v="4"/>
    <x v="0"/>
    <x v="5"/>
    <x v="0"/>
    <x v="0"/>
    <n v="2"/>
    <n v="34854"/>
    <n v="69708"/>
  </r>
  <r>
    <x v="356"/>
    <x v="999"/>
    <x v="3"/>
    <n v="12"/>
    <x v="7"/>
    <n v="4"/>
    <x v="5"/>
    <x v="2"/>
    <x v="1"/>
    <x v="1"/>
    <x v="1"/>
    <n v="4"/>
    <n v="821"/>
    <n v="3284"/>
  </r>
  <r>
    <x v="357"/>
    <x v="1000"/>
    <x v="3"/>
    <n v="12"/>
    <x v="7"/>
    <n v="4"/>
    <x v="6"/>
    <x v="3"/>
    <x v="5"/>
    <x v="2"/>
    <x v="2"/>
    <n v="5"/>
    <n v="1003"/>
    <n v="5015"/>
  </r>
  <r>
    <x v="358"/>
    <x v="1001"/>
    <x v="3"/>
    <n v="12"/>
    <x v="7"/>
    <n v="4"/>
    <x v="7"/>
    <x v="0"/>
    <x v="5"/>
    <x v="0"/>
    <x v="1"/>
    <n v="1"/>
    <n v="9526"/>
    <n v="9526"/>
  </r>
  <r>
    <x v="359"/>
    <x v="1002"/>
    <x v="3"/>
    <n v="12"/>
    <x v="7"/>
    <n v="4"/>
    <x v="8"/>
    <x v="1"/>
    <x v="0"/>
    <x v="2"/>
    <x v="2"/>
    <n v="5"/>
    <n v="317"/>
    <n v="1585"/>
  </r>
  <r>
    <x v="360"/>
    <x v="1003"/>
    <x v="3"/>
    <n v="12"/>
    <x v="7"/>
    <n v="4"/>
    <x v="0"/>
    <x v="0"/>
    <x v="5"/>
    <x v="0"/>
    <x v="2"/>
    <n v="1"/>
    <n v="53373"/>
    <n v="53373"/>
  </r>
  <r>
    <x v="361"/>
    <x v="1004"/>
    <x v="3"/>
    <n v="12"/>
    <x v="7"/>
    <n v="4"/>
    <x v="1"/>
    <x v="0"/>
    <x v="0"/>
    <x v="1"/>
    <x v="0"/>
    <n v="2"/>
    <n v="4853"/>
    <n v="9706"/>
  </r>
  <r>
    <x v="362"/>
    <x v="1005"/>
    <x v="3"/>
    <n v="12"/>
    <x v="7"/>
    <n v="4"/>
    <x v="9"/>
    <x v="3"/>
    <x v="2"/>
    <x v="0"/>
    <x v="0"/>
    <n v="2"/>
    <n v="4788"/>
    <n v="9576"/>
  </r>
  <r>
    <x v="363"/>
    <x v="1006"/>
    <x v="3"/>
    <n v="12"/>
    <x v="7"/>
    <n v="4"/>
    <x v="2"/>
    <x v="1"/>
    <x v="3"/>
    <x v="2"/>
    <x v="2"/>
    <n v="5"/>
    <n v="17252"/>
    <n v="86260"/>
  </r>
  <r>
    <x v="364"/>
    <x v="1007"/>
    <x v="4"/>
    <n v="1"/>
    <x v="3"/>
    <n v="1"/>
    <x v="3"/>
    <x v="1"/>
    <x v="1"/>
    <x v="0"/>
    <x v="2"/>
    <n v="5"/>
    <n v="179"/>
    <n v="895"/>
  </r>
  <r>
    <x v="365"/>
    <x v="1008"/>
    <x v="4"/>
    <n v="1"/>
    <x v="3"/>
    <n v="1"/>
    <x v="4"/>
    <x v="0"/>
    <x v="1"/>
    <x v="1"/>
    <x v="0"/>
    <n v="1"/>
    <n v="29151"/>
    <n v="29151"/>
  </r>
  <r>
    <x v="366"/>
    <x v="1009"/>
    <x v="4"/>
    <n v="1"/>
    <x v="3"/>
    <n v="1"/>
    <x v="5"/>
    <x v="2"/>
    <x v="0"/>
    <x v="2"/>
    <x v="0"/>
    <n v="4"/>
    <n v="474"/>
    <n v="1896"/>
  </r>
  <r>
    <x v="367"/>
    <x v="1010"/>
    <x v="4"/>
    <n v="1"/>
    <x v="3"/>
    <n v="1"/>
    <x v="6"/>
    <x v="3"/>
    <x v="4"/>
    <x v="2"/>
    <x v="0"/>
    <n v="1"/>
    <n v="1670"/>
    <n v="1670"/>
  </r>
  <r>
    <x v="368"/>
    <x v="1011"/>
    <x v="4"/>
    <n v="1"/>
    <x v="3"/>
    <n v="1"/>
    <x v="7"/>
    <x v="0"/>
    <x v="4"/>
    <x v="0"/>
    <x v="0"/>
    <n v="2"/>
    <n v="14676"/>
    <n v="29352"/>
  </r>
  <r>
    <x v="369"/>
    <x v="1012"/>
    <x v="4"/>
    <n v="1"/>
    <x v="3"/>
    <n v="1"/>
    <x v="8"/>
    <x v="1"/>
    <x v="4"/>
    <x v="0"/>
    <x v="1"/>
    <n v="3"/>
    <n v="635"/>
    <n v="1905"/>
  </r>
  <r>
    <x v="370"/>
    <x v="1013"/>
    <x v="4"/>
    <n v="1"/>
    <x v="3"/>
    <n v="1"/>
    <x v="0"/>
    <x v="0"/>
    <x v="3"/>
    <x v="0"/>
    <x v="1"/>
    <n v="2"/>
    <n v="61090"/>
    <n v="122180"/>
  </r>
  <r>
    <x v="371"/>
    <x v="1014"/>
    <x v="4"/>
    <n v="1"/>
    <x v="3"/>
    <n v="1"/>
    <x v="1"/>
    <x v="0"/>
    <x v="4"/>
    <x v="2"/>
    <x v="0"/>
    <n v="1"/>
    <n v="2093"/>
    <n v="2093"/>
  </r>
  <r>
    <x v="372"/>
    <x v="1015"/>
    <x v="4"/>
    <n v="1"/>
    <x v="3"/>
    <n v="1"/>
    <x v="9"/>
    <x v="3"/>
    <x v="3"/>
    <x v="0"/>
    <x v="0"/>
    <n v="3"/>
    <n v="4952"/>
    <n v="14856"/>
  </r>
  <r>
    <x v="373"/>
    <x v="1016"/>
    <x v="4"/>
    <n v="1"/>
    <x v="3"/>
    <n v="1"/>
    <x v="2"/>
    <x v="1"/>
    <x v="0"/>
    <x v="1"/>
    <x v="2"/>
    <n v="4"/>
    <n v="11582"/>
    <n v="46328"/>
  </r>
  <r>
    <x v="374"/>
    <x v="1017"/>
    <x v="4"/>
    <n v="1"/>
    <x v="3"/>
    <n v="1"/>
    <x v="3"/>
    <x v="1"/>
    <x v="0"/>
    <x v="2"/>
    <x v="0"/>
    <n v="1"/>
    <n v="267"/>
    <n v="267"/>
  </r>
  <r>
    <x v="375"/>
    <x v="1018"/>
    <x v="4"/>
    <n v="1"/>
    <x v="3"/>
    <n v="1"/>
    <x v="4"/>
    <x v="0"/>
    <x v="3"/>
    <x v="0"/>
    <x v="2"/>
    <n v="1"/>
    <n v="36468"/>
    <n v="36468"/>
  </r>
  <r>
    <x v="376"/>
    <x v="1019"/>
    <x v="4"/>
    <n v="1"/>
    <x v="3"/>
    <n v="1"/>
    <x v="5"/>
    <x v="2"/>
    <x v="2"/>
    <x v="1"/>
    <x v="2"/>
    <n v="4"/>
    <n v="506"/>
    <n v="2024"/>
  </r>
  <r>
    <x v="377"/>
    <x v="1020"/>
    <x v="4"/>
    <n v="1"/>
    <x v="3"/>
    <n v="1"/>
    <x v="6"/>
    <x v="3"/>
    <x v="2"/>
    <x v="1"/>
    <x v="2"/>
    <n v="1"/>
    <n v="640"/>
    <n v="640"/>
  </r>
  <r>
    <x v="378"/>
    <x v="1021"/>
    <x v="4"/>
    <n v="1"/>
    <x v="3"/>
    <n v="1"/>
    <x v="7"/>
    <x v="0"/>
    <x v="4"/>
    <x v="2"/>
    <x v="1"/>
    <n v="2"/>
    <n v="7951"/>
    <n v="15902"/>
  </r>
  <r>
    <x v="379"/>
    <x v="1022"/>
    <x v="4"/>
    <n v="1"/>
    <x v="3"/>
    <n v="1"/>
    <x v="8"/>
    <x v="1"/>
    <x v="1"/>
    <x v="2"/>
    <x v="1"/>
    <n v="2"/>
    <n v="547"/>
    <n v="1094"/>
  </r>
  <r>
    <x v="380"/>
    <x v="1023"/>
    <x v="4"/>
    <n v="1"/>
    <x v="3"/>
    <n v="1"/>
    <x v="0"/>
    <x v="0"/>
    <x v="0"/>
    <x v="2"/>
    <x v="1"/>
    <n v="2"/>
    <n v="44128"/>
    <n v="88256"/>
  </r>
  <r>
    <x v="381"/>
    <x v="1024"/>
    <x v="4"/>
    <n v="1"/>
    <x v="3"/>
    <n v="1"/>
    <x v="1"/>
    <x v="0"/>
    <x v="5"/>
    <x v="1"/>
    <x v="2"/>
    <n v="1"/>
    <n v="2236"/>
    <n v="2236"/>
  </r>
  <r>
    <x v="382"/>
    <x v="1025"/>
    <x v="4"/>
    <n v="1"/>
    <x v="3"/>
    <n v="1"/>
    <x v="9"/>
    <x v="3"/>
    <x v="5"/>
    <x v="0"/>
    <x v="1"/>
    <n v="1"/>
    <n v="2086"/>
    <n v="2086"/>
  </r>
  <r>
    <x v="383"/>
    <x v="1026"/>
    <x v="4"/>
    <n v="1"/>
    <x v="3"/>
    <n v="1"/>
    <x v="2"/>
    <x v="1"/>
    <x v="0"/>
    <x v="2"/>
    <x v="0"/>
    <n v="5"/>
    <n v="2776"/>
    <n v="13880"/>
  </r>
  <r>
    <x v="384"/>
    <x v="1027"/>
    <x v="4"/>
    <n v="1"/>
    <x v="3"/>
    <n v="1"/>
    <x v="3"/>
    <x v="1"/>
    <x v="3"/>
    <x v="1"/>
    <x v="1"/>
    <n v="3"/>
    <n v="950"/>
    <n v="2850"/>
  </r>
  <r>
    <x v="385"/>
    <x v="1028"/>
    <x v="4"/>
    <n v="1"/>
    <x v="3"/>
    <n v="1"/>
    <x v="4"/>
    <x v="0"/>
    <x v="0"/>
    <x v="2"/>
    <x v="2"/>
    <n v="2"/>
    <n v="35262"/>
    <n v="70524"/>
  </r>
  <r>
    <x v="386"/>
    <x v="1029"/>
    <x v="4"/>
    <n v="1"/>
    <x v="3"/>
    <n v="1"/>
    <x v="5"/>
    <x v="2"/>
    <x v="4"/>
    <x v="0"/>
    <x v="0"/>
    <n v="2"/>
    <n v="987"/>
    <n v="1974"/>
  </r>
  <r>
    <x v="387"/>
    <x v="1030"/>
    <x v="4"/>
    <n v="1"/>
    <x v="3"/>
    <n v="1"/>
    <x v="6"/>
    <x v="3"/>
    <x v="1"/>
    <x v="1"/>
    <x v="1"/>
    <n v="4"/>
    <n v="1738"/>
    <n v="6952"/>
  </r>
  <r>
    <x v="388"/>
    <x v="1031"/>
    <x v="4"/>
    <n v="1"/>
    <x v="3"/>
    <n v="1"/>
    <x v="7"/>
    <x v="0"/>
    <x v="5"/>
    <x v="1"/>
    <x v="1"/>
    <n v="2"/>
    <n v="12489"/>
    <n v="24978"/>
  </r>
  <r>
    <x v="389"/>
    <x v="1032"/>
    <x v="4"/>
    <n v="1"/>
    <x v="3"/>
    <n v="1"/>
    <x v="8"/>
    <x v="1"/>
    <x v="5"/>
    <x v="2"/>
    <x v="0"/>
    <n v="1"/>
    <n v="655"/>
    <n v="655"/>
  </r>
  <r>
    <x v="390"/>
    <x v="1033"/>
    <x v="4"/>
    <n v="1"/>
    <x v="3"/>
    <n v="1"/>
    <x v="0"/>
    <x v="0"/>
    <x v="4"/>
    <x v="0"/>
    <x v="0"/>
    <n v="1"/>
    <n v="43749"/>
    <n v="43749"/>
  </r>
  <r>
    <x v="391"/>
    <x v="1034"/>
    <x v="4"/>
    <n v="1"/>
    <x v="3"/>
    <n v="1"/>
    <x v="1"/>
    <x v="0"/>
    <x v="5"/>
    <x v="0"/>
    <x v="2"/>
    <n v="2"/>
    <n v="2811"/>
    <n v="5622"/>
  </r>
  <r>
    <x v="392"/>
    <x v="1035"/>
    <x v="4"/>
    <n v="1"/>
    <x v="3"/>
    <n v="1"/>
    <x v="9"/>
    <x v="3"/>
    <x v="0"/>
    <x v="0"/>
    <x v="1"/>
    <n v="2"/>
    <n v="3024"/>
    <n v="6048"/>
  </r>
  <r>
    <x v="393"/>
    <x v="1036"/>
    <x v="4"/>
    <n v="1"/>
    <x v="3"/>
    <n v="1"/>
    <x v="2"/>
    <x v="1"/>
    <x v="0"/>
    <x v="1"/>
    <x v="1"/>
    <n v="2"/>
    <n v="3456"/>
    <n v="6912"/>
  </r>
  <r>
    <x v="394"/>
    <x v="1037"/>
    <x v="4"/>
    <n v="1"/>
    <x v="3"/>
    <n v="1"/>
    <x v="3"/>
    <x v="1"/>
    <x v="3"/>
    <x v="1"/>
    <x v="2"/>
    <n v="2"/>
    <n v="101"/>
    <n v="202"/>
  </r>
  <r>
    <x v="395"/>
    <x v="1038"/>
    <x v="4"/>
    <n v="2"/>
    <x v="11"/>
    <n v="1"/>
    <x v="4"/>
    <x v="0"/>
    <x v="0"/>
    <x v="2"/>
    <x v="2"/>
    <n v="1"/>
    <n v="12460"/>
    <n v="12460"/>
  </r>
  <r>
    <x v="396"/>
    <x v="1039"/>
    <x v="4"/>
    <n v="2"/>
    <x v="11"/>
    <n v="1"/>
    <x v="5"/>
    <x v="2"/>
    <x v="3"/>
    <x v="2"/>
    <x v="2"/>
    <n v="2"/>
    <n v="255"/>
    <n v="510"/>
  </r>
  <r>
    <x v="397"/>
    <x v="1040"/>
    <x v="4"/>
    <n v="2"/>
    <x v="11"/>
    <n v="1"/>
    <x v="6"/>
    <x v="3"/>
    <x v="0"/>
    <x v="0"/>
    <x v="0"/>
    <n v="4"/>
    <n v="688"/>
    <n v="2752"/>
  </r>
  <r>
    <x v="398"/>
    <x v="1041"/>
    <x v="4"/>
    <n v="2"/>
    <x v="11"/>
    <n v="1"/>
    <x v="7"/>
    <x v="0"/>
    <x v="1"/>
    <x v="1"/>
    <x v="0"/>
    <n v="2"/>
    <n v="4109"/>
    <n v="8218"/>
  </r>
  <r>
    <x v="399"/>
    <x v="1042"/>
    <x v="4"/>
    <n v="2"/>
    <x v="11"/>
    <n v="1"/>
    <x v="8"/>
    <x v="1"/>
    <x v="5"/>
    <x v="2"/>
    <x v="1"/>
    <n v="2"/>
    <n v="289"/>
    <n v="578"/>
  </r>
  <r>
    <x v="400"/>
    <x v="1043"/>
    <x v="4"/>
    <n v="2"/>
    <x v="11"/>
    <n v="1"/>
    <x v="0"/>
    <x v="0"/>
    <x v="3"/>
    <x v="2"/>
    <x v="2"/>
    <n v="1"/>
    <n v="56349"/>
    <n v="56349"/>
  </r>
  <r>
    <x v="401"/>
    <x v="1044"/>
    <x v="4"/>
    <n v="2"/>
    <x v="11"/>
    <n v="1"/>
    <x v="1"/>
    <x v="0"/>
    <x v="3"/>
    <x v="2"/>
    <x v="0"/>
    <n v="3"/>
    <n v="2075"/>
    <n v="6225"/>
  </r>
  <r>
    <x v="402"/>
    <x v="1045"/>
    <x v="4"/>
    <n v="2"/>
    <x v="11"/>
    <n v="1"/>
    <x v="9"/>
    <x v="3"/>
    <x v="0"/>
    <x v="1"/>
    <x v="1"/>
    <n v="3"/>
    <n v="3644"/>
    <n v="10932"/>
  </r>
  <r>
    <x v="403"/>
    <x v="1046"/>
    <x v="4"/>
    <n v="2"/>
    <x v="11"/>
    <n v="1"/>
    <x v="2"/>
    <x v="1"/>
    <x v="5"/>
    <x v="1"/>
    <x v="1"/>
    <n v="1"/>
    <n v="5904"/>
    <n v="5904"/>
  </r>
  <r>
    <x v="404"/>
    <x v="1047"/>
    <x v="4"/>
    <n v="2"/>
    <x v="11"/>
    <n v="1"/>
    <x v="3"/>
    <x v="1"/>
    <x v="4"/>
    <x v="0"/>
    <x v="2"/>
    <n v="3"/>
    <n v="295"/>
    <n v="885"/>
  </r>
  <r>
    <x v="405"/>
    <x v="1048"/>
    <x v="4"/>
    <n v="2"/>
    <x v="11"/>
    <n v="1"/>
    <x v="4"/>
    <x v="0"/>
    <x v="0"/>
    <x v="1"/>
    <x v="0"/>
    <n v="1"/>
    <n v="27414"/>
    <n v="27414"/>
  </r>
  <r>
    <x v="406"/>
    <x v="1049"/>
    <x v="4"/>
    <n v="2"/>
    <x v="11"/>
    <n v="1"/>
    <x v="5"/>
    <x v="2"/>
    <x v="4"/>
    <x v="0"/>
    <x v="2"/>
    <n v="1"/>
    <n v="367"/>
    <n v="367"/>
  </r>
  <r>
    <x v="407"/>
    <x v="1050"/>
    <x v="4"/>
    <n v="2"/>
    <x v="11"/>
    <n v="1"/>
    <x v="6"/>
    <x v="3"/>
    <x v="2"/>
    <x v="0"/>
    <x v="2"/>
    <n v="2"/>
    <n v="698"/>
    <n v="1396"/>
  </r>
  <r>
    <x v="408"/>
    <x v="1051"/>
    <x v="4"/>
    <n v="2"/>
    <x v="11"/>
    <n v="1"/>
    <x v="7"/>
    <x v="0"/>
    <x v="4"/>
    <x v="2"/>
    <x v="0"/>
    <n v="2"/>
    <n v="13713"/>
    <n v="27426"/>
  </r>
  <r>
    <x v="409"/>
    <x v="1052"/>
    <x v="4"/>
    <n v="2"/>
    <x v="11"/>
    <n v="1"/>
    <x v="8"/>
    <x v="1"/>
    <x v="1"/>
    <x v="0"/>
    <x v="2"/>
    <n v="4"/>
    <n v="626"/>
    <n v="2504"/>
  </r>
  <r>
    <x v="410"/>
    <x v="1053"/>
    <x v="4"/>
    <n v="2"/>
    <x v="11"/>
    <n v="1"/>
    <x v="0"/>
    <x v="0"/>
    <x v="1"/>
    <x v="0"/>
    <x v="0"/>
    <n v="2"/>
    <n v="56913"/>
    <n v="113826"/>
  </r>
  <r>
    <x v="411"/>
    <x v="1054"/>
    <x v="4"/>
    <n v="2"/>
    <x v="11"/>
    <n v="1"/>
    <x v="1"/>
    <x v="0"/>
    <x v="5"/>
    <x v="0"/>
    <x v="0"/>
    <n v="1"/>
    <n v="4959"/>
    <n v="4959"/>
  </r>
  <r>
    <x v="412"/>
    <x v="1055"/>
    <x v="4"/>
    <n v="2"/>
    <x v="11"/>
    <n v="1"/>
    <x v="9"/>
    <x v="3"/>
    <x v="5"/>
    <x v="0"/>
    <x v="0"/>
    <n v="2"/>
    <n v="2841"/>
    <n v="5682"/>
  </r>
  <r>
    <x v="413"/>
    <x v="1056"/>
    <x v="4"/>
    <n v="2"/>
    <x v="11"/>
    <n v="1"/>
    <x v="2"/>
    <x v="1"/>
    <x v="3"/>
    <x v="1"/>
    <x v="0"/>
    <n v="4"/>
    <n v="13916"/>
    <n v="55664"/>
  </r>
  <r>
    <x v="414"/>
    <x v="1057"/>
    <x v="4"/>
    <n v="2"/>
    <x v="11"/>
    <n v="1"/>
    <x v="3"/>
    <x v="1"/>
    <x v="5"/>
    <x v="2"/>
    <x v="2"/>
    <n v="4"/>
    <n v="151"/>
    <n v="604"/>
  </r>
  <r>
    <x v="415"/>
    <x v="1058"/>
    <x v="4"/>
    <n v="2"/>
    <x v="11"/>
    <n v="1"/>
    <x v="4"/>
    <x v="0"/>
    <x v="0"/>
    <x v="1"/>
    <x v="2"/>
    <n v="1"/>
    <n v="17923"/>
    <n v="17923"/>
  </r>
  <r>
    <x v="416"/>
    <x v="1059"/>
    <x v="4"/>
    <n v="2"/>
    <x v="11"/>
    <n v="1"/>
    <x v="5"/>
    <x v="2"/>
    <x v="4"/>
    <x v="1"/>
    <x v="0"/>
    <n v="3"/>
    <n v="843"/>
    <n v="2529"/>
  </r>
  <r>
    <x v="417"/>
    <x v="1060"/>
    <x v="4"/>
    <n v="2"/>
    <x v="11"/>
    <n v="1"/>
    <x v="6"/>
    <x v="3"/>
    <x v="1"/>
    <x v="1"/>
    <x v="1"/>
    <n v="2"/>
    <n v="1736"/>
    <n v="3472"/>
  </r>
  <r>
    <x v="418"/>
    <x v="1061"/>
    <x v="4"/>
    <n v="2"/>
    <x v="11"/>
    <n v="1"/>
    <x v="7"/>
    <x v="0"/>
    <x v="5"/>
    <x v="0"/>
    <x v="1"/>
    <n v="1"/>
    <n v="13704"/>
    <n v="13704"/>
  </r>
  <r>
    <x v="419"/>
    <x v="1062"/>
    <x v="4"/>
    <n v="2"/>
    <x v="11"/>
    <n v="1"/>
    <x v="8"/>
    <x v="1"/>
    <x v="1"/>
    <x v="0"/>
    <x v="1"/>
    <n v="5"/>
    <n v="297"/>
    <n v="1485"/>
  </r>
  <r>
    <x v="420"/>
    <x v="1063"/>
    <x v="4"/>
    <n v="2"/>
    <x v="11"/>
    <n v="1"/>
    <x v="0"/>
    <x v="0"/>
    <x v="3"/>
    <x v="2"/>
    <x v="1"/>
    <n v="2"/>
    <n v="59030"/>
    <n v="118060"/>
  </r>
  <r>
    <x v="421"/>
    <x v="1064"/>
    <x v="4"/>
    <n v="2"/>
    <x v="11"/>
    <n v="1"/>
    <x v="1"/>
    <x v="0"/>
    <x v="5"/>
    <x v="0"/>
    <x v="1"/>
    <n v="1"/>
    <n v="1043"/>
    <n v="1043"/>
  </r>
  <r>
    <x v="422"/>
    <x v="1065"/>
    <x v="4"/>
    <n v="2"/>
    <x v="11"/>
    <n v="1"/>
    <x v="9"/>
    <x v="3"/>
    <x v="1"/>
    <x v="1"/>
    <x v="0"/>
    <n v="2"/>
    <n v="3714"/>
    <n v="7428"/>
  </r>
  <r>
    <x v="423"/>
    <x v="1066"/>
    <x v="4"/>
    <n v="3"/>
    <x v="5"/>
    <n v="1"/>
    <x v="2"/>
    <x v="1"/>
    <x v="3"/>
    <x v="2"/>
    <x v="1"/>
    <n v="2"/>
    <n v="4810"/>
    <n v="9620"/>
  </r>
  <r>
    <x v="424"/>
    <x v="1067"/>
    <x v="4"/>
    <n v="3"/>
    <x v="5"/>
    <n v="1"/>
    <x v="3"/>
    <x v="1"/>
    <x v="1"/>
    <x v="2"/>
    <x v="0"/>
    <n v="3"/>
    <n v="873"/>
    <n v="2619"/>
  </r>
  <r>
    <x v="425"/>
    <x v="1068"/>
    <x v="4"/>
    <n v="3"/>
    <x v="5"/>
    <n v="1"/>
    <x v="4"/>
    <x v="0"/>
    <x v="5"/>
    <x v="0"/>
    <x v="1"/>
    <n v="1"/>
    <n v="16801"/>
    <n v="16801"/>
  </r>
  <r>
    <x v="426"/>
    <x v="1069"/>
    <x v="4"/>
    <n v="3"/>
    <x v="5"/>
    <n v="1"/>
    <x v="5"/>
    <x v="2"/>
    <x v="2"/>
    <x v="2"/>
    <x v="2"/>
    <n v="2"/>
    <n v="881"/>
    <n v="1762"/>
  </r>
  <r>
    <x v="427"/>
    <x v="1070"/>
    <x v="4"/>
    <n v="3"/>
    <x v="5"/>
    <n v="1"/>
    <x v="6"/>
    <x v="3"/>
    <x v="2"/>
    <x v="0"/>
    <x v="0"/>
    <n v="1"/>
    <n v="1334"/>
    <n v="1334"/>
  </r>
  <r>
    <x v="428"/>
    <x v="1071"/>
    <x v="4"/>
    <n v="3"/>
    <x v="5"/>
    <n v="1"/>
    <x v="7"/>
    <x v="0"/>
    <x v="4"/>
    <x v="0"/>
    <x v="0"/>
    <n v="1"/>
    <n v="5467"/>
    <n v="5467"/>
  </r>
  <r>
    <x v="429"/>
    <x v="1072"/>
    <x v="4"/>
    <n v="3"/>
    <x v="5"/>
    <n v="1"/>
    <x v="8"/>
    <x v="1"/>
    <x v="1"/>
    <x v="2"/>
    <x v="0"/>
    <n v="5"/>
    <n v="767"/>
    <n v="3835"/>
  </r>
  <r>
    <x v="430"/>
    <x v="1073"/>
    <x v="4"/>
    <n v="3"/>
    <x v="5"/>
    <n v="1"/>
    <x v="0"/>
    <x v="0"/>
    <x v="0"/>
    <x v="0"/>
    <x v="1"/>
    <n v="2"/>
    <n v="45680"/>
    <n v="91360"/>
  </r>
  <r>
    <x v="431"/>
    <x v="1074"/>
    <x v="4"/>
    <n v="3"/>
    <x v="5"/>
    <n v="1"/>
    <x v="1"/>
    <x v="0"/>
    <x v="3"/>
    <x v="0"/>
    <x v="1"/>
    <n v="1"/>
    <n v="3500"/>
    <n v="3500"/>
  </r>
  <r>
    <x v="432"/>
    <x v="1075"/>
    <x v="4"/>
    <n v="3"/>
    <x v="5"/>
    <n v="1"/>
    <x v="9"/>
    <x v="3"/>
    <x v="3"/>
    <x v="2"/>
    <x v="2"/>
    <n v="1"/>
    <n v="2356"/>
    <n v="2356"/>
  </r>
  <r>
    <x v="433"/>
    <x v="1076"/>
    <x v="4"/>
    <n v="3"/>
    <x v="5"/>
    <n v="1"/>
    <x v="2"/>
    <x v="1"/>
    <x v="4"/>
    <x v="0"/>
    <x v="1"/>
    <n v="5"/>
    <n v="7458"/>
    <n v="37290"/>
  </r>
  <r>
    <x v="434"/>
    <x v="1077"/>
    <x v="4"/>
    <n v="3"/>
    <x v="5"/>
    <n v="1"/>
    <x v="3"/>
    <x v="1"/>
    <x v="4"/>
    <x v="2"/>
    <x v="1"/>
    <n v="3"/>
    <n v="365"/>
    <n v="1095"/>
  </r>
  <r>
    <x v="435"/>
    <x v="1078"/>
    <x v="4"/>
    <n v="3"/>
    <x v="5"/>
    <n v="1"/>
    <x v="4"/>
    <x v="0"/>
    <x v="4"/>
    <x v="0"/>
    <x v="0"/>
    <n v="2"/>
    <n v="20872"/>
    <n v="41744"/>
  </r>
  <r>
    <x v="436"/>
    <x v="1079"/>
    <x v="4"/>
    <n v="3"/>
    <x v="5"/>
    <n v="1"/>
    <x v="5"/>
    <x v="2"/>
    <x v="2"/>
    <x v="0"/>
    <x v="1"/>
    <n v="5"/>
    <n v="987"/>
    <n v="4935"/>
  </r>
  <r>
    <x v="437"/>
    <x v="1080"/>
    <x v="4"/>
    <n v="3"/>
    <x v="5"/>
    <n v="1"/>
    <x v="6"/>
    <x v="3"/>
    <x v="5"/>
    <x v="0"/>
    <x v="2"/>
    <n v="2"/>
    <n v="1861"/>
    <n v="3722"/>
  </r>
  <r>
    <x v="438"/>
    <x v="1081"/>
    <x v="4"/>
    <n v="3"/>
    <x v="5"/>
    <n v="1"/>
    <x v="7"/>
    <x v="0"/>
    <x v="3"/>
    <x v="1"/>
    <x v="2"/>
    <n v="2"/>
    <n v="7608"/>
    <n v="15216"/>
  </r>
  <r>
    <x v="439"/>
    <x v="1082"/>
    <x v="4"/>
    <n v="3"/>
    <x v="5"/>
    <n v="1"/>
    <x v="8"/>
    <x v="1"/>
    <x v="4"/>
    <x v="1"/>
    <x v="2"/>
    <n v="3"/>
    <n v="672"/>
    <n v="2016"/>
  </r>
  <r>
    <x v="440"/>
    <x v="1083"/>
    <x v="4"/>
    <n v="3"/>
    <x v="5"/>
    <n v="1"/>
    <x v="0"/>
    <x v="0"/>
    <x v="4"/>
    <x v="2"/>
    <x v="2"/>
    <n v="2"/>
    <n v="53902"/>
    <n v="107804"/>
  </r>
  <r>
    <x v="441"/>
    <x v="1084"/>
    <x v="4"/>
    <n v="3"/>
    <x v="5"/>
    <n v="1"/>
    <x v="1"/>
    <x v="0"/>
    <x v="1"/>
    <x v="1"/>
    <x v="2"/>
    <n v="3"/>
    <n v="3381"/>
    <n v="10143"/>
  </r>
  <r>
    <x v="442"/>
    <x v="1085"/>
    <x v="4"/>
    <n v="3"/>
    <x v="5"/>
    <n v="1"/>
    <x v="9"/>
    <x v="3"/>
    <x v="1"/>
    <x v="1"/>
    <x v="2"/>
    <n v="2"/>
    <n v="3696"/>
    <n v="7392"/>
  </r>
  <r>
    <x v="443"/>
    <x v="1086"/>
    <x v="4"/>
    <n v="3"/>
    <x v="5"/>
    <n v="1"/>
    <x v="2"/>
    <x v="1"/>
    <x v="3"/>
    <x v="1"/>
    <x v="0"/>
    <n v="4"/>
    <n v="19559"/>
    <n v="78236"/>
  </r>
  <r>
    <x v="444"/>
    <x v="1087"/>
    <x v="4"/>
    <n v="3"/>
    <x v="5"/>
    <n v="1"/>
    <x v="3"/>
    <x v="1"/>
    <x v="5"/>
    <x v="1"/>
    <x v="0"/>
    <n v="5"/>
    <n v="503"/>
    <n v="2515"/>
  </r>
  <r>
    <x v="445"/>
    <x v="1088"/>
    <x v="4"/>
    <n v="3"/>
    <x v="5"/>
    <n v="1"/>
    <x v="4"/>
    <x v="0"/>
    <x v="2"/>
    <x v="1"/>
    <x v="2"/>
    <n v="1"/>
    <n v="38392"/>
    <n v="38392"/>
  </r>
  <r>
    <x v="446"/>
    <x v="1089"/>
    <x v="4"/>
    <n v="3"/>
    <x v="5"/>
    <n v="1"/>
    <x v="5"/>
    <x v="2"/>
    <x v="1"/>
    <x v="1"/>
    <x v="0"/>
    <n v="4"/>
    <n v="113"/>
    <n v="452"/>
  </r>
  <r>
    <x v="447"/>
    <x v="1090"/>
    <x v="4"/>
    <n v="3"/>
    <x v="5"/>
    <n v="1"/>
    <x v="6"/>
    <x v="3"/>
    <x v="3"/>
    <x v="2"/>
    <x v="1"/>
    <n v="5"/>
    <n v="684"/>
    <n v="3420"/>
  </r>
  <r>
    <x v="448"/>
    <x v="1091"/>
    <x v="4"/>
    <n v="3"/>
    <x v="5"/>
    <n v="1"/>
    <x v="7"/>
    <x v="0"/>
    <x v="0"/>
    <x v="1"/>
    <x v="0"/>
    <n v="1"/>
    <n v="3574"/>
    <n v="3574"/>
  </r>
  <r>
    <x v="449"/>
    <x v="1092"/>
    <x v="4"/>
    <n v="3"/>
    <x v="5"/>
    <n v="1"/>
    <x v="8"/>
    <x v="1"/>
    <x v="3"/>
    <x v="0"/>
    <x v="2"/>
    <n v="5"/>
    <n v="779"/>
    <n v="3895"/>
  </r>
  <r>
    <x v="450"/>
    <x v="1093"/>
    <x v="4"/>
    <n v="3"/>
    <x v="5"/>
    <n v="1"/>
    <x v="0"/>
    <x v="0"/>
    <x v="3"/>
    <x v="0"/>
    <x v="1"/>
    <n v="1"/>
    <n v="40358"/>
    <n v="40358"/>
  </r>
  <r>
    <x v="451"/>
    <x v="1094"/>
    <x v="4"/>
    <n v="3"/>
    <x v="5"/>
    <n v="1"/>
    <x v="1"/>
    <x v="0"/>
    <x v="0"/>
    <x v="2"/>
    <x v="2"/>
    <n v="3"/>
    <n v="3269"/>
    <n v="9807"/>
  </r>
  <r>
    <x v="452"/>
    <x v="1095"/>
    <x v="4"/>
    <n v="3"/>
    <x v="5"/>
    <n v="1"/>
    <x v="9"/>
    <x v="3"/>
    <x v="5"/>
    <x v="1"/>
    <x v="2"/>
    <n v="1"/>
    <n v="2592"/>
    <n v="2592"/>
  </r>
  <r>
    <x v="453"/>
    <x v="1096"/>
    <x v="4"/>
    <n v="3"/>
    <x v="5"/>
    <n v="1"/>
    <x v="2"/>
    <x v="1"/>
    <x v="2"/>
    <x v="2"/>
    <x v="1"/>
    <n v="3"/>
    <n v="18529"/>
    <n v="55587"/>
  </r>
  <r>
    <x v="454"/>
    <x v="1097"/>
    <x v="4"/>
    <n v="4"/>
    <x v="4"/>
    <n v="2"/>
    <x v="3"/>
    <x v="1"/>
    <x v="2"/>
    <x v="1"/>
    <x v="0"/>
    <n v="5"/>
    <n v="376"/>
    <n v="1880"/>
  </r>
  <r>
    <x v="455"/>
    <x v="1098"/>
    <x v="4"/>
    <n v="4"/>
    <x v="4"/>
    <n v="2"/>
    <x v="4"/>
    <x v="0"/>
    <x v="0"/>
    <x v="0"/>
    <x v="1"/>
    <n v="2"/>
    <n v="23687"/>
    <n v="47374"/>
  </r>
  <r>
    <x v="456"/>
    <x v="1099"/>
    <x v="4"/>
    <n v="4"/>
    <x v="4"/>
    <n v="2"/>
    <x v="5"/>
    <x v="2"/>
    <x v="1"/>
    <x v="2"/>
    <x v="1"/>
    <n v="2"/>
    <n v="225"/>
    <n v="450"/>
  </r>
  <r>
    <x v="457"/>
    <x v="1100"/>
    <x v="4"/>
    <n v="4"/>
    <x v="4"/>
    <n v="2"/>
    <x v="6"/>
    <x v="3"/>
    <x v="4"/>
    <x v="2"/>
    <x v="2"/>
    <n v="5"/>
    <n v="882"/>
    <n v="4410"/>
  </r>
  <r>
    <x v="458"/>
    <x v="1101"/>
    <x v="4"/>
    <n v="4"/>
    <x v="4"/>
    <n v="2"/>
    <x v="7"/>
    <x v="0"/>
    <x v="1"/>
    <x v="0"/>
    <x v="1"/>
    <n v="2"/>
    <n v="7214"/>
    <n v="14428"/>
  </r>
  <r>
    <x v="459"/>
    <x v="1102"/>
    <x v="4"/>
    <n v="4"/>
    <x v="4"/>
    <n v="2"/>
    <x v="8"/>
    <x v="1"/>
    <x v="2"/>
    <x v="2"/>
    <x v="2"/>
    <n v="5"/>
    <n v="241"/>
    <n v="1205"/>
  </r>
  <r>
    <x v="460"/>
    <x v="1103"/>
    <x v="4"/>
    <n v="4"/>
    <x v="4"/>
    <n v="2"/>
    <x v="0"/>
    <x v="0"/>
    <x v="5"/>
    <x v="0"/>
    <x v="0"/>
    <n v="2"/>
    <n v="61490"/>
    <n v="122980"/>
  </r>
  <r>
    <x v="461"/>
    <x v="1104"/>
    <x v="4"/>
    <n v="4"/>
    <x v="4"/>
    <n v="2"/>
    <x v="1"/>
    <x v="0"/>
    <x v="0"/>
    <x v="2"/>
    <x v="2"/>
    <n v="3"/>
    <n v="4120"/>
    <n v="12360"/>
  </r>
  <r>
    <x v="462"/>
    <x v="1105"/>
    <x v="4"/>
    <n v="4"/>
    <x v="4"/>
    <n v="2"/>
    <x v="9"/>
    <x v="3"/>
    <x v="1"/>
    <x v="1"/>
    <x v="2"/>
    <n v="1"/>
    <n v="1206"/>
    <n v="1206"/>
  </r>
  <r>
    <x v="463"/>
    <x v="1106"/>
    <x v="4"/>
    <n v="4"/>
    <x v="4"/>
    <n v="2"/>
    <x v="2"/>
    <x v="1"/>
    <x v="5"/>
    <x v="2"/>
    <x v="1"/>
    <n v="4"/>
    <n v="10934"/>
    <n v="43736"/>
  </r>
  <r>
    <x v="464"/>
    <x v="1107"/>
    <x v="4"/>
    <n v="4"/>
    <x v="4"/>
    <n v="2"/>
    <x v="3"/>
    <x v="1"/>
    <x v="2"/>
    <x v="0"/>
    <x v="0"/>
    <n v="1"/>
    <n v="326"/>
    <n v="326"/>
  </r>
  <r>
    <x v="465"/>
    <x v="1108"/>
    <x v="4"/>
    <n v="4"/>
    <x v="4"/>
    <n v="2"/>
    <x v="4"/>
    <x v="0"/>
    <x v="0"/>
    <x v="1"/>
    <x v="1"/>
    <n v="2"/>
    <n v="37146"/>
    <n v="74292"/>
  </r>
  <r>
    <x v="466"/>
    <x v="1109"/>
    <x v="4"/>
    <n v="4"/>
    <x v="4"/>
    <n v="2"/>
    <x v="5"/>
    <x v="2"/>
    <x v="5"/>
    <x v="2"/>
    <x v="0"/>
    <n v="1"/>
    <n v="235"/>
    <n v="235"/>
  </r>
  <r>
    <x v="467"/>
    <x v="1110"/>
    <x v="4"/>
    <n v="4"/>
    <x v="4"/>
    <n v="2"/>
    <x v="6"/>
    <x v="3"/>
    <x v="2"/>
    <x v="2"/>
    <x v="1"/>
    <n v="5"/>
    <n v="1118"/>
    <n v="5590"/>
  </r>
  <r>
    <x v="468"/>
    <x v="1111"/>
    <x v="4"/>
    <n v="4"/>
    <x v="4"/>
    <n v="2"/>
    <x v="7"/>
    <x v="0"/>
    <x v="5"/>
    <x v="1"/>
    <x v="0"/>
    <n v="2"/>
    <n v="7110"/>
    <n v="14220"/>
  </r>
  <r>
    <x v="469"/>
    <x v="1112"/>
    <x v="4"/>
    <n v="4"/>
    <x v="4"/>
    <n v="2"/>
    <x v="8"/>
    <x v="1"/>
    <x v="2"/>
    <x v="2"/>
    <x v="1"/>
    <n v="1"/>
    <n v="333"/>
    <n v="333"/>
  </r>
  <r>
    <x v="470"/>
    <x v="1113"/>
    <x v="4"/>
    <n v="4"/>
    <x v="4"/>
    <n v="2"/>
    <x v="0"/>
    <x v="0"/>
    <x v="2"/>
    <x v="0"/>
    <x v="1"/>
    <n v="1"/>
    <n v="62505"/>
    <n v="62505"/>
  </r>
  <r>
    <x v="471"/>
    <x v="1114"/>
    <x v="4"/>
    <n v="4"/>
    <x v="4"/>
    <n v="2"/>
    <x v="1"/>
    <x v="0"/>
    <x v="4"/>
    <x v="2"/>
    <x v="0"/>
    <n v="1"/>
    <n v="3269"/>
    <n v="3269"/>
  </r>
  <r>
    <x v="472"/>
    <x v="1115"/>
    <x v="4"/>
    <n v="4"/>
    <x v="4"/>
    <n v="2"/>
    <x v="9"/>
    <x v="3"/>
    <x v="4"/>
    <x v="0"/>
    <x v="2"/>
    <n v="1"/>
    <n v="3182"/>
    <n v="3182"/>
  </r>
  <r>
    <x v="473"/>
    <x v="1116"/>
    <x v="4"/>
    <n v="4"/>
    <x v="4"/>
    <n v="2"/>
    <x v="2"/>
    <x v="1"/>
    <x v="1"/>
    <x v="1"/>
    <x v="2"/>
    <n v="1"/>
    <n v="4471"/>
    <n v="4471"/>
  </r>
  <r>
    <x v="474"/>
    <x v="1117"/>
    <x v="4"/>
    <n v="4"/>
    <x v="4"/>
    <n v="2"/>
    <x v="3"/>
    <x v="1"/>
    <x v="3"/>
    <x v="0"/>
    <x v="0"/>
    <n v="2"/>
    <n v="732"/>
    <n v="1464"/>
  </r>
  <r>
    <x v="475"/>
    <x v="1118"/>
    <x v="4"/>
    <n v="4"/>
    <x v="4"/>
    <n v="2"/>
    <x v="4"/>
    <x v="0"/>
    <x v="2"/>
    <x v="1"/>
    <x v="2"/>
    <n v="2"/>
    <n v="14850"/>
    <n v="29700"/>
  </r>
  <r>
    <x v="476"/>
    <x v="1119"/>
    <x v="4"/>
    <n v="4"/>
    <x v="4"/>
    <n v="2"/>
    <x v="5"/>
    <x v="2"/>
    <x v="4"/>
    <x v="0"/>
    <x v="1"/>
    <n v="2"/>
    <n v="179"/>
    <n v="358"/>
  </r>
  <r>
    <x v="477"/>
    <x v="1120"/>
    <x v="4"/>
    <n v="4"/>
    <x v="4"/>
    <n v="2"/>
    <x v="6"/>
    <x v="3"/>
    <x v="5"/>
    <x v="0"/>
    <x v="2"/>
    <n v="5"/>
    <n v="1213"/>
    <n v="6065"/>
  </r>
  <r>
    <x v="478"/>
    <x v="1121"/>
    <x v="4"/>
    <n v="4"/>
    <x v="4"/>
    <n v="2"/>
    <x v="7"/>
    <x v="0"/>
    <x v="5"/>
    <x v="1"/>
    <x v="1"/>
    <n v="1"/>
    <n v="5171"/>
    <n v="5171"/>
  </r>
  <r>
    <x v="479"/>
    <x v="1122"/>
    <x v="4"/>
    <n v="4"/>
    <x v="4"/>
    <n v="2"/>
    <x v="8"/>
    <x v="1"/>
    <x v="0"/>
    <x v="2"/>
    <x v="0"/>
    <n v="1"/>
    <n v="731"/>
    <n v="731"/>
  </r>
  <r>
    <x v="480"/>
    <x v="1123"/>
    <x v="4"/>
    <n v="4"/>
    <x v="4"/>
    <n v="2"/>
    <x v="0"/>
    <x v="0"/>
    <x v="0"/>
    <x v="0"/>
    <x v="1"/>
    <n v="1"/>
    <n v="67499"/>
    <n v="67499"/>
  </r>
  <r>
    <x v="481"/>
    <x v="1124"/>
    <x v="4"/>
    <n v="4"/>
    <x v="4"/>
    <n v="2"/>
    <x v="1"/>
    <x v="0"/>
    <x v="1"/>
    <x v="1"/>
    <x v="0"/>
    <n v="1"/>
    <n v="4107"/>
    <n v="4107"/>
  </r>
  <r>
    <x v="482"/>
    <x v="1125"/>
    <x v="4"/>
    <n v="4"/>
    <x v="4"/>
    <n v="2"/>
    <x v="9"/>
    <x v="3"/>
    <x v="3"/>
    <x v="2"/>
    <x v="0"/>
    <n v="2"/>
    <n v="2690"/>
    <n v="5380"/>
  </r>
  <r>
    <x v="483"/>
    <x v="1126"/>
    <x v="4"/>
    <n v="4"/>
    <x v="4"/>
    <n v="2"/>
    <x v="2"/>
    <x v="1"/>
    <x v="4"/>
    <x v="0"/>
    <x v="0"/>
    <n v="5"/>
    <n v="8632"/>
    <n v="43160"/>
  </r>
  <r>
    <x v="484"/>
    <x v="1127"/>
    <x v="4"/>
    <n v="5"/>
    <x v="8"/>
    <n v="2"/>
    <x v="3"/>
    <x v="1"/>
    <x v="2"/>
    <x v="2"/>
    <x v="2"/>
    <n v="2"/>
    <n v="746"/>
    <n v="1492"/>
  </r>
  <r>
    <x v="485"/>
    <x v="1128"/>
    <x v="4"/>
    <n v="5"/>
    <x v="8"/>
    <n v="2"/>
    <x v="4"/>
    <x v="0"/>
    <x v="2"/>
    <x v="1"/>
    <x v="1"/>
    <n v="2"/>
    <n v="19358"/>
    <n v="38716"/>
  </r>
  <r>
    <x v="486"/>
    <x v="1129"/>
    <x v="4"/>
    <n v="5"/>
    <x v="8"/>
    <n v="2"/>
    <x v="5"/>
    <x v="2"/>
    <x v="4"/>
    <x v="0"/>
    <x v="0"/>
    <n v="3"/>
    <n v="128"/>
    <n v="384"/>
  </r>
  <r>
    <x v="487"/>
    <x v="1130"/>
    <x v="4"/>
    <n v="5"/>
    <x v="8"/>
    <n v="2"/>
    <x v="6"/>
    <x v="3"/>
    <x v="1"/>
    <x v="0"/>
    <x v="2"/>
    <n v="2"/>
    <n v="1440"/>
    <n v="2880"/>
  </r>
  <r>
    <x v="488"/>
    <x v="1131"/>
    <x v="4"/>
    <n v="5"/>
    <x v="8"/>
    <n v="2"/>
    <x v="7"/>
    <x v="0"/>
    <x v="0"/>
    <x v="2"/>
    <x v="2"/>
    <n v="1"/>
    <n v="14302"/>
    <n v="14302"/>
  </r>
  <r>
    <x v="489"/>
    <x v="1132"/>
    <x v="4"/>
    <n v="5"/>
    <x v="8"/>
    <n v="2"/>
    <x v="8"/>
    <x v="1"/>
    <x v="5"/>
    <x v="1"/>
    <x v="0"/>
    <n v="5"/>
    <n v="296"/>
    <n v="1480"/>
  </r>
  <r>
    <x v="490"/>
    <x v="1133"/>
    <x v="4"/>
    <n v="5"/>
    <x v="8"/>
    <n v="2"/>
    <x v="0"/>
    <x v="0"/>
    <x v="5"/>
    <x v="0"/>
    <x v="1"/>
    <n v="2"/>
    <n v="63623"/>
    <n v="127246"/>
  </r>
  <r>
    <x v="491"/>
    <x v="1134"/>
    <x v="4"/>
    <n v="5"/>
    <x v="8"/>
    <n v="2"/>
    <x v="1"/>
    <x v="0"/>
    <x v="5"/>
    <x v="1"/>
    <x v="0"/>
    <n v="1"/>
    <n v="2952"/>
    <n v="2952"/>
  </r>
  <r>
    <x v="492"/>
    <x v="1135"/>
    <x v="4"/>
    <n v="5"/>
    <x v="8"/>
    <n v="2"/>
    <x v="9"/>
    <x v="3"/>
    <x v="1"/>
    <x v="1"/>
    <x v="0"/>
    <n v="3"/>
    <n v="4415"/>
    <n v="13245"/>
  </r>
  <r>
    <x v="493"/>
    <x v="1136"/>
    <x v="4"/>
    <n v="5"/>
    <x v="8"/>
    <n v="2"/>
    <x v="2"/>
    <x v="1"/>
    <x v="4"/>
    <x v="1"/>
    <x v="2"/>
    <n v="1"/>
    <n v="12572"/>
    <n v="12572"/>
  </r>
  <r>
    <x v="494"/>
    <x v="1137"/>
    <x v="4"/>
    <n v="5"/>
    <x v="8"/>
    <n v="2"/>
    <x v="3"/>
    <x v="1"/>
    <x v="4"/>
    <x v="2"/>
    <x v="0"/>
    <n v="5"/>
    <n v="745"/>
    <n v="3725"/>
  </r>
  <r>
    <x v="495"/>
    <x v="1138"/>
    <x v="4"/>
    <n v="5"/>
    <x v="8"/>
    <n v="2"/>
    <x v="4"/>
    <x v="0"/>
    <x v="5"/>
    <x v="0"/>
    <x v="2"/>
    <n v="1"/>
    <n v="30973"/>
    <n v="30973"/>
  </r>
  <r>
    <x v="496"/>
    <x v="1139"/>
    <x v="4"/>
    <n v="5"/>
    <x v="8"/>
    <n v="2"/>
    <x v="5"/>
    <x v="2"/>
    <x v="5"/>
    <x v="1"/>
    <x v="1"/>
    <n v="5"/>
    <n v="756"/>
    <n v="3780"/>
  </r>
  <r>
    <x v="497"/>
    <x v="1140"/>
    <x v="4"/>
    <n v="5"/>
    <x v="8"/>
    <n v="2"/>
    <x v="6"/>
    <x v="3"/>
    <x v="2"/>
    <x v="0"/>
    <x v="0"/>
    <n v="1"/>
    <n v="966"/>
    <n v="966"/>
  </r>
  <r>
    <x v="498"/>
    <x v="1141"/>
    <x v="4"/>
    <n v="5"/>
    <x v="8"/>
    <n v="2"/>
    <x v="7"/>
    <x v="0"/>
    <x v="3"/>
    <x v="0"/>
    <x v="1"/>
    <n v="1"/>
    <n v="13343"/>
    <n v="133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91931E-B410-4D81-A6B3-F9731A471491}" name="PivotTable14" cacheId="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9:B30" firstHeaderRow="1" firstDataRow="1" firstDataCol="0"/>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pivotField showAll="0"/>
    <pivotField showAll="0"/>
    <pivotField showAll="0"/>
    <pivotField showAll="0"/>
    <pivotField showAll="0"/>
    <pivotField showAll="0"/>
    <pivotField showAll="0"/>
    <pivotField showAll="0"/>
    <pivotField numFmtId="1" showAll="0"/>
    <pivotField numFmtId="165" showAll="0"/>
    <pivotField dataField="1" numFmtId="165"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Sum of Total_Sales"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48A99C-C851-4134-A611-84E6A5D0A857}"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6:E546" firstHeaderRow="1" firstDataRow="1" firstDataCol="1"/>
  <pivotFields count="17">
    <pivotField axis="axisRow" showAll="0">
      <items count="500">
        <item x="0"/>
        <item x="1"/>
        <item x="326"/>
        <item x="2"/>
        <item x="3"/>
        <item x="4"/>
        <item x="5"/>
        <item x="6"/>
        <item x="7"/>
        <item x="8"/>
        <item x="9"/>
        <item x="10"/>
        <item x="11"/>
        <item x="12"/>
        <item x="13"/>
        <item x="14"/>
        <item x="15"/>
        <item x="16"/>
        <item x="17"/>
        <item x="327"/>
        <item x="18"/>
        <item x="19"/>
        <item x="20"/>
        <item x="21"/>
        <item x="22"/>
        <item x="23"/>
        <item x="24"/>
        <item x="25"/>
        <item x="26"/>
        <item x="27"/>
        <item x="28"/>
        <item x="29"/>
        <item x="30"/>
        <item x="328"/>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329"/>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330"/>
        <item x="195"/>
        <item x="196"/>
        <item x="197"/>
        <item x="198"/>
        <item x="199"/>
        <item x="200"/>
        <item x="201"/>
        <item x="202"/>
        <item x="203"/>
        <item x="204"/>
        <item x="205"/>
        <item x="206"/>
        <item x="207"/>
        <item x="208"/>
        <item x="209"/>
        <item x="210"/>
        <item x="211"/>
        <item x="212"/>
        <item x="213"/>
        <item x="214"/>
        <item x="215"/>
        <item x="216"/>
        <item x="217"/>
        <item x="218"/>
        <item x="219"/>
        <item x="331"/>
        <item x="220"/>
        <item x="221"/>
        <item x="222"/>
        <item x="223"/>
        <item x="224"/>
        <item x="225"/>
        <item x="226"/>
        <item x="227"/>
        <item x="228"/>
        <item x="229"/>
        <item x="332"/>
        <item x="230"/>
        <item x="231"/>
        <item x="232"/>
        <item x="233"/>
        <item x="333"/>
        <item x="234"/>
        <item x="235"/>
        <item x="236"/>
        <item x="237"/>
        <item x="238"/>
        <item x="239"/>
        <item x="240"/>
        <item x="241"/>
        <item x="242"/>
        <item x="243"/>
        <item x="334"/>
        <item x="244"/>
        <item x="245"/>
        <item x="246"/>
        <item x="247"/>
        <item x="335"/>
        <item x="248"/>
        <item x="249"/>
        <item x="250"/>
        <item x="251"/>
        <item x="252"/>
        <item x="253"/>
        <item x="254"/>
        <item x="255"/>
        <item x="256"/>
        <item x="257"/>
        <item x="258"/>
        <item x="259"/>
        <item x="260"/>
        <item x="261"/>
        <item x="262"/>
        <item x="263"/>
        <item x="264"/>
        <item x="265"/>
        <item x="266"/>
        <item x="267"/>
        <item x="268"/>
        <item x="269"/>
        <item x="270"/>
        <item x="271"/>
        <item x="272"/>
        <item x="273"/>
        <item x="336"/>
        <item x="274"/>
        <item x="275"/>
        <item x="276"/>
        <item x="277"/>
        <item x="278"/>
        <item x="279"/>
        <item x="280"/>
        <item x="281"/>
        <item x="282"/>
        <item x="337"/>
        <item x="283"/>
        <item x="284"/>
        <item x="285"/>
        <item x="286"/>
        <item x="338"/>
        <item x="287"/>
        <item x="288"/>
        <item x="289"/>
        <item x="290"/>
        <item x="291"/>
        <item x="292"/>
        <item x="293"/>
        <item x="294"/>
        <item x="295"/>
        <item x="296"/>
        <item x="297"/>
        <item x="298"/>
        <item x="299"/>
        <item x="300"/>
        <item x="301"/>
        <item x="302"/>
        <item x="303"/>
        <item x="304"/>
        <item x="305"/>
        <item x="306"/>
        <item x="339"/>
        <item x="307"/>
        <item x="308"/>
        <item x="309"/>
        <item x="310"/>
        <item x="311"/>
        <item x="312"/>
        <item x="313"/>
        <item x="314"/>
        <item x="315"/>
        <item x="316"/>
        <item x="317"/>
        <item x="318"/>
        <item x="319"/>
        <item x="320"/>
        <item x="321"/>
        <item x="322"/>
        <item x="323"/>
        <item x="324"/>
        <item x="340"/>
        <item x="325"/>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pivotField showAll="0"/>
    <pivotField showAll="0"/>
    <pivotField showAll="0"/>
    <pivotField showAll="0"/>
    <pivotField showAll="0"/>
    <pivotField showAll="0"/>
    <pivotField showAll="0"/>
    <pivotField showAll="0"/>
    <pivotField numFmtId="1" showAll="0"/>
    <pivotField numFmtId="165" showAll="0"/>
    <pivotField dataField="1" numFmtId="165" showAll="0"/>
    <pivotField showAll="0" defaultSubtotal="0"/>
    <pivotField showAll="0" defaultSubtotal="0"/>
    <pivotField showAll="0" defaultSubtotal="0">
      <items count="7">
        <item x="0"/>
        <item x="1"/>
        <item x="2"/>
        <item x="3"/>
        <item x="4"/>
        <item x="5"/>
        <item x="6"/>
      </items>
    </pivotField>
  </pivotFields>
  <rowFields count="1">
    <field x="0"/>
  </rowFields>
  <rowItems count="5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t="grand">
      <x/>
    </i>
  </rowItems>
  <colItems count="1">
    <i/>
  </colItems>
  <dataFields count="1">
    <dataField name="Sum of Total_Sales" fld="13" baseField="0" baseItem="0" numFmtId="165"/>
  </dataFields>
  <formats count="15">
    <format dxfId="77">
      <pivotArea type="all" dataOnly="0" outline="0" fieldPosition="0"/>
    </format>
    <format dxfId="76">
      <pivotArea outline="0" collapsedLevelsAreSubtotals="1" fieldPosition="0"/>
    </format>
    <format dxfId="75">
      <pivotArea field="0" type="button" dataOnly="0" labelOnly="1" outline="0" axis="axisRow" fieldPosition="0"/>
    </format>
    <format dxfId="7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2">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1">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0">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9">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8">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7">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6">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5">
      <pivotArea dataOnly="0" labelOnly="1" fieldPosition="0">
        <references count="1">
          <reference field="0" count="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reference>
        </references>
      </pivotArea>
    </format>
    <format dxfId="64">
      <pivotArea dataOnly="0" labelOnly="1" grandRow="1" outline="0" fieldPosition="0"/>
    </format>
    <format dxfId="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1AC361-8E14-4098-8B82-61C47668319C}"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546" firstHeaderRow="1" firstDataRow="1" firstDataCol="1"/>
  <pivotFields count="17">
    <pivotField axis="axisRow" showAll="0">
      <items count="500">
        <item x="0"/>
        <item x="1"/>
        <item x="326"/>
        <item x="2"/>
        <item x="3"/>
        <item x="4"/>
        <item x="5"/>
        <item x="6"/>
        <item x="7"/>
        <item x="8"/>
        <item x="9"/>
        <item x="10"/>
        <item x="11"/>
        <item x="12"/>
        <item x="13"/>
        <item x="14"/>
        <item x="15"/>
        <item x="16"/>
        <item x="17"/>
        <item x="327"/>
        <item x="18"/>
        <item x="19"/>
        <item x="20"/>
        <item x="21"/>
        <item x="22"/>
        <item x="23"/>
        <item x="24"/>
        <item x="25"/>
        <item x="26"/>
        <item x="27"/>
        <item x="28"/>
        <item x="29"/>
        <item x="30"/>
        <item x="328"/>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329"/>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330"/>
        <item x="195"/>
        <item x="196"/>
        <item x="197"/>
        <item x="198"/>
        <item x="199"/>
        <item x="200"/>
        <item x="201"/>
        <item x="202"/>
        <item x="203"/>
        <item x="204"/>
        <item x="205"/>
        <item x="206"/>
        <item x="207"/>
        <item x="208"/>
        <item x="209"/>
        <item x="210"/>
        <item x="211"/>
        <item x="212"/>
        <item x="213"/>
        <item x="214"/>
        <item x="215"/>
        <item x="216"/>
        <item x="217"/>
        <item x="218"/>
        <item x="219"/>
        <item x="331"/>
        <item x="220"/>
        <item x="221"/>
        <item x="222"/>
        <item x="223"/>
        <item x="224"/>
        <item x="225"/>
        <item x="226"/>
        <item x="227"/>
        <item x="228"/>
        <item x="229"/>
        <item x="332"/>
        <item x="230"/>
        <item x="231"/>
        <item x="232"/>
        <item x="233"/>
        <item x="333"/>
        <item x="234"/>
        <item x="235"/>
        <item x="236"/>
        <item x="237"/>
        <item x="238"/>
        <item x="239"/>
        <item x="240"/>
        <item x="241"/>
        <item x="242"/>
        <item x="243"/>
        <item x="334"/>
        <item x="244"/>
        <item x="245"/>
        <item x="246"/>
        <item x="247"/>
        <item x="335"/>
        <item x="248"/>
        <item x="249"/>
        <item x="250"/>
        <item x="251"/>
        <item x="252"/>
        <item x="253"/>
        <item x="254"/>
        <item x="255"/>
        <item x="256"/>
        <item x="257"/>
        <item x="258"/>
        <item x="259"/>
        <item x="260"/>
        <item x="261"/>
        <item x="262"/>
        <item x="263"/>
        <item x="264"/>
        <item x="265"/>
        <item x="266"/>
        <item x="267"/>
        <item x="268"/>
        <item x="269"/>
        <item x="270"/>
        <item x="271"/>
        <item x="272"/>
        <item x="273"/>
        <item x="336"/>
        <item x="274"/>
        <item x="275"/>
        <item x="276"/>
        <item x="277"/>
        <item x="278"/>
        <item x="279"/>
        <item x="280"/>
        <item x="281"/>
        <item x="282"/>
        <item x="337"/>
        <item x="283"/>
        <item x="284"/>
        <item x="285"/>
        <item x="286"/>
        <item x="338"/>
        <item x="287"/>
        <item x="288"/>
        <item x="289"/>
        <item x="290"/>
        <item x="291"/>
        <item x="292"/>
        <item x="293"/>
        <item x="294"/>
        <item x="295"/>
        <item x="296"/>
        <item x="297"/>
        <item x="298"/>
        <item x="299"/>
        <item x="300"/>
        <item x="301"/>
        <item x="302"/>
        <item x="303"/>
        <item x="304"/>
        <item x="305"/>
        <item x="306"/>
        <item x="339"/>
        <item x="307"/>
        <item x="308"/>
        <item x="309"/>
        <item x="310"/>
        <item x="311"/>
        <item x="312"/>
        <item x="313"/>
        <item x="314"/>
        <item x="315"/>
        <item x="316"/>
        <item x="317"/>
        <item x="318"/>
        <item x="319"/>
        <item x="320"/>
        <item x="321"/>
        <item x="322"/>
        <item x="323"/>
        <item x="324"/>
        <item x="340"/>
        <item x="325"/>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pivotField showAll="0"/>
    <pivotField showAll="0"/>
    <pivotField showAll="0"/>
    <pivotField showAll="0"/>
    <pivotField showAll="0"/>
    <pivotField showAll="0"/>
    <pivotField showAll="0"/>
    <pivotField showAll="0"/>
    <pivotField dataField="1" numFmtId="1" showAll="0"/>
    <pivotField numFmtId="165" showAll="0"/>
    <pivotField numFmtId="165" showAll="0"/>
    <pivotField showAll="0" defaultSubtotal="0"/>
    <pivotField showAll="0" defaultSubtotal="0"/>
    <pivotField showAll="0" defaultSubtotal="0">
      <items count="7">
        <item x="0"/>
        <item x="1"/>
        <item x="2"/>
        <item x="3"/>
        <item x="4"/>
        <item x="5"/>
        <item x="6"/>
      </items>
    </pivotField>
  </pivotFields>
  <rowFields count="1">
    <field x="0"/>
  </rowFields>
  <rowItems count="5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t="grand">
      <x/>
    </i>
  </rowItems>
  <colItems count="1">
    <i/>
  </colItems>
  <dataFields count="1">
    <dataField name="Count of Quantity" fld="11" subtotal="count" baseField="0" baseItem="0"/>
  </dataFields>
  <formats count="15">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7">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6">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5">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4">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3">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2">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1">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0">
      <pivotArea dataOnly="0" labelOnly="1" fieldPosition="0">
        <references count="1">
          <reference field="0" count="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reference>
        </references>
      </pivotArea>
    </format>
    <format dxfId="49">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5E7C22-F0D5-4E64-86F1-55D826FB1DC7}"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6:E17" firstHeaderRow="1" firstDataRow="1" firstDataCol="1" rowPageCount="1" colPageCount="1"/>
  <pivotFields count="17">
    <pivotField showAll="0"/>
    <pivotField axis="axisPage"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items count="6">
        <item x="1"/>
        <item x="0"/>
        <item x="2"/>
        <item x="3"/>
        <item x="4"/>
        <item t="default"/>
      </items>
    </pivotField>
    <pivotField showAll="0"/>
    <pivotField showAll="0">
      <items count="13">
        <item x="3"/>
        <item x="11"/>
        <item x="5"/>
        <item x="4"/>
        <item x="8"/>
        <item x="1"/>
        <item x="9"/>
        <item x="0"/>
        <item x="10"/>
        <item x="6"/>
        <item x="2"/>
        <item x="7"/>
        <item t="default"/>
      </items>
    </pivotField>
    <pivotField showAll="0"/>
    <pivotField axis="axisRow" showAll="0">
      <items count="11">
        <item x="8"/>
        <item x="2"/>
        <item x="4"/>
        <item x="7"/>
        <item x="9"/>
        <item x="3"/>
        <item x="0"/>
        <item x="1"/>
        <item x="5"/>
        <item x="6"/>
        <item t="default"/>
      </items>
    </pivotField>
    <pivotField showAll="0"/>
    <pivotField showAll="0">
      <items count="7">
        <item x="4"/>
        <item x="0"/>
        <item x="1"/>
        <item x="3"/>
        <item x="5"/>
        <item x="2"/>
        <item t="default"/>
      </items>
    </pivotField>
    <pivotField showAll="0"/>
    <pivotField showAll="0"/>
    <pivotField dataField="1" numFmtId="1" showAll="0"/>
    <pivotField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11">
    <i>
      <x/>
    </i>
    <i>
      <x v="1"/>
    </i>
    <i>
      <x v="2"/>
    </i>
    <i>
      <x v="3"/>
    </i>
    <i>
      <x v="4"/>
    </i>
    <i>
      <x v="5"/>
    </i>
    <i>
      <x v="6"/>
    </i>
    <i>
      <x v="7"/>
    </i>
    <i>
      <x v="8"/>
    </i>
    <i>
      <x v="9"/>
    </i>
    <i t="grand">
      <x/>
    </i>
  </rowItems>
  <colItems count="1">
    <i/>
  </colItems>
  <pageFields count="1">
    <pageField fld="1" hier="-1"/>
  </pageFields>
  <dataFields count="1">
    <dataField name="Sum of Quantity" fld="11" baseField="0" baseItem="0" numFmtId="1"/>
  </dataFields>
  <formats count="6">
    <format dxfId="95">
      <pivotArea type="all" dataOnly="0" outline="0" fieldPosition="0"/>
    </format>
    <format dxfId="94">
      <pivotArea outline="0" collapsedLevelsAreSubtotals="1" fieldPosition="0"/>
    </format>
    <format dxfId="93">
      <pivotArea field="6" type="button" dataOnly="0" labelOnly="1" outline="0" axis="axisRow" fieldPosition="0"/>
    </format>
    <format dxfId="92">
      <pivotArea dataOnly="0" labelOnly="1" fieldPosition="0">
        <references count="1">
          <reference field="6" count="0"/>
        </references>
      </pivotArea>
    </format>
    <format dxfId="91">
      <pivotArea dataOnly="0" labelOnly="1" grandRow="1" outline="0" fieldPosition="0"/>
    </format>
    <format dxfId="90">
      <pivotArea dataOnly="0" labelOnly="1" outline="0" axis="axisValues" fieldPosition="0"/>
    </format>
  </formats>
  <chartFormats count="10">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5"/>
          </reference>
        </references>
      </pivotArea>
    </chartFormat>
    <chartFormat chart="2" format="9">
      <pivotArea type="data" outline="0" fieldPosition="0">
        <references count="2">
          <reference field="4294967294" count="1" selected="0">
            <x v="0"/>
          </reference>
          <reference field="6" count="1" selected="0">
            <x v="9"/>
          </reference>
        </references>
      </pivotArea>
    </chartFormat>
    <chartFormat chart="2" format="10">
      <pivotArea type="data" outline="0" fieldPosition="0">
        <references count="2">
          <reference field="4294967294" count="1" selected="0">
            <x v="0"/>
          </reference>
          <reference field="6" count="1" selected="0">
            <x v="8"/>
          </reference>
        </references>
      </pivotArea>
    </chartFormat>
    <chartFormat chart="2" format="11">
      <pivotArea type="data" outline="0" fieldPosition="0">
        <references count="2">
          <reference field="4294967294" count="1" selected="0">
            <x v="0"/>
          </reference>
          <reference field="6" count="1" selected="0">
            <x v="4"/>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115C92-A21A-434F-9E59-F176B9CEE615}"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A40" firstHeaderRow="1" firstDataRow="1" firstDataCol="0"/>
  <pivotFields count="17">
    <pivotField dataField="1"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items count="6">
        <item x="1"/>
        <item x="0"/>
        <item x="2"/>
        <item x="3"/>
        <item x="4"/>
        <item t="default"/>
      </items>
    </pivotField>
    <pivotField showAll="0"/>
    <pivotField showAll="0">
      <items count="13">
        <item x="3"/>
        <item x="11"/>
        <item x="5"/>
        <item x="4"/>
        <item x="8"/>
        <item x="1"/>
        <item x="9"/>
        <item x="0"/>
        <item x="10"/>
        <item x="6"/>
        <item x="2"/>
        <item x="7"/>
        <item t="default"/>
      </items>
    </pivotField>
    <pivotField showAll="0"/>
    <pivotField showAll="0"/>
    <pivotField showAll="0"/>
    <pivotField showAll="0">
      <items count="7">
        <item x="4"/>
        <item x="0"/>
        <item x="1"/>
        <item x="3"/>
        <item x="5"/>
        <item x="2"/>
        <item t="default"/>
      </items>
    </pivotField>
    <pivotField showAll="0"/>
    <pivotField showAll="0"/>
    <pivotField numFmtId="1" showAll="0"/>
    <pivotField numFmtId="165" showAll="0"/>
    <pivotField numFmtId="165"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Count of Order_ID" fld="0" subtotal="count" baseField="0" baseItem="0"/>
  </dataFields>
  <formats count="3">
    <format dxfId="98">
      <pivotArea type="all" dataOnly="0" outline="0" fieldPosition="0"/>
    </format>
    <format dxfId="97">
      <pivotArea outline="0" collapsedLevelsAreSubtotals="1"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A973FA-A7EF-43DA-B425-F115F3AE5EEE}"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14:T18" firstHeaderRow="1" firstDataRow="1" firstDataCol="1"/>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items count="6">
        <item x="1"/>
        <item x="0"/>
        <item x="2"/>
        <item x="3"/>
        <item x="4"/>
        <item t="default"/>
      </items>
    </pivotField>
    <pivotField showAll="0"/>
    <pivotField showAll="0">
      <items count="13">
        <item x="3"/>
        <item x="11"/>
        <item x="5"/>
        <item x="4"/>
        <item x="8"/>
        <item x="1"/>
        <item x="9"/>
        <item x="0"/>
        <item x="10"/>
        <item x="6"/>
        <item x="2"/>
        <item x="7"/>
        <item t="default"/>
      </items>
    </pivotField>
    <pivotField showAll="0"/>
    <pivotField showAll="0"/>
    <pivotField showAll="0"/>
    <pivotField showAll="0">
      <items count="7">
        <item x="4"/>
        <item x="0"/>
        <item x="1"/>
        <item x="3"/>
        <item x="5"/>
        <item x="2"/>
        <item t="default"/>
      </items>
    </pivotField>
    <pivotField showAll="0"/>
    <pivotField axis="axisRow" dataField="1" showAll="0">
      <items count="4">
        <item x="0"/>
        <item x="2"/>
        <item x="1"/>
        <item t="default"/>
      </items>
    </pivotField>
    <pivotField numFmtId="1" showAll="0"/>
    <pivotField numFmtId="165" showAll="0"/>
    <pivotField numFmtId="165" showAll="0"/>
    <pivotField showAll="0" defaultSubtotal="0"/>
    <pivotField showAll="0" defaultSubtotal="0"/>
    <pivotField showAll="0" defaultSubtotal="0">
      <items count="7">
        <item x="0"/>
        <item x="1"/>
        <item x="2"/>
        <item x="3"/>
        <item x="4"/>
        <item x="5"/>
        <item x="6"/>
      </items>
    </pivotField>
  </pivotFields>
  <rowFields count="1">
    <field x="10"/>
  </rowFields>
  <rowItems count="4">
    <i>
      <x/>
    </i>
    <i>
      <x v="1"/>
    </i>
    <i>
      <x v="2"/>
    </i>
    <i t="grand">
      <x/>
    </i>
  </rowItems>
  <colItems count="1">
    <i/>
  </colItems>
  <dataFields count="1">
    <dataField name="Count of Payment_Method" fld="10" subtotal="count" baseField="0" baseItem="0"/>
  </dataFields>
  <formats count="6">
    <format dxfId="104">
      <pivotArea type="all" dataOnly="0" outline="0" fieldPosition="0"/>
    </format>
    <format dxfId="103">
      <pivotArea outline="0" collapsedLevelsAreSubtotals="1" fieldPosition="0"/>
    </format>
    <format dxfId="102">
      <pivotArea field="10" type="button" dataOnly="0" labelOnly="1" outline="0" axis="axisRow" fieldPosition="0"/>
    </format>
    <format dxfId="101">
      <pivotArea dataOnly="0" labelOnly="1" fieldPosition="0">
        <references count="1">
          <reference field="10" count="0"/>
        </references>
      </pivotArea>
    </format>
    <format dxfId="100">
      <pivotArea dataOnly="0" labelOnly="1" grandRow="1" outline="0" fieldPosition="0"/>
    </format>
    <format dxfId="9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0" count="1" selected="0">
            <x v="2"/>
          </reference>
        </references>
      </pivotArea>
    </chartFormat>
    <chartFormat chart="6" format="6">
      <pivotArea type="data" outline="0" fieldPosition="0">
        <references count="2">
          <reference field="4294967294" count="1" selected="0">
            <x v="0"/>
          </reference>
          <reference field="10" count="1" selected="0">
            <x v="1"/>
          </reference>
        </references>
      </pivotArea>
    </chartFormat>
    <chartFormat chart="6" format="7">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4D5ADA-3996-4B3C-A3E6-FE320AEC4FD1}" name="PivotTable5" cacheId="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4" firstHeaderRow="0" firstDataRow="0" firstDataCol="0"/>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items count="6">
        <item x="1"/>
        <item x="0"/>
        <item x="2"/>
        <item x="3"/>
        <item x="4"/>
        <item t="default"/>
      </items>
    </pivotField>
    <pivotField showAll="0"/>
    <pivotField showAll="0">
      <items count="13">
        <item x="3"/>
        <item x="11"/>
        <item x="5"/>
        <item x="4"/>
        <item x="8"/>
        <item x="1"/>
        <item x="9"/>
        <item x="0"/>
        <item x="10"/>
        <item x="6"/>
        <item x="2"/>
        <item x="7"/>
        <item t="default"/>
      </items>
    </pivotField>
    <pivotField showAll="0"/>
    <pivotField showAll="0"/>
    <pivotField showAll="0"/>
    <pivotField showAll="0">
      <items count="7">
        <item x="4"/>
        <item x="0"/>
        <item x="1"/>
        <item x="3"/>
        <item x="5"/>
        <item x="2"/>
        <item t="default"/>
      </items>
    </pivotField>
    <pivotField showAll="0"/>
    <pivotField showAll="0"/>
    <pivotField numFmtId="1" showAll="0"/>
    <pivotField numFmtId="165" showAll="0"/>
    <pivotField numFmtId="165"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formats count="3">
    <format dxfId="9">
      <pivotArea type="all" dataOnly="0" outline="0" fieldPosition="0"/>
    </format>
    <format dxfId="10">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7EB0DE-0EA1-4F46-9740-34AE25E52E9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items count="6">
        <item x="1"/>
        <item x="0"/>
        <item x="2"/>
        <item x="3"/>
        <item x="4"/>
        <item t="default"/>
      </items>
    </pivotField>
    <pivotField showAll="0"/>
    <pivotField showAll="0">
      <items count="13">
        <item x="3"/>
        <item x="11"/>
        <item x="5"/>
        <item x="4"/>
        <item x="8"/>
        <item x="1"/>
        <item x="9"/>
        <item x="0"/>
        <item x="10"/>
        <item x="6"/>
        <item x="2"/>
        <item x="7"/>
        <item t="default"/>
      </items>
    </pivotField>
    <pivotField showAll="0"/>
    <pivotField showAll="0"/>
    <pivotField showAll="0"/>
    <pivotField showAll="0">
      <items count="7">
        <item x="4"/>
        <item x="0"/>
        <item x="1"/>
        <item x="3"/>
        <item x="5"/>
        <item x="2"/>
        <item t="default"/>
      </items>
    </pivotField>
    <pivotField showAll="0"/>
    <pivotField showAll="0"/>
    <pivotField dataField="1" numFmtId="1" showAll="0"/>
    <pivotField numFmtId="165" showAll="0"/>
    <pivotField numFmtId="165"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Sum of Quantity" fld="11" baseField="0" baseItem="0" numFmtId="1"/>
  </dataFields>
  <formats count="3">
    <format dxfId="107">
      <pivotArea type="all" dataOnly="0" outline="0" fieldPosition="0"/>
    </format>
    <format dxfId="106">
      <pivotArea outline="0" collapsedLevelsAreSubtotals="1" fieldPosition="0"/>
    </format>
    <format dxfId="1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B8889D-E904-4020-AB75-7DC548BA958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6:K65" firstHeaderRow="1" firstDataRow="1" firstDataCol="1"/>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items count="6">
        <item x="1"/>
        <item x="0"/>
        <item x="2"/>
        <item x="3"/>
        <item x="4"/>
        <item t="default"/>
      </items>
    </pivotField>
    <pivotField showAll="0"/>
    <pivotField showAll="0">
      <items count="13">
        <item x="3"/>
        <item x="11"/>
        <item x="5"/>
        <item x="4"/>
        <item x="8"/>
        <item x="1"/>
        <item x="9"/>
        <item x="0"/>
        <item x="10"/>
        <item x="6"/>
        <item x="2"/>
        <item x="7"/>
        <item t="default"/>
      </items>
    </pivotField>
    <pivotField showAll="0"/>
    <pivotField showAll="0"/>
    <pivotField showAll="0"/>
    <pivotField showAll="0">
      <items count="7">
        <item x="4"/>
        <item x="0"/>
        <item x="1"/>
        <item x="3"/>
        <item x="5"/>
        <item x="2"/>
        <item t="default"/>
      </items>
    </pivotField>
    <pivotField showAll="0"/>
    <pivotField showAll="0"/>
    <pivotField numFmtId="1" showAll="0"/>
    <pivotField numFmtId="165" showAll="0"/>
    <pivotField dataField="1" numFmtId="165"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8">
        <item x="0"/>
        <item x="1"/>
        <item x="2"/>
        <item x="3"/>
        <item x="4"/>
        <item x="5"/>
        <item x="6"/>
        <item t="default"/>
      </items>
    </pivotField>
  </pivotFields>
  <rowFields count="2">
    <field x="16"/>
    <field x="14"/>
  </rowFields>
  <rowItems count="5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t="grand">
      <x/>
    </i>
  </rowItems>
  <colItems count="1">
    <i/>
  </colItems>
  <dataFields count="1">
    <dataField name="Sum of Total_Sales" fld="13" baseField="0" baseItem="0" numFmtId="165"/>
  </dataFields>
  <formats count="11">
    <format dxfId="118">
      <pivotArea type="all" dataOnly="0" outline="0" fieldPosition="0"/>
    </format>
    <format dxfId="117">
      <pivotArea outline="0" collapsedLevelsAreSubtotals="1" fieldPosition="0"/>
    </format>
    <format dxfId="116">
      <pivotArea field="16" type="button" dataOnly="0" labelOnly="1" outline="0" axis="axisRow" fieldPosition="0"/>
    </format>
    <format dxfId="115">
      <pivotArea dataOnly="0" labelOnly="1" fieldPosition="0">
        <references count="1">
          <reference field="16" count="5">
            <x v="1"/>
            <x v="2"/>
            <x v="3"/>
            <x v="4"/>
            <x v="5"/>
          </reference>
        </references>
      </pivotArea>
    </format>
    <format dxfId="114">
      <pivotArea dataOnly="0" labelOnly="1" grandRow="1" outline="0" fieldPosition="0"/>
    </format>
    <format dxfId="113">
      <pivotArea dataOnly="0" labelOnly="1" fieldPosition="0">
        <references count="2">
          <reference field="14" count="12">
            <x v="1"/>
            <x v="2"/>
            <x v="3"/>
            <x v="4"/>
            <x v="5"/>
            <x v="6"/>
            <x v="7"/>
            <x v="8"/>
            <x v="9"/>
            <x v="10"/>
            <x v="11"/>
            <x v="12"/>
          </reference>
          <reference field="16" count="1" selected="0">
            <x v="1"/>
          </reference>
        </references>
      </pivotArea>
    </format>
    <format dxfId="112">
      <pivotArea dataOnly="0" labelOnly="1" fieldPosition="0">
        <references count="2">
          <reference field="14" count="12">
            <x v="1"/>
            <x v="2"/>
            <x v="3"/>
            <x v="4"/>
            <x v="5"/>
            <x v="6"/>
            <x v="7"/>
            <x v="8"/>
            <x v="9"/>
            <x v="10"/>
            <x v="11"/>
            <x v="12"/>
          </reference>
          <reference field="16" count="1" selected="0">
            <x v="2"/>
          </reference>
        </references>
      </pivotArea>
    </format>
    <format dxfId="111">
      <pivotArea dataOnly="0" labelOnly="1" fieldPosition="0">
        <references count="2">
          <reference field="14" count="12">
            <x v="1"/>
            <x v="2"/>
            <x v="3"/>
            <x v="4"/>
            <x v="5"/>
            <x v="6"/>
            <x v="7"/>
            <x v="8"/>
            <x v="9"/>
            <x v="10"/>
            <x v="11"/>
            <x v="12"/>
          </reference>
          <reference field="16" count="1" selected="0">
            <x v="3"/>
          </reference>
        </references>
      </pivotArea>
    </format>
    <format dxfId="110">
      <pivotArea dataOnly="0" labelOnly="1" fieldPosition="0">
        <references count="2">
          <reference field="14" count="12">
            <x v="1"/>
            <x v="2"/>
            <x v="3"/>
            <x v="4"/>
            <x v="5"/>
            <x v="6"/>
            <x v="7"/>
            <x v="8"/>
            <x v="9"/>
            <x v="10"/>
            <x v="11"/>
            <x v="12"/>
          </reference>
          <reference field="16" count="1" selected="0">
            <x v="4"/>
          </reference>
        </references>
      </pivotArea>
    </format>
    <format dxfId="109">
      <pivotArea dataOnly="0" labelOnly="1" fieldPosition="0">
        <references count="2">
          <reference field="14" count="5">
            <x v="1"/>
            <x v="2"/>
            <x v="3"/>
            <x v="4"/>
            <x v="5"/>
          </reference>
          <reference field="16" count="1" selected="0">
            <x v="5"/>
          </reference>
        </references>
      </pivotArea>
    </format>
    <format dxfId="108">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4" count="1" selected="0">
            <x v="11"/>
          </reference>
          <reference field="16" count="1" selected="0">
            <x v="2"/>
          </reference>
        </references>
      </pivotArea>
    </chartFormat>
    <chartFormat chart="2" format="4">
      <pivotArea type="data" outline="0" fieldPosition="0">
        <references count="3">
          <reference field="4294967294" count="1" selected="0">
            <x v="0"/>
          </reference>
          <reference field="14" count="1" selected="0">
            <x v="1"/>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FD5D39-7CBB-4D1A-AE58-2EC787BA4A4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M6:O17" firstHeaderRow="0" firstDataRow="1" firstDataCol="1"/>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pivotField showAll="0"/>
    <pivotField showAll="0"/>
    <pivotField showAll="0"/>
    <pivotField axis="axisRow" showAll="0" sortType="descending">
      <items count="11">
        <item x="6"/>
        <item x="5"/>
        <item x="1"/>
        <item x="0"/>
        <item x="3"/>
        <item x="9"/>
        <item x="7"/>
        <item x="4"/>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65" showAll="0"/>
    <pivotField dataField="1" numFmtId="165" showAll="0"/>
    <pivotField showAll="0" defaultSubtotal="0"/>
    <pivotField showAll="0" defaultSubtotal="0"/>
    <pivotField showAll="0" defaultSubtotal="0">
      <items count="7">
        <item x="0"/>
        <item x="1"/>
        <item x="2"/>
        <item x="3"/>
        <item x="4"/>
        <item x="5"/>
        <item x="6"/>
      </items>
    </pivotField>
  </pivotFields>
  <rowFields count="1">
    <field x="6"/>
  </rowFields>
  <rowItems count="11">
    <i>
      <x v="3"/>
    </i>
    <i>
      <x v="7"/>
    </i>
    <i>
      <x v="8"/>
    </i>
    <i>
      <x v="6"/>
    </i>
    <i>
      <x v="2"/>
    </i>
    <i>
      <x v="5"/>
    </i>
    <i>
      <x/>
    </i>
    <i>
      <x v="1"/>
    </i>
    <i>
      <x v="4"/>
    </i>
    <i>
      <x v="9"/>
    </i>
    <i t="grand">
      <x/>
    </i>
  </rowItems>
  <colFields count="1">
    <field x="-2"/>
  </colFields>
  <colItems count="2">
    <i>
      <x/>
    </i>
    <i i="1">
      <x v="1"/>
    </i>
  </colItems>
  <dataFields count="2">
    <dataField name="Sum of Total_Sales" fld="13" baseField="0" baseItem="0" numFmtId="165"/>
    <dataField name="Sum of Total_Sales2" fld="13" showDataAs="percentOfTotal" baseField="0" baseItem="0" numFmtId="10"/>
  </dataFields>
  <formats count="6">
    <format dxfId="124">
      <pivotArea type="all" dataOnly="0" outline="0" fieldPosition="0"/>
    </format>
    <format dxfId="123">
      <pivotArea outline="0" collapsedLevelsAreSubtotals="1" fieldPosition="0"/>
    </format>
    <format dxfId="122">
      <pivotArea field="6" type="button" dataOnly="0" labelOnly="1" outline="0" axis="axisRow" fieldPosition="0"/>
    </format>
    <format dxfId="121">
      <pivotArea dataOnly="0" labelOnly="1" fieldPosition="0">
        <references count="1">
          <reference field="6" count="0"/>
        </references>
      </pivotArea>
    </format>
    <format dxfId="120">
      <pivotArea dataOnly="0" labelOnly="1" grandRow="1" outline="0" fieldPosition="0"/>
    </format>
    <format dxfId="119">
      <pivotArea dataOnly="0" labelOnly="1" outline="0" fieldPosition="0">
        <references count="1">
          <reference field="4294967294" count="2">
            <x v="0"/>
            <x v="1"/>
          </reference>
        </references>
      </pivotArea>
    </format>
  </format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9AADAA-5170-4E35-ABE7-1A89FC747780}"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0:G24" firstHeaderRow="0" firstDataRow="1" firstDataCol="1"/>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items count="6">
        <item x="1"/>
        <item x="0"/>
        <item x="2"/>
        <item x="3"/>
        <item x="4"/>
        <item t="default"/>
      </items>
    </pivotField>
    <pivotField showAll="0"/>
    <pivotField showAll="0">
      <items count="13">
        <item x="3"/>
        <item x="11"/>
        <item x="5"/>
        <item x="4"/>
        <item x="8"/>
        <item x="1"/>
        <item x="9"/>
        <item x="0"/>
        <item x="10"/>
        <item x="6"/>
        <item x="2"/>
        <item x="7"/>
        <item t="default"/>
      </items>
    </pivotField>
    <pivotField showAll="0"/>
    <pivotField showAll="0"/>
    <pivotField showAll="0"/>
    <pivotField showAll="0">
      <items count="7">
        <item x="4"/>
        <item x="0"/>
        <item x="1"/>
        <item x="3"/>
        <item x="5"/>
        <item x="2"/>
        <item t="default"/>
      </items>
    </pivotField>
    <pivotField axis="axisRow" showAll="0">
      <items count="5">
        <item x="1"/>
        <item m="1" x="3"/>
        <item x="2"/>
        <item x="0"/>
        <item t="default"/>
      </items>
    </pivotField>
    <pivotField showAll="0"/>
    <pivotField dataField="1" numFmtId="1" showAll="0"/>
    <pivotField numFmtId="165"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4">
    <i>
      <x/>
    </i>
    <i>
      <x v="2"/>
    </i>
    <i>
      <x v="3"/>
    </i>
    <i t="grand">
      <x/>
    </i>
  </rowItems>
  <colFields count="1">
    <field x="-2"/>
  </colFields>
  <colItems count="3">
    <i>
      <x/>
    </i>
    <i i="1">
      <x v="1"/>
    </i>
    <i i="2">
      <x v="2"/>
    </i>
  </colItems>
  <dataFields count="3">
    <dataField name="Sum of Total_Sales" fld="13" baseField="0" baseItem="0" numFmtId="165"/>
    <dataField name="Average of Total_Sales2" fld="13" subtotal="average" baseField="9" baseItem="0" numFmtId="165"/>
    <dataField name="Sum of Quantity" fld="11" baseField="9" baseItem="0" numFmtId="1"/>
  </dataFields>
  <formats count="6">
    <format dxfId="130">
      <pivotArea type="all" dataOnly="0" outline="0" fieldPosition="0"/>
    </format>
    <format dxfId="129">
      <pivotArea outline="0" collapsedLevelsAreSubtotals="1" fieldPosition="0"/>
    </format>
    <format dxfId="128">
      <pivotArea field="9" type="button" dataOnly="0" labelOnly="1" outline="0" axis="axisRow" fieldPosition="0"/>
    </format>
    <format dxfId="127">
      <pivotArea dataOnly="0" labelOnly="1" fieldPosition="0">
        <references count="1">
          <reference field="9" count="0"/>
        </references>
      </pivotArea>
    </format>
    <format dxfId="126">
      <pivotArea dataOnly="0" labelOnly="1" grandRow="1" outline="0" fieldPosition="0"/>
    </format>
    <format dxfId="12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C1FA7E-BA66-482F-9C98-2993376CA049}"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4" firstHeaderRow="1" firstDataRow="1" firstDataCol="1"/>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items count="6">
        <item x="1"/>
        <item x="0"/>
        <item x="2"/>
        <item x="3"/>
        <item x="4"/>
        <item t="default"/>
      </items>
    </pivotField>
    <pivotField showAll="0"/>
    <pivotField showAll="0">
      <items count="13">
        <item x="3"/>
        <item x="11"/>
        <item x="5"/>
        <item x="4"/>
        <item x="8"/>
        <item x="1"/>
        <item x="9"/>
        <item x="0"/>
        <item x="10"/>
        <item x="6"/>
        <item x="2"/>
        <item x="7"/>
        <item t="default"/>
      </items>
    </pivotField>
    <pivotField showAll="0"/>
    <pivotField axis="axisRow" showAll="0" sortType="descending">
      <items count="11">
        <item x="6"/>
        <item x="5"/>
        <item x="1"/>
        <item x="0"/>
        <item x="3"/>
        <item x="9"/>
        <item x="7"/>
        <item x="4"/>
        <item x="2"/>
        <item x="8"/>
        <item t="default"/>
      </items>
      <autoSortScope>
        <pivotArea dataOnly="0" outline="0" fieldPosition="0">
          <references count="1">
            <reference field="4294967294" count="1" selected="0">
              <x v="0"/>
            </reference>
          </references>
        </pivotArea>
      </autoSortScope>
    </pivotField>
    <pivotField showAll="0"/>
    <pivotField showAll="0">
      <items count="7">
        <item x="4"/>
        <item x="0"/>
        <item x="1"/>
        <item x="3"/>
        <item x="5"/>
        <item x="2"/>
        <item t="default"/>
      </items>
    </pivotField>
    <pivotField showAll="0"/>
    <pivotField showAll="0"/>
    <pivotField dataField="1" numFmtId="1" showAll="0"/>
    <pivotField numFmtId="165" showAll="0"/>
    <pivotField numFmtId="165" showAll="0"/>
    <pivotField showAll="0" defaultSubtotal="0"/>
    <pivotField showAll="0" defaultSubtotal="0"/>
    <pivotField showAll="0" defaultSubtotal="0">
      <items count="7">
        <item x="0"/>
        <item x="1"/>
        <item x="2"/>
        <item x="3"/>
        <item x="4"/>
        <item x="5"/>
        <item x="6"/>
      </items>
    </pivotField>
  </pivotFields>
  <rowFields count="1">
    <field x="6"/>
  </rowFields>
  <rowItems count="11">
    <i>
      <x v="8"/>
    </i>
    <i>
      <x v="9"/>
    </i>
    <i>
      <x v="4"/>
    </i>
    <i>
      <x/>
    </i>
    <i>
      <x v="1"/>
    </i>
    <i>
      <x v="2"/>
    </i>
    <i>
      <x v="5"/>
    </i>
    <i>
      <x v="6"/>
    </i>
    <i>
      <x v="7"/>
    </i>
    <i>
      <x v="3"/>
    </i>
    <i t="grand">
      <x/>
    </i>
  </rowItems>
  <colItems count="1">
    <i/>
  </colItems>
  <dataFields count="1">
    <dataField name="Sum of Quantity" fld="11" baseField="0" baseItem="0" numFmtId="1"/>
  </dataFields>
  <formats count="12">
    <format dxfId="136">
      <pivotArea type="all" dataOnly="0" outline="0" fieldPosition="0"/>
    </format>
    <format dxfId="135">
      <pivotArea outline="0" collapsedLevelsAreSubtotals="1" fieldPosition="0"/>
    </format>
    <format dxfId="134">
      <pivotArea field="6" type="button" dataOnly="0" labelOnly="1" outline="0" axis="axisRow" fieldPosition="0"/>
    </format>
    <format dxfId="133">
      <pivotArea dataOnly="0" labelOnly="1" fieldPosition="0">
        <references count="1">
          <reference field="6" count="0"/>
        </references>
      </pivotArea>
    </format>
    <format dxfId="132">
      <pivotArea dataOnly="0" labelOnly="1" grandRow="1" outline="0" fieldPosition="0"/>
    </format>
    <format dxfId="131">
      <pivotArea dataOnly="0" labelOnly="1" outline="0" axis="axisValues" fieldPosition="0"/>
    </format>
    <format dxfId="89">
      <pivotArea type="all" dataOnly="0" outline="0" fieldPosition="0"/>
    </format>
    <format dxfId="88">
      <pivotArea outline="0" collapsedLevelsAreSubtotals="1" fieldPosition="0"/>
    </format>
    <format dxfId="87">
      <pivotArea field="6" type="button" dataOnly="0" labelOnly="1" outline="0" axis="axisRow" fieldPosition="0"/>
    </format>
    <format dxfId="86">
      <pivotArea dataOnly="0" labelOnly="1" fieldPosition="0">
        <references count="1">
          <reference field="6" count="0"/>
        </references>
      </pivotArea>
    </format>
    <format dxfId="85">
      <pivotArea dataOnly="0" labelOnly="1" grandRow="1" outline="0"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F6C37B-498F-4D0B-81C7-9047189CE451}"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S6:T10" firstHeaderRow="1" firstDataRow="1" firstDataCol="1"/>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items count="6">
        <item x="1"/>
        <item x="0"/>
        <item x="2"/>
        <item x="3"/>
        <item x="4"/>
        <item t="default"/>
      </items>
    </pivotField>
    <pivotField showAll="0"/>
    <pivotField showAll="0">
      <items count="13">
        <item x="3"/>
        <item x="11"/>
        <item x="5"/>
        <item x="4"/>
        <item x="8"/>
        <item x="1"/>
        <item x="9"/>
        <item x="0"/>
        <item x="10"/>
        <item x="6"/>
        <item x="2"/>
        <item x="7"/>
        <item t="default"/>
      </items>
    </pivotField>
    <pivotField showAll="0"/>
    <pivotField showAll="0"/>
    <pivotField showAll="0"/>
    <pivotField showAll="0">
      <items count="7">
        <item x="4"/>
        <item x="0"/>
        <item x="1"/>
        <item x="3"/>
        <item x="5"/>
        <item x="2"/>
        <item t="default"/>
      </items>
    </pivotField>
    <pivotField axis="axisRow" dataField="1" showAll="0" sortType="descending">
      <items count="5">
        <item x="1"/>
        <item m="1" x="3"/>
        <item x="2"/>
        <item x="0"/>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165" showAll="0"/>
    <pivotField showAll="0" defaultSubtotal="0"/>
    <pivotField showAll="0" defaultSubtotal="0"/>
    <pivotField showAll="0" defaultSubtotal="0">
      <items count="7">
        <item x="0"/>
        <item x="1"/>
        <item x="2"/>
        <item x="3"/>
        <item x="4"/>
        <item x="5"/>
        <item x="6"/>
      </items>
    </pivotField>
  </pivotFields>
  <rowFields count="1">
    <field x="9"/>
  </rowFields>
  <rowItems count="4">
    <i>
      <x/>
    </i>
    <i>
      <x v="3"/>
    </i>
    <i>
      <x v="2"/>
    </i>
    <i t="grand">
      <x/>
    </i>
  </rowItems>
  <colItems count="1">
    <i/>
  </colItems>
  <dataFields count="1">
    <dataField name="Count of Customer_Type" fld="9" subtotal="count" baseField="0" baseItem="0"/>
  </dataFields>
  <formats count="6">
    <format dxfId="142">
      <pivotArea type="all" dataOnly="0" outline="0" fieldPosition="0"/>
    </format>
    <format dxfId="141">
      <pivotArea outline="0" collapsedLevelsAreSubtotals="1" fieldPosition="0"/>
    </format>
    <format dxfId="140">
      <pivotArea field="9" type="button" dataOnly="0" labelOnly="1" outline="0" axis="axisRow" fieldPosition="0"/>
    </format>
    <format dxfId="139">
      <pivotArea dataOnly="0" labelOnly="1" fieldPosition="0">
        <references count="1">
          <reference field="9" count="0"/>
        </references>
      </pivotArea>
    </format>
    <format dxfId="138">
      <pivotArea dataOnly="0" labelOnly="1" grandRow="1" outline="0" fieldPosition="0"/>
    </format>
    <format dxfId="13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9" count="1" selected="0">
            <x v="0"/>
          </reference>
        </references>
      </pivotArea>
    </chartFormat>
    <chartFormat chart="32" format="4">
      <pivotArea type="data" outline="0" fieldPosition="0">
        <references count="2">
          <reference field="4294967294" count="1" selected="0">
            <x v="0"/>
          </reference>
          <reference field="9" count="1" selected="0">
            <x v="3"/>
          </reference>
        </references>
      </pivotArea>
    </chartFormat>
    <chartFormat chart="32" format="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3208A5-2988-4899-BE55-EF1EB4BE8CE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B11" firstHeaderRow="1" firstDataRow="1" firstDataCol="1"/>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items count="6">
        <item x="1"/>
        <item x="0"/>
        <item x="2"/>
        <item x="3"/>
        <item x="4"/>
        <item t="default"/>
      </items>
    </pivotField>
    <pivotField showAll="0"/>
    <pivotField showAll="0">
      <items count="13">
        <item x="3"/>
        <item x="11"/>
        <item x="5"/>
        <item x="4"/>
        <item x="8"/>
        <item x="1"/>
        <item x="9"/>
        <item x="0"/>
        <item x="10"/>
        <item x="6"/>
        <item x="2"/>
        <item x="7"/>
        <item t="default"/>
      </items>
    </pivotField>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7">
        <item x="4"/>
        <item x="0"/>
        <item x="1"/>
        <item x="3"/>
        <item x="5"/>
        <item x="2"/>
        <item t="default"/>
      </items>
    </pivotField>
    <pivotField showAll="0"/>
    <pivotField showAll="0"/>
    <pivotField dataField="1" numFmtId="1" showAll="0"/>
    <pivotField numFmtId="165" showAll="0"/>
    <pivotField numFmtId="165" showAll="0"/>
    <pivotField showAll="0" defaultSubtotal="0"/>
    <pivotField showAll="0" defaultSubtotal="0"/>
    <pivotField showAll="0" defaultSubtotal="0">
      <items count="7">
        <item x="0"/>
        <item x="1"/>
        <item x="2"/>
        <item x="3"/>
        <item x="4"/>
        <item x="5"/>
        <item x="6"/>
      </items>
    </pivotField>
  </pivotFields>
  <rowFields count="1">
    <field x="7"/>
  </rowFields>
  <rowItems count="5">
    <i>
      <x/>
    </i>
    <i>
      <x v="2"/>
    </i>
    <i>
      <x v="1"/>
    </i>
    <i>
      <x v="3"/>
    </i>
    <i t="grand">
      <x/>
    </i>
  </rowItems>
  <colItems count="1">
    <i/>
  </colItems>
  <dataFields count="1">
    <dataField name="Sum of Quantity" fld="11" showDataAs="percentOfTotal" baseField="0" baseItem="0" numFmtId="10"/>
  </dataFields>
  <formats count="12">
    <format dxfId="148">
      <pivotArea type="all" dataOnly="0" outline="0" fieldPosition="0"/>
    </format>
    <format dxfId="147">
      <pivotArea outline="0" collapsedLevelsAreSubtotals="1" fieldPosition="0"/>
    </format>
    <format dxfId="146">
      <pivotArea field="7" type="button" dataOnly="0" labelOnly="1" outline="0" axis="axisRow" fieldPosition="0"/>
    </format>
    <format dxfId="145">
      <pivotArea dataOnly="0" labelOnly="1" fieldPosition="0">
        <references count="1">
          <reference field="7" count="0"/>
        </references>
      </pivotArea>
    </format>
    <format dxfId="144">
      <pivotArea dataOnly="0" labelOnly="1" grandRow="1" outline="0" fieldPosition="0"/>
    </format>
    <format dxfId="143">
      <pivotArea dataOnly="0" labelOnly="1" outline="0" axis="axisValues" fieldPosition="0"/>
    </format>
    <format dxfId="83">
      <pivotArea type="all" dataOnly="0" outline="0" fieldPosition="0"/>
    </format>
    <format dxfId="82">
      <pivotArea outline="0" collapsedLevelsAreSubtotals="1" fieldPosition="0"/>
    </format>
    <format dxfId="81">
      <pivotArea field="7" type="button" dataOnly="0" labelOnly="1" outline="0" axis="axisRow" fieldPosition="0"/>
    </format>
    <format dxfId="80">
      <pivotArea dataOnly="0" labelOnly="1" fieldPosition="0">
        <references count="1">
          <reference field="7" count="0"/>
        </references>
      </pivotArea>
    </format>
    <format dxfId="79">
      <pivotArea dataOnly="0" labelOnly="1" grandRow="1" outline="0" fieldPosition="0"/>
    </format>
    <format dxfId="78">
      <pivotArea dataOnly="0" labelOnly="1" outline="0" axis="axisValues" fieldPosition="0"/>
    </format>
  </formats>
  <chartFormats count="5">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7" count="1" selected="0">
            <x v="3"/>
          </reference>
        </references>
      </pivotArea>
    </chartFormat>
    <chartFormat chart="3" format="13">
      <pivotArea type="data" outline="0" fieldPosition="0">
        <references count="2">
          <reference field="4294967294" count="1" selected="0">
            <x v="0"/>
          </reference>
          <reference field="7" count="1" selected="0">
            <x v="2"/>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298859-262A-4ABD-B31D-233508BCEBA9}"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H13" firstHeaderRow="1" firstDataRow="1" firstDataCol="1"/>
  <pivotFields count="17">
    <pivotField showAll="0"/>
    <pivotField numFmtId="16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pivotField showAll="0"/>
    <pivotField showAll="0"/>
    <pivotField showAll="0"/>
    <pivotField showAll="0"/>
    <pivotField showAll="0"/>
    <pivotField axis="axisRow" showAll="0">
      <items count="7">
        <item x="4"/>
        <item x="0"/>
        <item x="1"/>
        <item x="3"/>
        <item x="5"/>
        <item x="2"/>
        <item t="default"/>
      </items>
    </pivotField>
    <pivotField showAll="0"/>
    <pivotField showAll="0"/>
    <pivotField numFmtId="1" showAll="0"/>
    <pivotField numFmtId="165" showAll="0"/>
    <pivotField dataField="1" numFmtId="165" showAll="0"/>
    <pivotField showAll="0" defaultSubtotal="0"/>
    <pivotField showAll="0" defaultSubtotal="0"/>
    <pivotField showAll="0" defaultSubtotal="0">
      <items count="7">
        <item x="0"/>
        <item x="1"/>
        <item x="2"/>
        <item x="3"/>
        <item x="4"/>
        <item x="5"/>
        <item x="6"/>
      </items>
    </pivotField>
  </pivotFields>
  <rowFields count="1">
    <field x="8"/>
  </rowFields>
  <rowItems count="7">
    <i>
      <x/>
    </i>
    <i>
      <x v="1"/>
    </i>
    <i>
      <x v="2"/>
    </i>
    <i>
      <x v="3"/>
    </i>
    <i>
      <x v="4"/>
    </i>
    <i>
      <x v="5"/>
    </i>
    <i t="grand">
      <x/>
    </i>
  </rowItems>
  <colItems count="1">
    <i/>
  </colItems>
  <dataFields count="1">
    <dataField name="Sum of Total_Sales" fld="13" baseField="0" baseItem="0" numFmtId="165"/>
  </dataFields>
  <formats count="6">
    <format dxfId="154">
      <pivotArea type="all" dataOnly="0" outline="0" fieldPosition="0"/>
    </format>
    <format dxfId="153">
      <pivotArea outline="0" collapsedLevelsAreSubtotals="1" fieldPosition="0"/>
    </format>
    <format dxfId="152">
      <pivotArea field="8" type="button" dataOnly="0" labelOnly="1" outline="0" axis="axisRow" fieldPosition="0"/>
    </format>
    <format dxfId="151">
      <pivotArea dataOnly="0" labelOnly="1" fieldPosition="0">
        <references count="1">
          <reference field="8" count="0"/>
        </references>
      </pivotArea>
    </format>
    <format dxfId="150">
      <pivotArea dataOnly="0" labelOnly="1" grandRow="1" outline="0" fieldPosition="0"/>
    </format>
    <format dxfId="1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2628B9-DAC7-45B9-90B9-F7B7C23EA712}" sourceName="Year">
  <pivotTables>
    <pivotTable tabId="5" name="PivotTable7"/>
    <pivotTable tabId="5" name="PivotTable6"/>
    <pivotTable tabId="5" name="PivotTable8"/>
    <pivotTable tabId="5" name="PivotTable1"/>
    <pivotTable tabId="5" name="PivotTable3"/>
    <pivotTable tabId="5" name="PivotTable4"/>
    <pivotTable tabId="5" name="PivotTable5"/>
    <pivotTable tabId="5" name="PivotTable9"/>
    <pivotTable tabId="5" name="PivotTable16"/>
    <pivotTable tabId="5" name="PivotTable17"/>
  </pivotTables>
  <data>
    <tabular pivotCacheId="1066533888">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9C84C8-7E5D-4DAC-93B0-D151DC67EC9D}" sourceName="Region">
  <pivotTables>
    <pivotTable tabId="5" name="PivotTable7"/>
    <pivotTable tabId="5" name="PivotTable6"/>
    <pivotTable tabId="5" name="PivotTable8"/>
    <pivotTable tabId="5" name="PivotTable1"/>
    <pivotTable tabId="5" name="PivotTable3"/>
    <pivotTable tabId="5" name="PivotTable4"/>
    <pivotTable tabId="5" name="PivotTable5"/>
    <pivotTable tabId="5" name="PivotTable9"/>
    <pivotTable tabId="5" name="PivotTable16"/>
    <pivotTable tabId="5" name="PivotTable17"/>
  </pivotTables>
  <data>
    <tabular pivotCacheId="1066533888">
      <items count="6">
        <i x="4" s="1"/>
        <i x="0" s="1"/>
        <i x="1" s="1"/>
        <i x="3"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79BF509-6577-4885-ABBB-2D10D01E0266}" sourceName="Month_Name">
  <pivotTables>
    <pivotTable tabId="5" name="PivotTable7"/>
    <pivotTable tabId="5" name="PivotTable6"/>
    <pivotTable tabId="5" name="PivotTable8"/>
    <pivotTable tabId="5" name="PivotTable1"/>
    <pivotTable tabId="5" name="PivotTable3"/>
    <pivotTable tabId="5" name="PivotTable4"/>
    <pivotTable tabId="5" name="PivotTable5"/>
    <pivotTable tabId="5" name="PivotTable9"/>
    <pivotTable tabId="5" name="PivotTable16"/>
    <pivotTable tabId="5" name="PivotTable17"/>
  </pivotTables>
  <data>
    <tabular pivotCacheId="1066533888">
      <items count="12">
        <i x="3" s="1"/>
        <i x="11" s="1"/>
        <i x="5" s="1"/>
        <i x="4" s="1"/>
        <i x="8" s="1"/>
        <i x="1" s="1"/>
        <i x="9" s="1"/>
        <i x="0" s="1"/>
        <i x="10" s="1"/>
        <i x="6"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F29E231-D5C6-4368-8352-EFD0B0F2D7A7}" cache="Slicer_Year" caption="Year" style="Slicer Style 2" rowHeight="252000"/>
  <slicer name="Region 2" xr10:uid="{A53CE275-1A3F-48D6-8237-CA94FCEE136E}" cache="Slicer_Region" caption="Region" style="Slicer Style 2 2 2" rowHeight="252000"/>
  <slicer name="Month_Name 2" xr10:uid="{ABA8B837-A424-4B1D-B8A0-10808473D481}" cache="Slicer_Month_Name" caption="Month" style="Slicer Style 2" rowHeight="252000"/>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pattFill prst="pct5">
          <a:fgClr>
            <a:schemeClr val="lt1"/>
          </a:fgClr>
          <a:bgClr>
            <a:schemeClr val="bg1"/>
          </a:bgClr>
        </a:pattFill>
      </a:spPr>
      <a:bodyPr vertOverflow="clip" horzOverflow="clip" rtlCol="0" anchor="t"/>
      <a:lstStyle>
        <a:defPPr algn="l">
          <a:defRPr sz="1600" b="1">
            <a:latin typeface="Arial Black" panose="020B0A04020102020204" pitchFamily="34" charset="0"/>
          </a:defRPr>
        </a:defPPr>
      </a:lstStyle>
      <a:style>
        <a:lnRef idx="2">
          <a:schemeClr val="accent6"/>
        </a:lnRef>
        <a:fillRef idx="1">
          <a:schemeClr val="lt1"/>
        </a:fillRef>
        <a:effectRef idx="0">
          <a:schemeClr val="accent6"/>
        </a:effectRef>
        <a:fontRef idx="minor">
          <a:schemeClr val="dk1"/>
        </a:fontRef>
      </a:style>
    </a:spDef>
    <a:txDef>
      <a:spPr>
        <a:solidFill>
          <a:schemeClr val="lt1"/>
        </a:solidFill>
        <a:ln w="9525" cmpd="sng">
          <a:solidFill>
            <a:schemeClr val="lt1">
              <a:shade val="50000"/>
            </a:schemeClr>
          </a:solidFill>
        </a:ln>
      </a:spPr>
      <a:bodyPr vertOverflow="clip" horzOverflow="clip" wrap="square" rtlCol="0" anchor="t"/>
      <a:lstStyle>
        <a:defPPr algn="l">
          <a:defRPr sz="1800" b="0" i="0" u="none" strike="noStrike">
            <a:solidFill>
              <a:srgbClr val="000000"/>
            </a:solidFill>
            <a:latin typeface="Arial" panose="020B0604020202020204" pitchFamily="34" charset="0"/>
            <a:ea typeface="Calibri"/>
            <a:cs typeface="Arial" panose="020B0604020202020204" pitchFamily="34"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4.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A004-391B-4417-B7F8-6115BAC86EC4}">
  <dimension ref="A1:N1502"/>
  <sheetViews>
    <sheetView topLeftCell="A1477" workbookViewId="0">
      <selection activeCell="N1503" sqref="N1503"/>
    </sheetView>
  </sheetViews>
  <sheetFormatPr defaultRowHeight="14.4" x14ac:dyDescent="0.3"/>
  <cols>
    <col min="2" max="2" width="10.5546875" style="1" bestFit="1" customWidth="1"/>
    <col min="5" max="5" width="14.109375" bestFit="1" customWidth="1"/>
    <col min="7" max="7" width="13.33203125" bestFit="1" customWidth="1"/>
    <col min="8" max="8" width="9.88671875" bestFit="1" customWidth="1"/>
    <col min="9" max="9" width="9.77734375" bestFit="1" customWidth="1"/>
    <col min="10" max="10" width="13.88671875" bestFit="1" customWidth="1"/>
    <col min="11" max="11" width="15.6640625" bestFit="1" customWidth="1"/>
    <col min="12" max="12" width="8" style="2" bestFit="1" customWidth="1"/>
    <col min="13" max="13" width="12.44140625" style="10" bestFit="1" customWidth="1"/>
    <col min="14" max="14" width="12.109375" style="7" bestFit="1" customWidth="1"/>
  </cols>
  <sheetData>
    <row r="1" spans="1:14" x14ac:dyDescent="0.3">
      <c r="A1" s="3" t="s">
        <v>1498</v>
      </c>
      <c r="B1" s="4" t="s">
        <v>1499</v>
      </c>
      <c r="C1" s="3" t="s">
        <v>1500</v>
      </c>
      <c r="D1" s="3" t="s">
        <v>1501</v>
      </c>
      <c r="E1" s="3" t="s">
        <v>1539</v>
      </c>
      <c r="F1" s="3" t="s">
        <v>1502</v>
      </c>
      <c r="G1" s="3" t="s">
        <v>1503</v>
      </c>
      <c r="H1" s="3" t="s">
        <v>1504</v>
      </c>
      <c r="I1" s="3" t="s">
        <v>1505</v>
      </c>
      <c r="J1" s="3" t="s">
        <v>1506</v>
      </c>
      <c r="K1" s="3" t="s">
        <v>1507</v>
      </c>
      <c r="L1" s="5" t="s">
        <v>1508</v>
      </c>
      <c r="M1" s="9" t="s">
        <v>1509</v>
      </c>
      <c r="N1" s="6" t="s">
        <v>1510</v>
      </c>
    </row>
    <row r="2" spans="1:14" x14ac:dyDescent="0.3">
      <c r="A2">
        <v>1001</v>
      </c>
      <c r="B2" s="1">
        <v>45144</v>
      </c>
      <c r="C2">
        <v>2023</v>
      </c>
      <c r="D2">
        <v>8</v>
      </c>
      <c r="E2" t="str">
        <f>TEXT(DATE(2026, D2, 1), "[$-id-ID]mmmm")</f>
        <v>Agustus</v>
      </c>
      <c r="F2">
        <v>3</v>
      </c>
      <c r="G2" t="s">
        <v>1511</v>
      </c>
      <c r="H2" t="s">
        <v>1512</v>
      </c>
      <c r="I2" t="s">
        <v>1513</v>
      </c>
      <c r="J2" t="s">
        <v>1566</v>
      </c>
      <c r="K2" t="s">
        <v>1514</v>
      </c>
      <c r="L2" s="2">
        <v>2</v>
      </c>
      <c r="M2" s="10">
        <v>50353</v>
      </c>
      <c r="N2" s="7">
        <v>100706</v>
      </c>
    </row>
    <row r="3" spans="1:14" x14ac:dyDescent="0.3">
      <c r="A3">
        <v>1002</v>
      </c>
      <c r="B3" s="1">
        <v>44718</v>
      </c>
      <c r="C3">
        <v>2022</v>
      </c>
      <c r="D3">
        <v>6</v>
      </c>
      <c r="E3" t="str">
        <f t="shared" ref="E3:E66" si="0">TEXT(DATE(2026, D3, 1), "[$-id-ID]mmmm")</f>
        <v>Juni</v>
      </c>
      <c r="F3">
        <v>2</v>
      </c>
      <c r="G3" t="s">
        <v>1515</v>
      </c>
      <c r="H3" t="s">
        <v>1512</v>
      </c>
      <c r="I3" t="s">
        <v>1516</v>
      </c>
      <c r="J3" t="s">
        <v>1517</v>
      </c>
      <c r="K3" t="s">
        <v>1518</v>
      </c>
      <c r="L3" s="2">
        <v>2</v>
      </c>
      <c r="M3" s="10">
        <v>2008</v>
      </c>
      <c r="N3" s="7">
        <v>4016</v>
      </c>
    </row>
    <row r="4" spans="1:14" x14ac:dyDescent="0.3">
      <c r="A4">
        <v>1004</v>
      </c>
      <c r="B4" s="1">
        <v>45097</v>
      </c>
      <c r="C4">
        <v>2023</v>
      </c>
      <c r="D4">
        <v>6</v>
      </c>
      <c r="E4" t="str">
        <f t="shared" si="0"/>
        <v>Juni</v>
      </c>
      <c r="F4">
        <v>2</v>
      </c>
      <c r="G4" t="s">
        <v>1519</v>
      </c>
      <c r="H4" t="s">
        <v>1520</v>
      </c>
      <c r="I4" t="s">
        <v>1521</v>
      </c>
      <c r="J4" t="s">
        <v>1566</v>
      </c>
      <c r="K4" t="s">
        <v>1514</v>
      </c>
      <c r="L4" s="2">
        <v>2</v>
      </c>
      <c r="M4" s="10">
        <v>10072</v>
      </c>
      <c r="N4" s="7">
        <v>20144</v>
      </c>
    </row>
    <row r="5" spans="1:14" x14ac:dyDescent="0.3">
      <c r="A5">
        <v>1005</v>
      </c>
      <c r="B5" s="1">
        <v>45599</v>
      </c>
      <c r="C5">
        <v>2024</v>
      </c>
      <c r="D5">
        <v>11</v>
      </c>
      <c r="E5" t="str">
        <f t="shared" si="0"/>
        <v>November</v>
      </c>
      <c r="F5">
        <v>4</v>
      </c>
      <c r="G5" t="s">
        <v>1522</v>
      </c>
      <c r="H5" t="s">
        <v>1520</v>
      </c>
      <c r="I5" t="s">
        <v>1521</v>
      </c>
      <c r="J5" t="s">
        <v>1517</v>
      </c>
      <c r="K5" t="s">
        <v>1518</v>
      </c>
      <c r="L5" s="2">
        <v>2</v>
      </c>
      <c r="M5" s="10">
        <v>920</v>
      </c>
      <c r="N5" s="7">
        <v>1840</v>
      </c>
    </row>
    <row r="6" spans="1:14" x14ac:dyDescent="0.3">
      <c r="A6">
        <v>1005</v>
      </c>
      <c r="B6" s="1">
        <v>44939</v>
      </c>
      <c r="C6">
        <v>2023</v>
      </c>
      <c r="D6">
        <v>1</v>
      </c>
      <c r="E6" t="str">
        <f t="shared" si="0"/>
        <v>Januari</v>
      </c>
      <c r="F6">
        <v>1</v>
      </c>
      <c r="G6" t="s">
        <v>1522</v>
      </c>
      <c r="H6" t="s">
        <v>1520</v>
      </c>
      <c r="I6" t="s">
        <v>1521</v>
      </c>
      <c r="J6" t="s">
        <v>1517</v>
      </c>
      <c r="K6" t="s">
        <v>1518</v>
      </c>
      <c r="L6" s="2">
        <v>2</v>
      </c>
      <c r="M6" s="10">
        <v>920</v>
      </c>
      <c r="N6" s="7">
        <v>1840</v>
      </c>
    </row>
    <row r="7" spans="1:14" x14ac:dyDescent="0.3">
      <c r="A7">
        <v>1005</v>
      </c>
      <c r="B7" s="1">
        <v>45022</v>
      </c>
      <c r="C7">
        <v>2023</v>
      </c>
      <c r="D7">
        <v>4</v>
      </c>
      <c r="E7" t="str">
        <f t="shared" si="0"/>
        <v>April</v>
      </c>
      <c r="F7">
        <v>2</v>
      </c>
      <c r="G7" t="s">
        <v>1522</v>
      </c>
      <c r="H7" t="s">
        <v>1520</v>
      </c>
      <c r="I7" t="s">
        <v>1521</v>
      </c>
      <c r="J7" t="s">
        <v>1517</v>
      </c>
      <c r="K7" t="s">
        <v>1518</v>
      </c>
      <c r="L7" s="2">
        <v>2</v>
      </c>
      <c r="M7" s="10">
        <v>920</v>
      </c>
      <c r="N7" s="7">
        <v>1840</v>
      </c>
    </row>
    <row r="8" spans="1:14" x14ac:dyDescent="0.3">
      <c r="A8">
        <v>1006</v>
      </c>
      <c r="B8" s="1">
        <v>44735</v>
      </c>
      <c r="C8">
        <v>2022</v>
      </c>
      <c r="D8">
        <v>6</v>
      </c>
      <c r="E8" t="str">
        <f t="shared" si="0"/>
        <v>Juni</v>
      </c>
      <c r="F8">
        <v>2</v>
      </c>
      <c r="G8" t="s">
        <v>1523</v>
      </c>
      <c r="H8" t="s">
        <v>1512</v>
      </c>
      <c r="I8" t="s">
        <v>1516</v>
      </c>
      <c r="J8" t="s">
        <v>1524</v>
      </c>
      <c r="K8" t="s">
        <v>1525</v>
      </c>
      <c r="L8" s="2">
        <v>1</v>
      </c>
      <c r="M8" s="10">
        <v>13225</v>
      </c>
      <c r="N8" s="7">
        <v>13225</v>
      </c>
    </row>
    <row r="9" spans="1:14" x14ac:dyDescent="0.3">
      <c r="A9">
        <v>1006</v>
      </c>
      <c r="B9" s="1">
        <v>44996</v>
      </c>
      <c r="C9">
        <v>2023</v>
      </c>
      <c r="D9">
        <v>3</v>
      </c>
      <c r="E9" t="str">
        <f t="shared" si="0"/>
        <v>Maret</v>
      </c>
      <c r="F9">
        <v>1</v>
      </c>
      <c r="G9" t="s">
        <v>1523</v>
      </c>
      <c r="H9" t="s">
        <v>1512</v>
      </c>
      <c r="I9" t="s">
        <v>1516</v>
      </c>
      <c r="J9" t="s">
        <v>1524</v>
      </c>
      <c r="K9" t="s">
        <v>1525</v>
      </c>
      <c r="L9" s="2">
        <v>1</v>
      </c>
      <c r="M9" s="10">
        <v>13225</v>
      </c>
      <c r="N9" s="7">
        <v>13225</v>
      </c>
    </row>
    <row r="10" spans="1:14" x14ac:dyDescent="0.3">
      <c r="A10">
        <v>1006</v>
      </c>
      <c r="B10" s="1">
        <v>45578</v>
      </c>
      <c r="C10">
        <v>2024</v>
      </c>
      <c r="D10">
        <v>10</v>
      </c>
      <c r="E10" t="str">
        <f t="shared" si="0"/>
        <v>Oktober</v>
      </c>
      <c r="F10">
        <v>4</v>
      </c>
      <c r="G10" t="s">
        <v>1523</v>
      </c>
      <c r="H10" t="s">
        <v>1512</v>
      </c>
      <c r="I10" t="s">
        <v>1516</v>
      </c>
      <c r="J10" t="s">
        <v>1524</v>
      </c>
      <c r="K10" t="s">
        <v>1525</v>
      </c>
      <c r="L10" s="2">
        <v>1</v>
      </c>
      <c r="M10" s="10">
        <v>13225</v>
      </c>
      <c r="N10" s="7">
        <v>13225</v>
      </c>
    </row>
    <row r="11" spans="1:14" x14ac:dyDescent="0.3">
      <c r="A11">
        <v>1006</v>
      </c>
      <c r="B11" s="1">
        <v>45278</v>
      </c>
      <c r="C11">
        <v>2023</v>
      </c>
      <c r="D11">
        <v>12</v>
      </c>
      <c r="E11" t="str">
        <f t="shared" si="0"/>
        <v>Desember</v>
      </c>
      <c r="F11">
        <v>4</v>
      </c>
      <c r="G11" t="s">
        <v>1523</v>
      </c>
      <c r="H11" t="s">
        <v>1512</v>
      </c>
      <c r="I11" t="s">
        <v>1516</v>
      </c>
      <c r="J11" t="s">
        <v>1524</v>
      </c>
      <c r="K11" t="s">
        <v>1525</v>
      </c>
      <c r="L11" s="2">
        <v>1</v>
      </c>
      <c r="M11" s="10">
        <v>13225</v>
      </c>
      <c r="N11" s="7">
        <v>13225</v>
      </c>
    </row>
    <row r="12" spans="1:14" x14ac:dyDescent="0.3">
      <c r="A12">
        <v>1007</v>
      </c>
      <c r="B12" s="1">
        <v>44947</v>
      </c>
      <c r="C12">
        <v>2023</v>
      </c>
      <c r="D12">
        <v>1</v>
      </c>
      <c r="E12" t="str">
        <f t="shared" si="0"/>
        <v>Januari</v>
      </c>
      <c r="F12">
        <v>1</v>
      </c>
      <c r="G12" t="s">
        <v>1526</v>
      </c>
      <c r="H12" t="s">
        <v>1527</v>
      </c>
      <c r="I12" t="s">
        <v>1528</v>
      </c>
      <c r="J12" t="s">
        <v>1566</v>
      </c>
      <c r="K12" t="s">
        <v>1518</v>
      </c>
      <c r="L12" s="2">
        <v>3</v>
      </c>
      <c r="M12" s="10">
        <v>621</v>
      </c>
      <c r="N12" s="7">
        <v>1863</v>
      </c>
    </row>
    <row r="13" spans="1:14" x14ac:dyDescent="0.3">
      <c r="A13">
        <v>1008</v>
      </c>
      <c r="B13" s="1">
        <v>45144</v>
      </c>
      <c r="C13">
        <v>2023</v>
      </c>
      <c r="D13">
        <v>8</v>
      </c>
      <c r="E13" t="str">
        <f t="shared" si="0"/>
        <v>Agustus</v>
      </c>
      <c r="F13">
        <v>3</v>
      </c>
      <c r="G13" t="s">
        <v>1529</v>
      </c>
      <c r="H13" t="s">
        <v>1530</v>
      </c>
      <c r="I13" t="s">
        <v>1531</v>
      </c>
      <c r="J13" t="s">
        <v>1517</v>
      </c>
      <c r="K13" t="s">
        <v>1525</v>
      </c>
      <c r="L13" s="2">
        <v>2</v>
      </c>
      <c r="M13" s="10">
        <v>905</v>
      </c>
      <c r="N13" s="7">
        <v>1810</v>
      </c>
    </row>
    <row r="14" spans="1:14" x14ac:dyDescent="0.3">
      <c r="A14">
        <v>1008</v>
      </c>
      <c r="B14" s="1">
        <v>45075</v>
      </c>
      <c r="C14">
        <v>2023</v>
      </c>
      <c r="D14">
        <v>5</v>
      </c>
      <c r="E14" t="str">
        <f t="shared" si="0"/>
        <v>Mei</v>
      </c>
      <c r="F14">
        <v>2</v>
      </c>
      <c r="G14" t="s">
        <v>1529</v>
      </c>
      <c r="H14" t="s">
        <v>1530</v>
      </c>
      <c r="I14" t="s">
        <v>1531</v>
      </c>
      <c r="J14" t="s">
        <v>1517</v>
      </c>
      <c r="K14" t="s">
        <v>1525</v>
      </c>
      <c r="L14" s="2">
        <v>2</v>
      </c>
      <c r="M14" s="10">
        <v>905</v>
      </c>
      <c r="N14" s="7">
        <v>1810</v>
      </c>
    </row>
    <row r="15" spans="1:14" x14ac:dyDescent="0.3">
      <c r="A15">
        <v>1008</v>
      </c>
      <c r="B15" s="1">
        <v>45274</v>
      </c>
      <c r="C15">
        <v>2023</v>
      </c>
      <c r="D15">
        <v>12</v>
      </c>
      <c r="E15" t="str">
        <f t="shared" si="0"/>
        <v>Desember</v>
      </c>
      <c r="F15">
        <v>4</v>
      </c>
      <c r="G15" t="s">
        <v>1529</v>
      </c>
      <c r="H15" t="s">
        <v>1530</v>
      </c>
      <c r="I15" t="s">
        <v>1531</v>
      </c>
      <c r="J15" t="s">
        <v>1517</v>
      </c>
      <c r="K15" t="s">
        <v>1525</v>
      </c>
      <c r="L15" s="2">
        <v>2</v>
      </c>
      <c r="M15" s="10">
        <v>905</v>
      </c>
      <c r="N15" s="7">
        <v>1810</v>
      </c>
    </row>
    <row r="16" spans="1:14" x14ac:dyDescent="0.3">
      <c r="A16">
        <v>1008</v>
      </c>
      <c r="B16" s="1">
        <v>45581</v>
      </c>
      <c r="C16">
        <v>2024</v>
      </c>
      <c r="D16">
        <v>10</v>
      </c>
      <c r="E16" t="str">
        <f t="shared" si="0"/>
        <v>Oktober</v>
      </c>
      <c r="F16">
        <v>4</v>
      </c>
      <c r="G16" t="s">
        <v>1529</v>
      </c>
      <c r="H16" t="s">
        <v>1530</v>
      </c>
      <c r="I16" t="s">
        <v>1531</v>
      </c>
      <c r="J16" t="s">
        <v>1517</v>
      </c>
      <c r="K16" t="s">
        <v>1525</v>
      </c>
      <c r="L16" s="2">
        <v>2</v>
      </c>
      <c r="M16" s="10">
        <v>905</v>
      </c>
      <c r="N16" s="7">
        <v>1810</v>
      </c>
    </row>
    <row r="17" spans="1:14" x14ac:dyDescent="0.3">
      <c r="A17">
        <v>1009</v>
      </c>
      <c r="B17" s="1">
        <v>44686</v>
      </c>
      <c r="C17">
        <v>2022</v>
      </c>
      <c r="D17">
        <v>5</v>
      </c>
      <c r="E17" t="str">
        <f t="shared" si="0"/>
        <v>Mei</v>
      </c>
      <c r="F17">
        <v>2</v>
      </c>
      <c r="G17" t="s">
        <v>1532</v>
      </c>
      <c r="H17" t="s">
        <v>1512</v>
      </c>
      <c r="I17" t="s">
        <v>1528</v>
      </c>
      <c r="J17" t="s">
        <v>1524</v>
      </c>
      <c r="K17" t="s">
        <v>1514</v>
      </c>
      <c r="L17" s="2">
        <v>1</v>
      </c>
      <c r="M17" s="10">
        <v>8563</v>
      </c>
      <c r="N17" s="7">
        <v>8563</v>
      </c>
    </row>
    <row r="18" spans="1:14" x14ac:dyDescent="0.3">
      <c r="A18">
        <v>1009</v>
      </c>
      <c r="B18" s="1">
        <v>44944</v>
      </c>
      <c r="C18">
        <v>2023</v>
      </c>
      <c r="D18">
        <v>1</v>
      </c>
      <c r="E18" t="str">
        <f t="shared" si="0"/>
        <v>Januari</v>
      </c>
      <c r="F18">
        <v>1</v>
      </c>
      <c r="G18" t="s">
        <v>1532</v>
      </c>
      <c r="H18" t="s">
        <v>1512</v>
      </c>
      <c r="I18" t="s">
        <v>1528</v>
      </c>
      <c r="J18" t="s">
        <v>1524</v>
      </c>
      <c r="K18" t="s">
        <v>1514</v>
      </c>
      <c r="L18" s="2">
        <v>1</v>
      </c>
      <c r="M18" s="10">
        <v>8563</v>
      </c>
      <c r="N18" s="7">
        <v>8563</v>
      </c>
    </row>
    <row r="19" spans="1:14" x14ac:dyDescent="0.3">
      <c r="A19">
        <v>1009</v>
      </c>
      <c r="B19" s="1">
        <v>44914</v>
      </c>
      <c r="C19">
        <v>2022</v>
      </c>
      <c r="D19">
        <v>12</v>
      </c>
      <c r="E19" t="str">
        <f t="shared" si="0"/>
        <v>Desember</v>
      </c>
      <c r="F19">
        <v>4</v>
      </c>
      <c r="G19" t="s">
        <v>1532</v>
      </c>
      <c r="H19" t="s">
        <v>1512</v>
      </c>
      <c r="I19" t="s">
        <v>1528</v>
      </c>
      <c r="J19" t="s">
        <v>1524</v>
      </c>
      <c r="K19" t="s">
        <v>1514</v>
      </c>
      <c r="L19" s="2">
        <v>1</v>
      </c>
      <c r="M19" s="10">
        <v>8563</v>
      </c>
      <c r="N19" s="7">
        <v>8563</v>
      </c>
    </row>
    <row r="20" spans="1:14" x14ac:dyDescent="0.3">
      <c r="A20">
        <v>1010</v>
      </c>
      <c r="B20" s="1">
        <v>45130</v>
      </c>
      <c r="C20">
        <v>2023</v>
      </c>
      <c r="D20">
        <v>7</v>
      </c>
      <c r="E20" t="str">
        <f t="shared" si="0"/>
        <v>Juli</v>
      </c>
      <c r="F20">
        <v>3</v>
      </c>
      <c r="G20" t="s">
        <v>1533</v>
      </c>
      <c r="H20" t="s">
        <v>1520</v>
      </c>
      <c r="I20" t="s">
        <v>1513</v>
      </c>
      <c r="J20" t="s">
        <v>1517</v>
      </c>
      <c r="K20" t="s">
        <v>1518</v>
      </c>
      <c r="L20" s="2">
        <v>1</v>
      </c>
      <c r="M20" s="10">
        <v>268</v>
      </c>
      <c r="N20" s="7">
        <v>268</v>
      </c>
    </row>
    <row r="21" spans="1:14" x14ac:dyDescent="0.3">
      <c r="A21">
        <v>1010</v>
      </c>
      <c r="B21" s="1">
        <v>45169</v>
      </c>
      <c r="C21">
        <v>2023</v>
      </c>
      <c r="D21">
        <v>8</v>
      </c>
      <c r="E21" t="str">
        <f t="shared" si="0"/>
        <v>Agustus</v>
      </c>
      <c r="F21">
        <v>3</v>
      </c>
      <c r="G21" t="s">
        <v>1533</v>
      </c>
      <c r="H21" t="s">
        <v>1520</v>
      </c>
      <c r="I21" t="s">
        <v>1513</v>
      </c>
      <c r="J21" t="s">
        <v>1517</v>
      </c>
      <c r="K21" t="s">
        <v>1518</v>
      </c>
      <c r="L21" s="2">
        <v>1</v>
      </c>
      <c r="M21" s="10">
        <v>268</v>
      </c>
      <c r="N21" s="7">
        <v>268</v>
      </c>
    </row>
    <row r="22" spans="1:14" x14ac:dyDescent="0.3">
      <c r="A22">
        <v>1010</v>
      </c>
      <c r="B22" s="1">
        <v>45038</v>
      </c>
      <c r="C22">
        <v>2023</v>
      </c>
      <c r="D22">
        <v>4</v>
      </c>
      <c r="E22" t="str">
        <f t="shared" si="0"/>
        <v>April</v>
      </c>
      <c r="F22">
        <v>2</v>
      </c>
      <c r="G22" t="s">
        <v>1533</v>
      </c>
      <c r="H22" t="s">
        <v>1520</v>
      </c>
      <c r="I22" t="s">
        <v>1513</v>
      </c>
      <c r="J22" t="s">
        <v>1517</v>
      </c>
      <c r="K22" t="s">
        <v>1518</v>
      </c>
      <c r="L22" s="2">
        <v>1</v>
      </c>
      <c r="M22" s="10">
        <v>268</v>
      </c>
      <c r="N22" s="7">
        <v>268</v>
      </c>
    </row>
    <row r="23" spans="1:14" x14ac:dyDescent="0.3">
      <c r="A23">
        <v>1010</v>
      </c>
      <c r="B23" s="1">
        <v>45151</v>
      </c>
      <c r="C23">
        <v>2023</v>
      </c>
      <c r="D23">
        <v>8</v>
      </c>
      <c r="E23" t="str">
        <f t="shared" si="0"/>
        <v>Agustus</v>
      </c>
      <c r="F23">
        <v>3</v>
      </c>
      <c r="G23" t="s">
        <v>1533</v>
      </c>
      <c r="H23" t="s">
        <v>1520</v>
      </c>
      <c r="I23" t="s">
        <v>1513</v>
      </c>
      <c r="J23" t="s">
        <v>1517</v>
      </c>
      <c r="K23" t="s">
        <v>1518</v>
      </c>
      <c r="L23" s="2">
        <v>1</v>
      </c>
      <c r="M23" s="10">
        <v>268</v>
      </c>
      <c r="N23" s="7">
        <v>268</v>
      </c>
    </row>
    <row r="24" spans="1:14" x14ac:dyDescent="0.3">
      <c r="A24">
        <v>1011</v>
      </c>
      <c r="B24" s="1">
        <v>44796</v>
      </c>
      <c r="C24">
        <v>2022</v>
      </c>
      <c r="D24">
        <v>8</v>
      </c>
      <c r="E24" t="str">
        <f t="shared" si="0"/>
        <v>Agustus</v>
      </c>
      <c r="F24">
        <v>3</v>
      </c>
      <c r="G24" t="s">
        <v>1511</v>
      </c>
      <c r="H24" t="s">
        <v>1512</v>
      </c>
      <c r="I24" t="s">
        <v>1528</v>
      </c>
      <c r="J24" t="s">
        <v>1524</v>
      </c>
      <c r="K24" t="s">
        <v>1514</v>
      </c>
      <c r="L24" s="2">
        <v>2</v>
      </c>
      <c r="M24" s="10">
        <v>54018</v>
      </c>
      <c r="N24" s="7">
        <v>108036</v>
      </c>
    </row>
    <row r="25" spans="1:14" x14ac:dyDescent="0.3">
      <c r="A25">
        <v>1011</v>
      </c>
      <c r="B25" s="1">
        <v>44672</v>
      </c>
      <c r="C25">
        <v>2022</v>
      </c>
      <c r="D25">
        <v>4</v>
      </c>
      <c r="E25" t="str">
        <f t="shared" si="0"/>
        <v>April</v>
      </c>
      <c r="F25">
        <v>2</v>
      </c>
      <c r="G25" t="s">
        <v>1511</v>
      </c>
      <c r="H25" t="s">
        <v>1512</v>
      </c>
      <c r="I25" t="s">
        <v>1528</v>
      </c>
      <c r="J25" t="s">
        <v>1524</v>
      </c>
      <c r="K25" t="s">
        <v>1514</v>
      </c>
      <c r="L25" s="2">
        <v>2</v>
      </c>
      <c r="M25" s="10">
        <v>54018</v>
      </c>
      <c r="N25" s="7">
        <v>108036</v>
      </c>
    </row>
    <row r="26" spans="1:14" x14ac:dyDescent="0.3">
      <c r="A26">
        <v>1011</v>
      </c>
      <c r="B26" s="1">
        <v>44990</v>
      </c>
      <c r="C26">
        <v>2023</v>
      </c>
      <c r="D26">
        <v>3</v>
      </c>
      <c r="E26" t="str">
        <f t="shared" si="0"/>
        <v>Maret</v>
      </c>
      <c r="F26">
        <v>1</v>
      </c>
      <c r="G26" t="s">
        <v>1511</v>
      </c>
      <c r="H26" t="s">
        <v>1512</v>
      </c>
      <c r="I26" t="s">
        <v>1528</v>
      </c>
      <c r="J26" t="s">
        <v>1524</v>
      </c>
      <c r="K26" t="s">
        <v>1514</v>
      </c>
      <c r="L26" s="2">
        <v>2</v>
      </c>
      <c r="M26" s="10">
        <v>54018</v>
      </c>
      <c r="N26" s="7">
        <v>108036</v>
      </c>
    </row>
    <row r="27" spans="1:14" x14ac:dyDescent="0.3">
      <c r="A27">
        <v>1011</v>
      </c>
      <c r="B27" s="1">
        <v>44654</v>
      </c>
      <c r="C27">
        <v>2022</v>
      </c>
      <c r="D27">
        <v>4</v>
      </c>
      <c r="E27" t="str">
        <f t="shared" si="0"/>
        <v>April</v>
      </c>
      <c r="F27">
        <v>2</v>
      </c>
      <c r="G27" t="s">
        <v>1511</v>
      </c>
      <c r="H27" t="s">
        <v>1512</v>
      </c>
      <c r="I27" t="s">
        <v>1528</v>
      </c>
      <c r="J27" t="s">
        <v>1524</v>
      </c>
      <c r="K27" t="s">
        <v>1514</v>
      </c>
      <c r="L27" s="2">
        <v>2</v>
      </c>
      <c r="M27" s="10">
        <v>54018</v>
      </c>
      <c r="N27" s="7">
        <v>108036</v>
      </c>
    </row>
    <row r="28" spans="1:14" x14ac:dyDescent="0.3">
      <c r="A28">
        <v>1012</v>
      </c>
      <c r="B28" s="1">
        <v>44772</v>
      </c>
      <c r="C28">
        <v>2022</v>
      </c>
      <c r="D28">
        <v>7</v>
      </c>
      <c r="E28" t="str">
        <f t="shared" si="0"/>
        <v>Juli</v>
      </c>
      <c r="F28">
        <v>3</v>
      </c>
      <c r="G28" t="s">
        <v>1515</v>
      </c>
      <c r="H28" t="s">
        <v>1512</v>
      </c>
      <c r="I28" t="s">
        <v>1516</v>
      </c>
      <c r="J28" t="s">
        <v>1524</v>
      </c>
      <c r="K28" t="s">
        <v>1518</v>
      </c>
      <c r="L28" s="2">
        <v>3</v>
      </c>
      <c r="M28" s="10">
        <v>4762</v>
      </c>
      <c r="N28" s="7">
        <v>14286</v>
      </c>
    </row>
    <row r="29" spans="1:14" x14ac:dyDescent="0.3">
      <c r="A29">
        <v>1013</v>
      </c>
      <c r="B29" s="1">
        <v>45171</v>
      </c>
      <c r="C29">
        <v>2023</v>
      </c>
      <c r="D29">
        <v>9</v>
      </c>
      <c r="E29" t="str">
        <f t="shared" si="0"/>
        <v>September</v>
      </c>
      <c r="F29">
        <v>3</v>
      </c>
      <c r="G29" t="s">
        <v>1534</v>
      </c>
      <c r="H29" t="s">
        <v>1530</v>
      </c>
      <c r="I29" t="s">
        <v>1521</v>
      </c>
      <c r="J29" t="s">
        <v>1524</v>
      </c>
      <c r="K29" t="s">
        <v>1525</v>
      </c>
      <c r="L29" s="2">
        <v>2</v>
      </c>
      <c r="M29" s="10">
        <v>4880</v>
      </c>
      <c r="N29" s="7">
        <v>9760</v>
      </c>
    </row>
    <row r="30" spans="1:14" x14ac:dyDescent="0.3">
      <c r="A30">
        <v>1013</v>
      </c>
      <c r="B30" s="1">
        <v>45172</v>
      </c>
      <c r="C30">
        <v>2023</v>
      </c>
      <c r="D30">
        <v>9</v>
      </c>
      <c r="E30" t="str">
        <f t="shared" si="0"/>
        <v>September</v>
      </c>
      <c r="F30">
        <v>3</v>
      </c>
      <c r="G30" t="s">
        <v>1534</v>
      </c>
      <c r="H30" t="s">
        <v>1530</v>
      </c>
      <c r="I30" t="s">
        <v>1521</v>
      </c>
      <c r="J30" t="s">
        <v>1524</v>
      </c>
      <c r="K30" t="s">
        <v>1525</v>
      </c>
      <c r="L30" s="2">
        <v>2</v>
      </c>
      <c r="M30" s="10">
        <v>4880</v>
      </c>
      <c r="N30" s="7">
        <v>9760</v>
      </c>
    </row>
    <row r="31" spans="1:14" x14ac:dyDescent="0.3">
      <c r="A31">
        <v>1013</v>
      </c>
      <c r="B31" s="1">
        <v>44996</v>
      </c>
      <c r="C31">
        <v>2023</v>
      </c>
      <c r="D31">
        <v>3</v>
      </c>
      <c r="E31" t="str">
        <f t="shared" si="0"/>
        <v>Maret</v>
      </c>
      <c r="F31">
        <v>1</v>
      </c>
      <c r="G31" t="s">
        <v>1534</v>
      </c>
      <c r="H31" t="s">
        <v>1530</v>
      </c>
      <c r="I31" t="s">
        <v>1521</v>
      </c>
      <c r="J31" t="s">
        <v>1524</v>
      </c>
      <c r="K31" t="s">
        <v>1525</v>
      </c>
      <c r="L31" s="2">
        <v>2</v>
      </c>
      <c r="M31" s="10">
        <v>4880</v>
      </c>
      <c r="N31" s="7">
        <v>9760</v>
      </c>
    </row>
    <row r="32" spans="1:14" x14ac:dyDescent="0.3">
      <c r="A32">
        <v>1014</v>
      </c>
      <c r="B32" s="1">
        <v>44808</v>
      </c>
      <c r="C32">
        <v>2022</v>
      </c>
      <c r="D32">
        <v>9</v>
      </c>
      <c r="E32" t="str">
        <f t="shared" si="0"/>
        <v>September</v>
      </c>
      <c r="F32">
        <v>3</v>
      </c>
      <c r="G32" t="s">
        <v>1519</v>
      </c>
      <c r="H32" t="s">
        <v>1520</v>
      </c>
      <c r="I32" t="s">
        <v>1513</v>
      </c>
      <c r="J32" t="s">
        <v>1524</v>
      </c>
      <c r="K32" t="s">
        <v>1514</v>
      </c>
      <c r="L32" s="2">
        <v>1</v>
      </c>
      <c r="M32" s="10">
        <v>8508</v>
      </c>
      <c r="N32" s="7">
        <v>8508</v>
      </c>
    </row>
    <row r="33" spans="1:14" x14ac:dyDescent="0.3">
      <c r="A33">
        <v>1014</v>
      </c>
      <c r="B33" s="1">
        <v>45628</v>
      </c>
      <c r="C33">
        <v>2024</v>
      </c>
      <c r="D33">
        <v>12</v>
      </c>
      <c r="E33" t="str">
        <f t="shared" si="0"/>
        <v>Desember</v>
      </c>
      <c r="F33">
        <v>4</v>
      </c>
      <c r="G33" t="s">
        <v>1519</v>
      </c>
      <c r="H33" t="s">
        <v>1520</v>
      </c>
      <c r="I33" t="s">
        <v>1513</v>
      </c>
      <c r="J33" t="s">
        <v>1524</v>
      </c>
      <c r="K33" t="s">
        <v>1514</v>
      </c>
      <c r="L33" s="2">
        <v>1</v>
      </c>
      <c r="M33" s="10">
        <v>8508</v>
      </c>
      <c r="N33" s="7">
        <v>8508</v>
      </c>
    </row>
    <row r="34" spans="1:14" x14ac:dyDescent="0.3">
      <c r="A34">
        <v>1014</v>
      </c>
      <c r="B34" s="1">
        <v>44979</v>
      </c>
      <c r="C34">
        <v>2023</v>
      </c>
      <c r="D34">
        <v>2</v>
      </c>
      <c r="E34" t="str">
        <f t="shared" si="0"/>
        <v>Februari</v>
      </c>
      <c r="F34">
        <v>1</v>
      </c>
      <c r="G34" t="s">
        <v>1519</v>
      </c>
      <c r="H34" t="s">
        <v>1520</v>
      </c>
      <c r="I34" t="s">
        <v>1513</v>
      </c>
      <c r="J34" t="s">
        <v>1524</v>
      </c>
      <c r="K34" t="s">
        <v>1514</v>
      </c>
      <c r="L34" s="2">
        <v>1</v>
      </c>
      <c r="M34" s="10">
        <v>8508</v>
      </c>
      <c r="N34" s="7">
        <v>8508</v>
      </c>
    </row>
    <row r="35" spans="1:14" x14ac:dyDescent="0.3">
      <c r="A35">
        <v>1015</v>
      </c>
      <c r="B35" s="1">
        <v>44879</v>
      </c>
      <c r="C35">
        <v>2022</v>
      </c>
      <c r="D35">
        <v>11</v>
      </c>
      <c r="E35" t="str">
        <f t="shared" si="0"/>
        <v>November</v>
      </c>
      <c r="F35">
        <v>4</v>
      </c>
      <c r="G35" t="s">
        <v>1522</v>
      </c>
      <c r="H35" t="s">
        <v>1520</v>
      </c>
      <c r="I35" t="s">
        <v>1513</v>
      </c>
      <c r="J35" t="s">
        <v>1517</v>
      </c>
      <c r="K35" t="s">
        <v>1518</v>
      </c>
      <c r="L35" s="2">
        <v>4</v>
      </c>
      <c r="M35" s="10">
        <v>119</v>
      </c>
      <c r="N35" s="7">
        <v>476</v>
      </c>
    </row>
    <row r="36" spans="1:14" x14ac:dyDescent="0.3">
      <c r="A36">
        <v>1015</v>
      </c>
      <c r="B36" s="1">
        <v>45269</v>
      </c>
      <c r="C36">
        <v>2023</v>
      </c>
      <c r="D36">
        <v>12</v>
      </c>
      <c r="E36" t="str">
        <f t="shared" si="0"/>
        <v>Desember</v>
      </c>
      <c r="F36">
        <v>4</v>
      </c>
      <c r="G36" t="s">
        <v>1522</v>
      </c>
      <c r="H36" t="s">
        <v>1520</v>
      </c>
      <c r="I36" t="s">
        <v>1513</v>
      </c>
      <c r="J36" t="s">
        <v>1517</v>
      </c>
      <c r="K36" t="s">
        <v>1518</v>
      </c>
      <c r="L36" s="2">
        <v>4</v>
      </c>
      <c r="M36" s="10">
        <v>119</v>
      </c>
      <c r="N36" s="7">
        <v>476</v>
      </c>
    </row>
    <row r="37" spans="1:14" x14ac:dyDescent="0.3">
      <c r="A37">
        <v>1015</v>
      </c>
      <c r="B37" s="1">
        <v>44709</v>
      </c>
      <c r="C37">
        <v>2022</v>
      </c>
      <c r="D37">
        <v>5</v>
      </c>
      <c r="E37" t="str">
        <f t="shared" si="0"/>
        <v>Mei</v>
      </c>
      <c r="F37">
        <v>2</v>
      </c>
      <c r="G37" t="s">
        <v>1522</v>
      </c>
      <c r="H37" t="s">
        <v>1520</v>
      </c>
      <c r="I37" t="s">
        <v>1513</v>
      </c>
      <c r="J37" t="s">
        <v>1517</v>
      </c>
      <c r="K37" t="s">
        <v>1518</v>
      </c>
      <c r="L37" s="2">
        <v>4</v>
      </c>
      <c r="M37" s="10">
        <v>119</v>
      </c>
      <c r="N37" s="7">
        <v>476</v>
      </c>
    </row>
    <row r="38" spans="1:14" x14ac:dyDescent="0.3">
      <c r="A38">
        <v>1015</v>
      </c>
      <c r="B38" s="1">
        <v>45457</v>
      </c>
      <c r="C38">
        <v>2024</v>
      </c>
      <c r="D38">
        <v>6</v>
      </c>
      <c r="E38" t="str">
        <f t="shared" si="0"/>
        <v>Juni</v>
      </c>
      <c r="F38">
        <v>2</v>
      </c>
      <c r="G38" t="s">
        <v>1522</v>
      </c>
      <c r="H38" t="s">
        <v>1520</v>
      </c>
      <c r="I38" t="s">
        <v>1513</v>
      </c>
      <c r="J38" t="s">
        <v>1517</v>
      </c>
      <c r="K38" t="s">
        <v>1518</v>
      </c>
      <c r="L38" s="2">
        <v>4</v>
      </c>
      <c r="M38" s="10">
        <v>119</v>
      </c>
      <c r="N38" s="7">
        <v>476</v>
      </c>
    </row>
    <row r="39" spans="1:14" x14ac:dyDescent="0.3">
      <c r="A39">
        <v>1016</v>
      </c>
      <c r="B39" s="1">
        <v>44669</v>
      </c>
      <c r="C39">
        <v>2022</v>
      </c>
      <c r="D39">
        <v>4</v>
      </c>
      <c r="E39" t="str">
        <f t="shared" si="0"/>
        <v>April</v>
      </c>
      <c r="F39">
        <v>2</v>
      </c>
      <c r="G39" t="s">
        <v>1523</v>
      </c>
      <c r="H39" t="s">
        <v>1512</v>
      </c>
      <c r="I39" t="s">
        <v>1535</v>
      </c>
      <c r="J39" t="s">
        <v>1517</v>
      </c>
      <c r="K39" t="s">
        <v>1525</v>
      </c>
      <c r="L39" s="2">
        <v>1</v>
      </c>
      <c r="M39" s="10">
        <v>37589</v>
      </c>
      <c r="N39" s="7">
        <v>37589</v>
      </c>
    </row>
    <row r="40" spans="1:14" x14ac:dyDescent="0.3">
      <c r="A40">
        <v>1016</v>
      </c>
      <c r="B40" s="1">
        <v>45296</v>
      </c>
      <c r="C40">
        <v>2024</v>
      </c>
      <c r="D40">
        <v>1</v>
      </c>
      <c r="E40" t="str">
        <f t="shared" si="0"/>
        <v>Januari</v>
      </c>
      <c r="F40">
        <v>1</v>
      </c>
      <c r="G40" t="s">
        <v>1523</v>
      </c>
      <c r="H40" t="s">
        <v>1512</v>
      </c>
      <c r="I40" t="s">
        <v>1535</v>
      </c>
      <c r="J40" t="s">
        <v>1517</v>
      </c>
      <c r="K40" t="s">
        <v>1525</v>
      </c>
      <c r="L40" s="2">
        <v>1</v>
      </c>
      <c r="M40" s="10">
        <v>37589</v>
      </c>
      <c r="N40" s="7">
        <v>37589</v>
      </c>
    </row>
    <row r="41" spans="1:14" x14ac:dyDescent="0.3">
      <c r="A41">
        <v>1016</v>
      </c>
      <c r="B41" s="1">
        <v>45468</v>
      </c>
      <c r="C41">
        <v>2024</v>
      </c>
      <c r="D41">
        <v>6</v>
      </c>
      <c r="E41" t="str">
        <f t="shared" si="0"/>
        <v>Juni</v>
      </c>
      <c r="F41">
        <v>2</v>
      </c>
      <c r="G41" t="s">
        <v>1523</v>
      </c>
      <c r="H41" t="s">
        <v>1512</v>
      </c>
      <c r="I41" t="s">
        <v>1535</v>
      </c>
      <c r="J41" t="s">
        <v>1517</v>
      </c>
      <c r="K41" t="s">
        <v>1525</v>
      </c>
      <c r="L41" s="2">
        <v>1</v>
      </c>
      <c r="M41" s="10">
        <v>37589</v>
      </c>
      <c r="N41" s="7">
        <v>37589</v>
      </c>
    </row>
    <row r="42" spans="1:14" x14ac:dyDescent="0.3">
      <c r="A42">
        <v>1017</v>
      </c>
      <c r="B42" s="1">
        <v>45010</v>
      </c>
      <c r="C42">
        <v>2023</v>
      </c>
      <c r="D42">
        <v>3</v>
      </c>
      <c r="E42" t="str">
        <f t="shared" si="0"/>
        <v>Maret</v>
      </c>
      <c r="F42">
        <v>1</v>
      </c>
      <c r="G42" t="s">
        <v>1526</v>
      </c>
      <c r="H42" t="s">
        <v>1527</v>
      </c>
      <c r="I42" t="s">
        <v>1516</v>
      </c>
      <c r="J42" t="s">
        <v>1566</v>
      </c>
      <c r="K42" t="s">
        <v>1518</v>
      </c>
      <c r="L42" s="2">
        <v>1</v>
      </c>
      <c r="M42" s="10">
        <v>781</v>
      </c>
      <c r="N42" s="7">
        <v>781</v>
      </c>
    </row>
    <row r="43" spans="1:14" x14ac:dyDescent="0.3">
      <c r="A43">
        <v>1018</v>
      </c>
      <c r="B43" s="1">
        <v>45458</v>
      </c>
      <c r="C43">
        <v>2024</v>
      </c>
      <c r="D43">
        <v>6</v>
      </c>
      <c r="E43" t="str">
        <f t="shared" si="0"/>
        <v>Juni</v>
      </c>
      <c r="F43">
        <v>2</v>
      </c>
      <c r="G43" t="s">
        <v>1529</v>
      </c>
      <c r="H43" t="s">
        <v>1530</v>
      </c>
      <c r="I43" t="s">
        <v>1535</v>
      </c>
      <c r="J43" t="s">
        <v>1566</v>
      </c>
      <c r="K43" t="s">
        <v>1518</v>
      </c>
      <c r="L43" s="2">
        <v>5</v>
      </c>
      <c r="M43" s="10">
        <v>809</v>
      </c>
      <c r="N43" s="7">
        <v>4045</v>
      </c>
    </row>
    <row r="44" spans="1:14" x14ac:dyDescent="0.3">
      <c r="A44">
        <v>1018</v>
      </c>
      <c r="B44" s="1">
        <v>45247</v>
      </c>
      <c r="C44">
        <v>2023</v>
      </c>
      <c r="D44">
        <v>11</v>
      </c>
      <c r="E44" t="str">
        <f t="shared" si="0"/>
        <v>November</v>
      </c>
      <c r="F44">
        <v>4</v>
      </c>
      <c r="G44" t="s">
        <v>1529</v>
      </c>
      <c r="H44" t="s">
        <v>1530</v>
      </c>
      <c r="I44" t="s">
        <v>1535</v>
      </c>
      <c r="J44" t="s">
        <v>1566</v>
      </c>
      <c r="K44" t="s">
        <v>1518</v>
      </c>
      <c r="L44" s="2">
        <v>5</v>
      </c>
      <c r="M44" s="10">
        <v>809</v>
      </c>
      <c r="N44" s="7">
        <v>4045</v>
      </c>
    </row>
    <row r="45" spans="1:14" x14ac:dyDescent="0.3">
      <c r="A45">
        <v>1018</v>
      </c>
      <c r="B45" s="1">
        <v>45031</v>
      </c>
      <c r="C45">
        <v>2023</v>
      </c>
      <c r="D45">
        <v>4</v>
      </c>
      <c r="E45" t="str">
        <f t="shared" si="0"/>
        <v>April</v>
      </c>
      <c r="F45">
        <v>2</v>
      </c>
      <c r="G45" t="s">
        <v>1529</v>
      </c>
      <c r="H45" t="s">
        <v>1530</v>
      </c>
      <c r="I45" t="s">
        <v>1535</v>
      </c>
      <c r="J45" t="s">
        <v>1566</v>
      </c>
      <c r="K45" t="s">
        <v>1518</v>
      </c>
      <c r="L45" s="2">
        <v>5</v>
      </c>
      <c r="M45" s="10">
        <v>809</v>
      </c>
      <c r="N45" s="7">
        <v>4045</v>
      </c>
    </row>
    <row r="46" spans="1:14" x14ac:dyDescent="0.3">
      <c r="A46">
        <v>1018</v>
      </c>
      <c r="B46" s="1">
        <v>45100</v>
      </c>
      <c r="C46">
        <v>2023</v>
      </c>
      <c r="D46">
        <v>6</v>
      </c>
      <c r="E46" t="str">
        <f t="shared" si="0"/>
        <v>Juni</v>
      </c>
      <c r="F46">
        <v>2</v>
      </c>
      <c r="G46" t="s">
        <v>1529</v>
      </c>
      <c r="H46" t="s">
        <v>1530</v>
      </c>
      <c r="I46" t="s">
        <v>1535</v>
      </c>
      <c r="J46" t="s">
        <v>1566</v>
      </c>
      <c r="K46" t="s">
        <v>1518</v>
      </c>
      <c r="L46" s="2">
        <v>5</v>
      </c>
      <c r="M46" s="10">
        <v>809</v>
      </c>
      <c r="N46" s="7">
        <v>4045</v>
      </c>
    </row>
    <row r="47" spans="1:14" x14ac:dyDescent="0.3">
      <c r="A47">
        <v>1019</v>
      </c>
      <c r="B47" s="1">
        <v>45222</v>
      </c>
      <c r="C47">
        <v>2023</v>
      </c>
      <c r="D47">
        <v>10</v>
      </c>
      <c r="E47" t="str">
        <f t="shared" si="0"/>
        <v>Oktober</v>
      </c>
      <c r="F47">
        <v>4</v>
      </c>
      <c r="G47" t="s">
        <v>1532</v>
      </c>
      <c r="H47" t="s">
        <v>1512</v>
      </c>
      <c r="I47" t="s">
        <v>1521</v>
      </c>
      <c r="J47" t="s">
        <v>1566</v>
      </c>
      <c r="K47" t="s">
        <v>1518</v>
      </c>
      <c r="L47" s="2">
        <v>2</v>
      </c>
      <c r="M47" s="10">
        <v>4129</v>
      </c>
      <c r="N47" s="7">
        <v>8258</v>
      </c>
    </row>
    <row r="48" spans="1:14" x14ac:dyDescent="0.3">
      <c r="A48">
        <v>1019</v>
      </c>
      <c r="B48" s="1">
        <v>45524</v>
      </c>
      <c r="C48">
        <v>2024</v>
      </c>
      <c r="D48">
        <v>8</v>
      </c>
      <c r="E48" t="str">
        <f t="shared" si="0"/>
        <v>Agustus</v>
      </c>
      <c r="F48">
        <v>3</v>
      </c>
      <c r="G48" t="s">
        <v>1532</v>
      </c>
      <c r="H48" t="s">
        <v>1512</v>
      </c>
      <c r="I48" t="s">
        <v>1521</v>
      </c>
      <c r="J48" t="s">
        <v>1566</v>
      </c>
      <c r="K48" t="s">
        <v>1518</v>
      </c>
      <c r="L48" s="2">
        <v>2</v>
      </c>
      <c r="M48" s="10">
        <v>4129</v>
      </c>
      <c r="N48" s="7">
        <v>8258</v>
      </c>
    </row>
    <row r="49" spans="1:14" x14ac:dyDescent="0.3">
      <c r="A49">
        <v>1019</v>
      </c>
      <c r="B49" s="1">
        <v>44808</v>
      </c>
      <c r="C49">
        <v>2022</v>
      </c>
      <c r="D49">
        <v>9</v>
      </c>
      <c r="E49" t="str">
        <f t="shared" si="0"/>
        <v>September</v>
      </c>
      <c r="F49">
        <v>3</v>
      </c>
      <c r="G49" t="s">
        <v>1532</v>
      </c>
      <c r="H49" t="s">
        <v>1512</v>
      </c>
      <c r="I49" t="s">
        <v>1521</v>
      </c>
      <c r="J49" t="s">
        <v>1566</v>
      </c>
      <c r="K49" t="s">
        <v>1518</v>
      </c>
      <c r="L49" s="2">
        <v>2</v>
      </c>
      <c r="M49" s="10">
        <v>4129</v>
      </c>
      <c r="N49" s="7">
        <v>8258</v>
      </c>
    </row>
    <row r="50" spans="1:14" x14ac:dyDescent="0.3">
      <c r="A50">
        <v>1019</v>
      </c>
      <c r="B50" s="1">
        <v>45352</v>
      </c>
      <c r="C50">
        <v>2024</v>
      </c>
      <c r="D50">
        <v>3</v>
      </c>
      <c r="E50" t="str">
        <f t="shared" si="0"/>
        <v>Maret</v>
      </c>
      <c r="F50">
        <v>1</v>
      </c>
      <c r="G50" t="s">
        <v>1532</v>
      </c>
      <c r="H50" t="s">
        <v>1512</v>
      </c>
      <c r="I50" t="s">
        <v>1521</v>
      </c>
      <c r="J50" t="s">
        <v>1566</v>
      </c>
      <c r="K50" t="s">
        <v>1518</v>
      </c>
      <c r="L50" s="2">
        <v>2</v>
      </c>
      <c r="M50" s="10">
        <v>4129</v>
      </c>
      <c r="N50" s="7">
        <v>8258</v>
      </c>
    </row>
    <row r="51" spans="1:14" x14ac:dyDescent="0.3">
      <c r="A51">
        <v>1019</v>
      </c>
      <c r="B51" s="1">
        <v>44703</v>
      </c>
      <c r="C51">
        <v>2022</v>
      </c>
      <c r="D51">
        <v>5</v>
      </c>
      <c r="E51" t="str">
        <f t="shared" si="0"/>
        <v>Mei</v>
      </c>
      <c r="F51">
        <v>2</v>
      </c>
      <c r="G51" t="s">
        <v>1532</v>
      </c>
      <c r="H51" t="s">
        <v>1512</v>
      </c>
      <c r="I51" t="s">
        <v>1521</v>
      </c>
      <c r="J51" t="s">
        <v>1566</v>
      </c>
      <c r="K51" t="s">
        <v>1518</v>
      </c>
      <c r="L51" s="2">
        <v>2</v>
      </c>
      <c r="M51" s="10">
        <v>4129</v>
      </c>
      <c r="N51" s="7">
        <v>8258</v>
      </c>
    </row>
    <row r="52" spans="1:14" x14ac:dyDescent="0.3">
      <c r="A52">
        <v>1021</v>
      </c>
      <c r="B52" s="1">
        <v>45195</v>
      </c>
      <c r="C52">
        <v>2023</v>
      </c>
      <c r="D52">
        <v>9</v>
      </c>
      <c r="E52" t="str">
        <f t="shared" si="0"/>
        <v>September</v>
      </c>
      <c r="F52">
        <v>3</v>
      </c>
      <c r="G52" t="s">
        <v>1511</v>
      </c>
      <c r="H52" t="s">
        <v>1512</v>
      </c>
      <c r="I52" t="s">
        <v>1521</v>
      </c>
      <c r="J52" t="s">
        <v>1566</v>
      </c>
      <c r="K52" t="s">
        <v>1525</v>
      </c>
      <c r="L52" s="2">
        <v>2</v>
      </c>
      <c r="M52" s="10">
        <v>68516</v>
      </c>
      <c r="N52" s="7">
        <v>137032</v>
      </c>
    </row>
    <row r="53" spans="1:14" x14ac:dyDescent="0.3">
      <c r="A53">
        <v>1021</v>
      </c>
      <c r="B53" s="1">
        <v>45420</v>
      </c>
      <c r="C53">
        <v>2024</v>
      </c>
      <c r="D53">
        <v>5</v>
      </c>
      <c r="E53" t="str">
        <f t="shared" si="0"/>
        <v>Mei</v>
      </c>
      <c r="F53">
        <v>2</v>
      </c>
      <c r="G53" t="s">
        <v>1511</v>
      </c>
      <c r="H53" t="s">
        <v>1512</v>
      </c>
      <c r="I53" t="s">
        <v>1521</v>
      </c>
      <c r="J53" t="s">
        <v>1566</v>
      </c>
      <c r="K53" t="s">
        <v>1525</v>
      </c>
      <c r="L53" s="2">
        <v>2</v>
      </c>
      <c r="M53" s="10">
        <v>68516</v>
      </c>
      <c r="N53" s="7">
        <v>137032</v>
      </c>
    </row>
    <row r="54" spans="1:14" x14ac:dyDescent="0.3">
      <c r="A54">
        <v>1021</v>
      </c>
      <c r="B54" s="1">
        <v>45595</v>
      </c>
      <c r="C54">
        <v>2024</v>
      </c>
      <c r="D54">
        <v>10</v>
      </c>
      <c r="E54" t="str">
        <f t="shared" si="0"/>
        <v>Oktober</v>
      </c>
      <c r="F54">
        <v>4</v>
      </c>
      <c r="G54" t="s">
        <v>1511</v>
      </c>
      <c r="H54" t="s">
        <v>1512</v>
      </c>
      <c r="I54" t="s">
        <v>1521</v>
      </c>
      <c r="J54" t="s">
        <v>1566</v>
      </c>
      <c r="K54" t="s">
        <v>1525</v>
      </c>
      <c r="L54" s="2">
        <v>2</v>
      </c>
      <c r="M54" s="10">
        <v>68516</v>
      </c>
      <c r="N54" s="7">
        <v>137032</v>
      </c>
    </row>
    <row r="55" spans="1:14" x14ac:dyDescent="0.3">
      <c r="A55">
        <v>1021</v>
      </c>
      <c r="B55" s="1">
        <v>44948</v>
      </c>
      <c r="C55">
        <v>2023</v>
      </c>
      <c r="D55">
        <v>1</v>
      </c>
      <c r="E55" t="str">
        <f t="shared" si="0"/>
        <v>Januari</v>
      </c>
      <c r="F55">
        <v>1</v>
      </c>
      <c r="G55" t="s">
        <v>1511</v>
      </c>
      <c r="H55" t="s">
        <v>1512</v>
      </c>
      <c r="I55" t="s">
        <v>1521</v>
      </c>
      <c r="J55" t="s">
        <v>1566</v>
      </c>
      <c r="K55" t="s">
        <v>1525</v>
      </c>
      <c r="L55" s="2">
        <v>2</v>
      </c>
      <c r="M55" s="10">
        <v>68516</v>
      </c>
      <c r="N55" s="7">
        <v>137032</v>
      </c>
    </row>
    <row r="56" spans="1:14" x14ac:dyDescent="0.3">
      <c r="A56">
        <v>1022</v>
      </c>
      <c r="B56" s="1">
        <v>45142</v>
      </c>
      <c r="C56">
        <v>2023</v>
      </c>
      <c r="D56">
        <v>8</v>
      </c>
      <c r="E56" t="str">
        <f t="shared" si="0"/>
        <v>Agustus</v>
      </c>
      <c r="F56">
        <v>3</v>
      </c>
      <c r="G56" t="s">
        <v>1515</v>
      </c>
      <c r="H56" t="s">
        <v>1512</v>
      </c>
      <c r="I56" t="s">
        <v>1535</v>
      </c>
      <c r="J56" t="s">
        <v>1517</v>
      </c>
      <c r="K56" t="s">
        <v>1514</v>
      </c>
      <c r="L56" s="2">
        <v>1</v>
      </c>
      <c r="M56" s="10">
        <v>3985</v>
      </c>
      <c r="N56" s="7">
        <v>3985</v>
      </c>
    </row>
    <row r="57" spans="1:14" x14ac:dyDescent="0.3">
      <c r="A57">
        <v>1022</v>
      </c>
      <c r="B57" s="1">
        <v>44944</v>
      </c>
      <c r="C57">
        <v>2023</v>
      </c>
      <c r="D57">
        <v>1</v>
      </c>
      <c r="E57" t="str">
        <f t="shared" si="0"/>
        <v>Januari</v>
      </c>
      <c r="F57">
        <v>1</v>
      </c>
      <c r="G57" t="s">
        <v>1515</v>
      </c>
      <c r="H57" t="s">
        <v>1512</v>
      </c>
      <c r="I57" t="s">
        <v>1535</v>
      </c>
      <c r="J57" t="s">
        <v>1517</v>
      </c>
      <c r="K57" t="s">
        <v>1514</v>
      </c>
      <c r="L57" s="2">
        <v>1</v>
      </c>
      <c r="M57" s="10">
        <v>3985</v>
      </c>
      <c r="N57" s="7">
        <v>3985</v>
      </c>
    </row>
    <row r="58" spans="1:14" x14ac:dyDescent="0.3">
      <c r="A58">
        <v>1023</v>
      </c>
      <c r="B58" s="1">
        <v>45497</v>
      </c>
      <c r="C58">
        <v>2024</v>
      </c>
      <c r="D58">
        <v>7</v>
      </c>
      <c r="E58" t="str">
        <f t="shared" si="0"/>
        <v>Juli</v>
      </c>
      <c r="F58">
        <v>3</v>
      </c>
      <c r="G58" t="s">
        <v>1534</v>
      </c>
      <c r="H58" t="s">
        <v>1530</v>
      </c>
      <c r="I58" t="s">
        <v>1535</v>
      </c>
      <c r="J58" t="s">
        <v>1524</v>
      </c>
      <c r="K58" t="s">
        <v>1518</v>
      </c>
      <c r="L58" s="2">
        <v>1</v>
      </c>
      <c r="M58" s="10">
        <v>2380</v>
      </c>
      <c r="N58" s="7">
        <v>2380</v>
      </c>
    </row>
    <row r="59" spans="1:14" x14ac:dyDescent="0.3">
      <c r="A59">
        <v>1023</v>
      </c>
      <c r="B59" s="1">
        <v>45189</v>
      </c>
      <c r="C59">
        <v>2023</v>
      </c>
      <c r="D59">
        <v>9</v>
      </c>
      <c r="E59" t="str">
        <f t="shared" si="0"/>
        <v>September</v>
      </c>
      <c r="F59">
        <v>3</v>
      </c>
      <c r="G59" t="s">
        <v>1534</v>
      </c>
      <c r="H59" t="s">
        <v>1530</v>
      </c>
      <c r="I59" t="s">
        <v>1535</v>
      </c>
      <c r="J59" t="s">
        <v>1524</v>
      </c>
      <c r="K59" t="s">
        <v>1518</v>
      </c>
      <c r="L59" s="2">
        <v>1</v>
      </c>
      <c r="M59" s="10">
        <v>2380</v>
      </c>
      <c r="N59" s="7">
        <v>2380</v>
      </c>
    </row>
    <row r="60" spans="1:14" x14ac:dyDescent="0.3">
      <c r="A60">
        <v>1024</v>
      </c>
      <c r="B60" s="1">
        <v>44647</v>
      </c>
      <c r="C60">
        <v>2022</v>
      </c>
      <c r="D60">
        <v>3</v>
      </c>
      <c r="E60" t="str">
        <f t="shared" si="0"/>
        <v>Maret</v>
      </c>
      <c r="F60">
        <v>1</v>
      </c>
      <c r="G60" t="s">
        <v>1519</v>
      </c>
      <c r="H60" t="s">
        <v>1520</v>
      </c>
      <c r="I60" t="s">
        <v>1531</v>
      </c>
      <c r="J60" t="s">
        <v>1517</v>
      </c>
      <c r="K60" t="s">
        <v>1518</v>
      </c>
      <c r="L60" s="2">
        <v>3</v>
      </c>
      <c r="M60" s="10">
        <v>13522</v>
      </c>
      <c r="N60" s="7">
        <v>40566</v>
      </c>
    </row>
    <row r="61" spans="1:14" x14ac:dyDescent="0.3">
      <c r="A61">
        <v>1024</v>
      </c>
      <c r="B61" s="1">
        <v>44914</v>
      </c>
      <c r="C61">
        <v>2022</v>
      </c>
      <c r="D61">
        <v>12</v>
      </c>
      <c r="E61" t="str">
        <f t="shared" si="0"/>
        <v>Desember</v>
      </c>
      <c r="F61">
        <v>4</v>
      </c>
      <c r="G61" t="s">
        <v>1519</v>
      </c>
      <c r="H61" t="s">
        <v>1520</v>
      </c>
      <c r="I61" t="s">
        <v>1531</v>
      </c>
      <c r="J61" t="s">
        <v>1517</v>
      </c>
      <c r="K61" t="s">
        <v>1518</v>
      </c>
      <c r="L61" s="2">
        <v>3</v>
      </c>
      <c r="M61" s="10">
        <v>13522</v>
      </c>
      <c r="N61" s="7">
        <v>40566</v>
      </c>
    </row>
    <row r="62" spans="1:14" x14ac:dyDescent="0.3">
      <c r="A62">
        <v>1024</v>
      </c>
      <c r="B62" s="1">
        <v>45339</v>
      </c>
      <c r="C62">
        <v>2024</v>
      </c>
      <c r="D62">
        <v>2</v>
      </c>
      <c r="E62" t="str">
        <f t="shared" si="0"/>
        <v>Februari</v>
      </c>
      <c r="F62">
        <v>1</v>
      </c>
      <c r="G62" t="s">
        <v>1519</v>
      </c>
      <c r="H62" t="s">
        <v>1520</v>
      </c>
      <c r="I62" t="s">
        <v>1531</v>
      </c>
      <c r="J62" t="s">
        <v>1517</v>
      </c>
      <c r="K62" t="s">
        <v>1518</v>
      </c>
      <c r="L62" s="2">
        <v>3</v>
      </c>
      <c r="M62" s="10">
        <v>13522</v>
      </c>
      <c r="N62" s="7">
        <v>40566</v>
      </c>
    </row>
    <row r="63" spans="1:14" x14ac:dyDescent="0.3">
      <c r="A63">
        <v>1024</v>
      </c>
      <c r="B63" s="1">
        <v>44757</v>
      </c>
      <c r="C63">
        <v>2022</v>
      </c>
      <c r="D63">
        <v>7</v>
      </c>
      <c r="E63" t="str">
        <f t="shared" si="0"/>
        <v>Juli</v>
      </c>
      <c r="F63">
        <v>3</v>
      </c>
      <c r="G63" t="s">
        <v>1519</v>
      </c>
      <c r="H63" t="s">
        <v>1520</v>
      </c>
      <c r="I63" t="s">
        <v>1531</v>
      </c>
      <c r="J63" t="s">
        <v>1517</v>
      </c>
      <c r="K63" t="s">
        <v>1518</v>
      </c>
      <c r="L63" s="2">
        <v>3</v>
      </c>
      <c r="M63" s="10">
        <v>13522</v>
      </c>
      <c r="N63" s="7">
        <v>40566</v>
      </c>
    </row>
    <row r="64" spans="1:14" x14ac:dyDescent="0.3">
      <c r="A64">
        <v>1024</v>
      </c>
      <c r="B64" s="1">
        <v>45245</v>
      </c>
      <c r="C64">
        <v>2023</v>
      </c>
      <c r="D64">
        <v>11</v>
      </c>
      <c r="E64" t="str">
        <f t="shared" si="0"/>
        <v>November</v>
      </c>
      <c r="F64">
        <v>4</v>
      </c>
      <c r="G64" t="s">
        <v>1519</v>
      </c>
      <c r="H64" t="s">
        <v>1520</v>
      </c>
      <c r="I64" t="s">
        <v>1531</v>
      </c>
      <c r="J64" t="s">
        <v>1517</v>
      </c>
      <c r="K64" t="s">
        <v>1518</v>
      </c>
      <c r="L64" s="2">
        <v>3</v>
      </c>
      <c r="M64" s="10">
        <v>13522</v>
      </c>
      <c r="N64" s="7">
        <v>40566</v>
      </c>
    </row>
    <row r="65" spans="1:14" x14ac:dyDescent="0.3">
      <c r="A65">
        <v>1024</v>
      </c>
      <c r="B65" s="1">
        <v>45394</v>
      </c>
      <c r="C65">
        <v>2024</v>
      </c>
      <c r="D65">
        <v>4</v>
      </c>
      <c r="E65" t="str">
        <f t="shared" si="0"/>
        <v>April</v>
      </c>
      <c r="F65">
        <v>2</v>
      </c>
      <c r="G65" t="s">
        <v>1519</v>
      </c>
      <c r="H65" t="s">
        <v>1520</v>
      </c>
      <c r="I65" t="s">
        <v>1531</v>
      </c>
      <c r="J65" t="s">
        <v>1517</v>
      </c>
      <c r="K65" t="s">
        <v>1518</v>
      </c>
      <c r="L65" s="2">
        <v>3</v>
      </c>
      <c r="M65" s="10">
        <v>13522</v>
      </c>
      <c r="N65" s="7">
        <v>40566</v>
      </c>
    </row>
    <row r="66" spans="1:14" x14ac:dyDescent="0.3">
      <c r="A66">
        <v>1024</v>
      </c>
      <c r="B66" s="1">
        <v>45207</v>
      </c>
      <c r="C66">
        <v>2023</v>
      </c>
      <c r="D66">
        <v>10</v>
      </c>
      <c r="E66" t="str">
        <f t="shared" si="0"/>
        <v>Oktober</v>
      </c>
      <c r="F66">
        <v>4</v>
      </c>
      <c r="G66" t="s">
        <v>1519</v>
      </c>
      <c r="H66" t="s">
        <v>1520</v>
      </c>
      <c r="I66" t="s">
        <v>1531</v>
      </c>
      <c r="J66" t="s">
        <v>1517</v>
      </c>
      <c r="K66" t="s">
        <v>1518</v>
      </c>
      <c r="L66" s="2">
        <v>3</v>
      </c>
      <c r="M66" s="10">
        <v>13522</v>
      </c>
      <c r="N66" s="7">
        <v>40566</v>
      </c>
    </row>
    <row r="67" spans="1:14" x14ac:dyDescent="0.3">
      <c r="A67">
        <v>1024</v>
      </c>
      <c r="B67" s="1">
        <v>45046</v>
      </c>
      <c r="C67">
        <v>2023</v>
      </c>
      <c r="D67">
        <v>4</v>
      </c>
      <c r="E67" t="str">
        <f t="shared" ref="E67:E130" si="1">TEXT(DATE(2026, D67, 1), "[$-id-ID]mmmm")</f>
        <v>April</v>
      </c>
      <c r="F67">
        <v>2</v>
      </c>
      <c r="G67" t="s">
        <v>1519</v>
      </c>
      <c r="H67" t="s">
        <v>1520</v>
      </c>
      <c r="I67" t="s">
        <v>1531</v>
      </c>
      <c r="J67" t="s">
        <v>1517</v>
      </c>
      <c r="K67" t="s">
        <v>1518</v>
      </c>
      <c r="L67" s="2">
        <v>3</v>
      </c>
      <c r="M67" s="10">
        <v>13522</v>
      </c>
      <c r="N67" s="7">
        <v>40566</v>
      </c>
    </row>
    <row r="68" spans="1:14" x14ac:dyDescent="0.3">
      <c r="A68">
        <v>1025</v>
      </c>
      <c r="B68" s="1">
        <v>45193</v>
      </c>
      <c r="C68">
        <v>2023</v>
      </c>
      <c r="D68">
        <v>9</v>
      </c>
      <c r="E68" t="str">
        <f t="shared" si="1"/>
        <v>September</v>
      </c>
      <c r="F68">
        <v>3</v>
      </c>
      <c r="G68" t="s">
        <v>1522</v>
      </c>
      <c r="H68" t="s">
        <v>1520</v>
      </c>
      <c r="I68" t="s">
        <v>1521</v>
      </c>
      <c r="J68" t="s">
        <v>1566</v>
      </c>
      <c r="K68" t="s">
        <v>1525</v>
      </c>
      <c r="L68" s="2">
        <v>1</v>
      </c>
      <c r="M68" s="10">
        <v>340</v>
      </c>
      <c r="N68" s="7">
        <v>340</v>
      </c>
    </row>
    <row r="69" spans="1:14" x14ac:dyDescent="0.3">
      <c r="A69">
        <v>1025</v>
      </c>
      <c r="B69" s="1">
        <v>44620</v>
      </c>
      <c r="C69">
        <v>2022</v>
      </c>
      <c r="D69">
        <v>2</v>
      </c>
      <c r="E69" t="str">
        <f t="shared" si="1"/>
        <v>Februari</v>
      </c>
      <c r="F69">
        <v>1</v>
      </c>
      <c r="G69" t="s">
        <v>1522</v>
      </c>
      <c r="H69" t="s">
        <v>1520</v>
      </c>
      <c r="I69" t="s">
        <v>1521</v>
      </c>
      <c r="J69" t="s">
        <v>1566</v>
      </c>
      <c r="K69" t="s">
        <v>1525</v>
      </c>
      <c r="L69" s="2">
        <v>1</v>
      </c>
      <c r="M69" s="10">
        <v>340</v>
      </c>
      <c r="N69" s="7">
        <v>340</v>
      </c>
    </row>
    <row r="70" spans="1:14" x14ac:dyDescent="0.3">
      <c r="A70">
        <v>1025</v>
      </c>
      <c r="B70" s="1">
        <v>45070</v>
      </c>
      <c r="C70">
        <v>2023</v>
      </c>
      <c r="D70">
        <v>5</v>
      </c>
      <c r="E70" t="str">
        <f t="shared" si="1"/>
        <v>Mei</v>
      </c>
      <c r="F70">
        <v>2</v>
      </c>
      <c r="G70" t="s">
        <v>1522</v>
      </c>
      <c r="H70" t="s">
        <v>1520</v>
      </c>
      <c r="I70" t="s">
        <v>1521</v>
      </c>
      <c r="J70" t="s">
        <v>1566</v>
      </c>
      <c r="K70" t="s">
        <v>1525</v>
      </c>
      <c r="L70" s="2">
        <v>1</v>
      </c>
      <c r="M70" s="10">
        <v>340</v>
      </c>
      <c r="N70" s="7">
        <v>340</v>
      </c>
    </row>
    <row r="71" spans="1:14" x14ac:dyDescent="0.3">
      <c r="A71">
        <v>1025</v>
      </c>
      <c r="B71" s="1">
        <v>45608</v>
      </c>
      <c r="C71">
        <v>2024</v>
      </c>
      <c r="D71">
        <v>11</v>
      </c>
      <c r="E71" t="str">
        <f t="shared" si="1"/>
        <v>November</v>
      </c>
      <c r="F71">
        <v>4</v>
      </c>
      <c r="G71" t="s">
        <v>1522</v>
      </c>
      <c r="H71" t="s">
        <v>1520</v>
      </c>
      <c r="I71" t="s">
        <v>1521</v>
      </c>
      <c r="J71" t="s">
        <v>1566</v>
      </c>
      <c r="K71" t="s">
        <v>1525</v>
      </c>
      <c r="L71" s="2">
        <v>1</v>
      </c>
      <c r="M71" s="10">
        <v>340</v>
      </c>
      <c r="N71" s="7">
        <v>340</v>
      </c>
    </row>
    <row r="72" spans="1:14" x14ac:dyDescent="0.3">
      <c r="A72">
        <v>1025</v>
      </c>
      <c r="B72" s="1">
        <v>45140</v>
      </c>
      <c r="C72">
        <v>2023</v>
      </c>
      <c r="D72">
        <v>8</v>
      </c>
      <c r="E72" t="str">
        <f t="shared" si="1"/>
        <v>Agustus</v>
      </c>
      <c r="F72">
        <v>3</v>
      </c>
      <c r="G72" t="s">
        <v>1522</v>
      </c>
      <c r="H72" t="s">
        <v>1520</v>
      </c>
      <c r="I72" t="s">
        <v>1521</v>
      </c>
      <c r="J72" t="s">
        <v>1566</v>
      </c>
      <c r="K72" t="s">
        <v>1525</v>
      </c>
      <c r="L72" s="2">
        <v>1</v>
      </c>
      <c r="M72" s="10">
        <v>340</v>
      </c>
      <c r="N72" s="7">
        <v>340</v>
      </c>
    </row>
    <row r="73" spans="1:14" x14ac:dyDescent="0.3">
      <c r="A73">
        <v>1026</v>
      </c>
      <c r="B73" s="1">
        <v>45243</v>
      </c>
      <c r="C73">
        <v>2023</v>
      </c>
      <c r="D73">
        <v>11</v>
      </c>
      <c r="E73" t="str">
        <f t="shared" si="1"/>
        <v>November</v>
      </c>
      <c r="F73">
        <v>4</v>
      </c>
      <c r="G73" t="s">
        <v>1523</v>
      </c>
      <c r="H73" t="s">
        <v>1512</v>
      </c>
      <c r="I73" t="s">
        <v>1531</v>
      </c>
      <c r="J73" t="s">
        <v>1524</v>
      </c>
      <c r="K73" t="s">
        <v>1518</v>
      </c>
      <c r="L73" s="2">
        <v>1</v>
      </c>
      <c r="M73" s="10">
        <v>34153</v>
      </c>
      <c r="N73" s="7">
        <v>34153</v>
      </c>
    </row>
    <row r="74" spans="1:14" x14ac:dyDescent="0.3">
      <c r="A74">
        <v>1026</v>
      </c>
      <c r="B74" s="1">
        <v>44860</v>
      </c>
      <c r="C74">
        <v>2022</v>
      </c>
      <c r="D74">
        <v>10</v>
      </c>
      <c r="E74" t="str">
        <f t="shared" si="1"/>
        <v>Oktober</v>
      </c>
      <c r="F74">
        <v>4</v>
      </c>
      <c r="G74" t="s">
        <v>1523</v>
      </c>
      <c r="H74" t="s">
        <v>1512</v>
      </c>
      <c r="I74" t="s">
        <v>1531</v>
      </c>
      <c r="J74" t="s">
        <v>1524</v>
      </c>
      <c r="K74" t="s">
        <v>1518</v>
      </c>
      <c r="L74" s="2">
        <v>1</v>
      </c>
      <c r="M74" s="10">
        <v>34153</v>
      </c>
      <c r="N74" s="7">
        <v>34153</v>
      </c>
    </row>
    <row r="75" spans="1:14" x14ac:dyDescent="0.3">
      <c r="A75">
        <v>1027</v>
      </c>
      <c r="B75" s="1">
        <v>44691</v>
      </c>
      <c r="C75">
        <v>2022</v>
      </c>
      <c r="D75">
        <v>5</v>
      </c>
      <c r="E75" t="str">
        <f t="shared" si="1"/>
        <v>Mei</v>
      </c>
      <c r="F75">
        <v>2</v>
      </c>
      <c r="G75" t="s">
        <v>1526</v>
      </c>
      <c r="H75" t="s">
        <v>1527</v>
      </c>
      <c r="I75" t="s">
        <v>1516</v>
      </c>
      <c r="J75" t="s">
        <v>1524</v>
      </c>
      <c r="K75" t="s">
        <v>1518</v>
      </c>
      <c r="L75" s="2">
        <v>1</v>
      </c>
      <c r="M75" s="10">
        <v>884</v>
      </c>
      <c r="N75" s="7">
        <v>884</v>
      </c>
    </row>
    <row r="76" spans="1:14" x14ac:dyDescent="0.3">
      <c r="A76">
        <v>1027</v>
      </c>
      <c r="B76" s="1">
        <v>45219</v>
      </c>
      <c r="C76">
        <v>2023</v>
      </c>
      <c r="D76">
        <v>10</v>
      </c>
      <c r="E76" t="str">
        <f t="shared" si="1"/>
        <v>Oktober</v>
      </c>
      <c r="F76">
        <v>4</v>
      </c>
      <c r="G76" t="s">
        <v>1526</v>
      </c>
      <c r="H76" t="s">
        <v>1527</v>
      </c>
      <c r="I76" t="s">
        <v>1516</v>
      </c>
      <c r="J76" t="s">
        <v>1524</v>
      </c>
      <c r="K76" t="s">
        <v>1518</v>
      </c>
      <c r="L76" s="2">
        <v>1</v>
      </c>
      <c r="M76" s="10">
        <v>884</v>
      </c>
      <c r="N76" s="7">
        <v>884</v>
      </c>
    </row>
    <row r="77" spans="1:14" x14ac:dyDescent="0.3">
      <c r="A77">
        <v>1027</v>
      </c>
      <c r="B77" s="1">
        <v>44833</v>
      </c>
      <c r="C77">
        <v>2022</v>
      </c>
      <c r="D77">
        <v>9</v>
      </c>
      <c r="E77" t="str">
        <f t="shared" si="1"/>
        <v>September</v>
      </c>
      <c r="F77">
        <v>3</v>
      </c>
      <c r="G77" t="s">
        <v>1526</v>
      </c>
      <c r="H77" t="s">
        <v>1527</v>
      </c>
      <c r="I77" t="s">
        <v>1516</v>
      </c>
      <c r="J77" t="s">
        <v>1524</v>
      </c>
      <c r="K77" t="s">
        <v>1518</v>
      </c>
      <c r="L77" s="2">
        <v>1</v>
      </c>
      <c r="M77" s="10">
        <v>884</v>
      </c>
      <c r="N77" s="7">
        <v>884</v>
      </c>
    </row>
    <row r="78" spans="1:14" x14ac:dyDescent="0.3">
      <c r="A78">
        <v>1028</v>
      </c>
      <c r="B78" s="1">
        <v>44942</v>
      </c>
      <c r="C78">
        <v>2023</v>
      </c>
      <c r="D78">
        <v>1</v>
      </c>
      <c r="E78" t="str">
        <f t="shared" si="1"/>
        <v>Januari</v>
      </c>
      <c r="F78">
        <v>1</v>
      </c>
      <c r="G78" t="s">
        <v>1529</v>
      </c>
      <c r="H78" t="s">
        <v>1530</v>
      </c>
      <c r="I78" t="s">
        <v>1521</v>
      </c>
      <c r="J78" t="s">
        <v>1517</v>
      </c>
      <c r="K78" t="s">
        <v>1525</v>
      </c>
      <c r="L78" s="2">
        <v>1</v>
      </c>
      <c r="M78" s="10">
        <v>1961</v>
      </c>
      <c r="N78" s="7">
        <v>1961</v>
      </c>
    </row>
    <row r="79" spans="1:14" x14ac:dyDescent="0.3">
      <c r="A79">
        <v>1029</v>
      </c>
      <c r="B79" s="1">
        <v>44997</v>
      </c>
      <c r="C79">
        <v>2023</v>
      </c>
      <c r="D79">
        <v>3</v>
      </c>
      <c r="E79" t="str">
        <f t="shared" si="1"/>
        <v>Maret</v>
      </c>
      <c r="F79">
        <v>1</v>
      </c>
      <c r="G79" t="s">
        <v>1532</v>
      </c>
      <c r="H79" t="s">
        <v>1512</v>
      </c>
      <c r="I79" t="s">
        <v>1521</v>
      </c>
      <c r="J79" t="s">
        <v>1566</v>
      </c>
      <c r="K79" t="s">
        <v>1518</v>
      </c>
      <c r="L79" s="2">
        <v>1</v>
      </c>
      <c r="M79" s="10">
        <v>7608</v>
      </c>
      <c r="N79" s="7">
        <v>7608</v>
      </c>
    </row>
    <row r="80" spans="1:14" x14ac:dyDescent="0.3">
      <c r="A80">
        <v>1029</v>
      </c>
      <c r="B80" s="1">
        <v>45021</v>
      </c>
      <c r="C80">
        <v>2023</v>
      </c>
      <c r="D80">
        <v>4</v>
      </c>
      <c r="E80" t="str">
        <f t="shared" si="1"/>
        <v>April</v>
      </c>
      <c r="F80">
        <v>2</v>
      </c>
      <c r="G80" t="s">
        <v>1532</v>
      </c>
      <c r="H80" t="s">
        <v>1512</v>
      </c>
      <c r="I80" t="s">
        <v>1521</v>
      </c>
      <c r="J80" t="s">
        <v>1566</v>
      </c>
      <c r="K80" t="s">
        <v>1518</v>
      </c>
      <c r="L80" s="2">
        <v>1</v>
      </c>
      <c r="M80" s="10">
        <v>7608</v>
      </c>
      <c r="N80" s="7">
        <v>7608</v>
      </c>
    </row>
    <row r="81" spans="1:14" x14ac:dyDescent="0.3">
      <c r="A81">
        <v>1030</v>
      </c>
      <c r="B81" s="1">
        <v>45271</v>
      </c>
      <c r="C81">
        <v>2023</v>
      </c>
      <c r="D81">
        <v>12</v>
      </c>
      <c r="E81" t="str">
        <f t="shared" si="1"/>
        <v>Desember</v>
      </c>
      <c r="F81">
        <v>4</v>
      </c>
      <c r="G81" t="s">
        <v>1533</v>
      </c>
      <c r="H81" t="s">
        <v>1520</v>
      </c>
      <c r="I81" t="s">
        <v>1528</v>
      </c>
      <c r="J81" t="s">
        <v>1566</v>
      </c>
      <c r="K81" t="s">
        <v>1525</v>
      </c>
      <c r="L81" s="2">
        <v>5</v>
      </c>
      <c r="M81" s="10">
        <v>126</v>
      </c>
      <c r="N81" s="7">
        <v>630</v>
      </c>
    </row>
    <row r="82" spans="1:14" x14ac:dyDescent="0.3">
      <c r="A82">
        <v>1031</v>
      </c>
      <c r="B82" s="1">
        <v>44867</v>
      </c>
      <c r="C82">
        <v>2022</v>
      </c>
      <c r="D82">
        <v>11</v>
      </c>
      <c r="E82" t="str">
        <f t="shared" si="1"/>
        <v>November</v>
      </c>
      <c r="F82">
        <v>4</v>
      </c>
      <c r="G82" t="s">
        <v>1511</v>
      </c>
      <c r="H82" t="s">
        <v>1512</v>
      </c>
      <c r="I82" t="s">
        <v>1528</v>
      </c>
      <c r="J82" t="s">
        <v>1517</v>
      </c>
      <c r="K82" t="s">
        <v>1525</v>
      </c>
      <c r="L82" s="2">
        <v>1</v>
      </c>
      <c r="M82" s="10">
        <v>68088</v>
      </c>
      <c r="N82" s="7">
        <v>68088</v>
      </c>
    </row>
    <row r="83" spans="1:14" x14ac:dyDescent="0.3">
      <c r="A83">
        <v>1031</v>
      </c>
      <c r="B83" s="1">
        <v>45574</v>
      </c>
      <c r="C83">
        <v>2024</v>
      </c>
      <c r="D83">
        <v>10</v>
      </c>
      <c r="E83" t="str">
        <f t="shared" si="1"/>
        <v>Oktober</v>
      </c>
      <c r="F83">
        <v>4</v>
      </c>
      <c r="G83" t="s">
        <v>1511</v>
      </c>
      <c r="H83" t="s">
        <v>1512</v>
      </c>
      <c r="I83" t="s">
        <v>1528</v>
      </c>
      <c r="J83" t="s">
        <v>1517</v>
      </c>
      <c r="K83" t="s">
        <v>1525</v>
      </c>
      <c r="L83" s="2">
        <v>1</v>
      </c>
      <c r="M83" s="10">
        <v>68088</v>
      </c>
      <c r="N83" s="7">
        <v>68088</v>
      </c>
    </row>
    <row r="84" spans="1:14" x14ac:dyDescent="0.3">
      <c r="A84">
        <v>1031</v>
      </c>
      <c r="B84" s="1">
        <v>45466</v>
      </c>
      <c r="C84">
        <v>2024</v>
      </c>
      <c r="D84">
        <v>6</v>
      </c>
      <c r="E84" t="str">
        <f t="shared" si="1"/>
        <v>Juni</v>
      </c>
      <c r="F84">
        <v>2</v>
      </c>
      <c r="G84" t="s">
        <v>1511</v>
      </c>
      <c r="H84" t="s">
        <v>1512</v>
      </c>
      <c r="I84" t="s">
        <v>1528</v>
      </c>
      <c r="J84" t="s">
        <v>1517</v>
      </c>
      <c r="K84" t="s">
        <v>1525</v>
      </c>
      <c r="L84" s="2">
        <v>1</v>
      </c>
      <c r="M84" s="10">
        <v>68088</v>
      </c>
      <c r="N84" s="7">
        <v>68088</v>
      </c>
    </row>
    <row r="85" spans="1:14" x14ac:dyDescent="0.3">
      <c r="A85">
        <v>1032</v>
      </c>
      <c r="B85" s="1">
        <v>44682</v>
      </c>
      <c r="C85">
        <v>2022</v>
      </c>
      <c r="D85">
        <v>5</v>
      </c>
      <c r="E85" t="str">
        <f t="shared" si="1"/>
        <v>Mei</v>
      </c>
      <c r="F85">
        <v>2</v>
      </c>
      <c r="G85" t="s">
        <v>1515</v>
      </c>
      <c r="H85" t="s">
        <v>1512</v>
      </c>
      <c r="I85" t="s">
        <v>1516</v>
      </c>
      <c r="J85" t="s">
        <v>1517</v>
      </c>
      <c r="K85" t="s">
        <v>1518</v>
      </c>
      <c r="L85" s="2">
        <v>3</v>
      </c>
      <c r="M85" s="10">
        <v>2723</v>
      </c>
      <c r="N85" s="7">
        <v>8169</v>
      </c>
    </row>
    <row r="86" spans="1:14" x14ac:dyDescent="0.3">
      <c r="A86">
        <v>1032</v>
      </c>
      <c r="B86" s="1">
        <v>45161</v>
      </c>
      <c r="C86">
        <v>2023</v>
      </c>
      <c r="D86">
        <v>8</v>
      </c>
      <c r="E86" t="str">
        <f t="shared" si="1"/>
        <v>Agustus</v>
      </c>
      <c r="F86">
        <v>3</v>
      </c>
      <c r="G86" t="s">
        <v>1515</v>
      </c>
      <c r="H86" t="s">
        <v>1512</v>
      </c>
      <c r="I86" t="s">
        <v>1516</v>
      </c>
      <c r="J86" t="s">
        <v>1517</v>
      </c>
      <c r="K86" t="s">
        <v>1518</v>
      </c>
      <c r="L86" s="2">
        <v>3</v>
      </c>
      <c r="M86" s="10">
        <v>2723</v>
      </c>
      <c r="N86" s="7">
        <v>8169</v>
      </c>
    </row>
    <row r="87" spans="1:14" x14ac:dyDescent="0.3">
      <c r="A87">
        <v>1032</v>
      </c>
      <c r="B87" s="1">
        <v>45074</v>
      </c>
      <c r="C87">
        <v>2023</v>
      </c>
      <c r="D87">
        <v>5</v>
      </c>
      <c r="E87" t="str">
        <f t="shared" si="1"/>
        <v>Mei</v>
      </c>
      <c r="F87">
        <v>2</v>
      </c>
      <c r="G87" t="s">
        <v>1515</v>
      </c>
      <c r="H87" t="s">
        <v>1512</v>
      </c>
      <c r="I87" t="s">
        <v>1516</v>
      </c>
      <c r="J87" t="s">
        <v>1517</v>
      </c>
      <c r="K87" t="s">
        <v>1518</v>
      </c>
      <c r="L87" s="2">
        <v>3</v>
      </c>
      <c r="M87" s="10">
        <v>2723</v>
      </c>
      <c r="N87" s="7">
        <v>8169</v>
      </c>
    </row>
    <row r="88" spans="1:14" x14ac:dyDescent="0.3">
      <c r="A88">
        <v>1033</v>
      </c>
      <c r="B88" s="1">
        <v>44935</v>
      </c>
      <c r="C88">
        <v>2023</v>
      </c>
      <c r="D88">
        <v>1</v>
      </c>
      <c r="E88" t="str">
        <f t="shared" si="1"/>
        <v>Januari</v>
      </c>
      <c r="F88">
        <v>1</v>
      </c>
      <c r="G88" t="s">
        <v>1534</v>
      </c>
      <c r="H88" t="s">
        <v>1530</v>
      </c>
      <c r="I88" t="s">
        <v>1535</v>
      </c>
      <c r="J88" t="s">
        <v>1517</v>
      </c>
      <c r="K88" t="s">
        <v>1525</v>
      </c>
      <c r="L88" s="2">
        <v>1</v>
      </c>
      <c r="M88" s="10">
        <v>4157</v>
      </c>
      <c r="N88" s="7">
        <v>4157</v>
      </c>
    </row>
    <row r="89" spans="1:14" x14ac:dyDescent="0.3">
      <c r="A89">
        <v>1033</v>
      </c>
      <c r="B89" s="1">
        <v>45318</v>
      </c>
      <c r="C89">
        <v>2024</v>
      </c>
      <c r="D89">
        <v>1</v>
      </c>
      <c r="E89" t="str">
        <f t="shared" si="1"/>
        <v>Januari</v>
      </c>
      <c r="F89">
        <v>1</v>
      </c>
      <c r="G89" t="s">
        <v>1534</v>
      </c>
      <c r="H89" t="s">
        <v>1530</v>
      </c>
      <c r="I89" t="s">
        <v>1535</v>
      </c>
      <c r="J89" t="s">
        <v>1517</v>
      </c>
      <c r="K89" t="s">
        <v>1525</v>
      </c>
      <c r="L89" s="2">
        <v>1</v>
      </c>
      <c r="M89" s="10">
        <v>4157</v>
      </c>
      <c r="N89" s="7">
        <v>4157</v>
      </c>
    </row>
    <row r="90" spans="1:14" x14ac:dyDescent="0.3">
      <c r="A90">
        <v>1033</v>
      </c>
      <c r="B90" s="1">
        <v>45322</v>
      </c>
      <c r="C90">
        <v>2024</v>
      </c>
      <c r="D90">
        <v>1</v>
      </c>
      <c r="E90" t="str">
        <f t="shared" si="1"/>
        <v>Januari</v>
      </c>
      <c r="F90">
        <v>1</v>
      </c>
      <c r="G90" t="s">
        <v>1534</v>
      </c>
      <c r="H90" t="s">
        <v>1530</v>
      </c>
      <c r="I90" t="s">
        <v>1535</v>
      </c>
      <c r="J90" t="s">
        <v>1517</v>
      </c>
      <c r="K90" t="s">
        <v>1525</v>
      </c>
      <c r="L90" s="2">
        <v>1</v>
      </c>
      <c r="M90" s="10">
        <v>4157</v>
      </c>
      <c r="N90" s="7">
        <v>4157</v>
      </c>
    </row>
    <row r="91" spans="1:14" x14ac:dyDescent="0.3">
      <c r="A91">
        <v>1033</v>
      </c>
      <c r="B91" s="1">
        <v>44602</v>
      </c>
      <c r="C91">
        <v>2022</v>
      </c>
      <c r="D91">
        <v>2</v>
      </c>
      <c r="E91" t="str">
        <f t="shared" si="1"/>
        <v>Februari</v>
      </c>
      <c r="F91">
        <v>1</v>
      </c>
      <c r="G91" t="s">
        <v>1534</v>
      </c>
      <c r="H91" t="s">
        <v>1530</v>
      </c>
      <c r="I91" t="s">
        <v>1535</v>
      </c>
      <c r="J91" t="s">
        <v>1517</v>
      </c>
      <c r="K91" t="s">
        <v>1525</v>
      </c>
      <c r="L91" s="2">
        <v>1</v>
      </c>
      <c r="M91" s="10">
        <v>4157</v>
      </c>
      <c r="N91" s="7">
        <v>4157</v>
      </c>
    </row>
    <row r="92" spans="1:14" x14ac:dyDescent="0.3">
      <c r="A92">
        <v>1035</v>
      </c>
      <c r="B92" s="1">
        <v>44620</v>
      </c>
      <c r="C92">
        <v>2022</v>
      </c>
      <c r="D92">
        <v>2</v>
      </c>
      <c r="E92" t="str">
        <f t="shared" si="1"/>
        <v>Februari</v>
      </c>
      <c r="F92">
        <v>1</v>
      </c>
      <c r="G92" t="s">
        <v>1522</v>
      </c>
      <c r="H92" t="s">
        <v>1520</v>
      </c>
      <c r="I92" t="s">
        <v>1516</v>
      </c>
      <c r="J92" t="s">
        <v>1524</v>
      </c>
      <c r="K92" t="s">
        <v>1518</v>
      </c>
      <c r="L92" s="2">
        <v>3</v>
      </c>
      <c r="M92" s="10">
        <v>414</v>
      </c>
      <c r="N92" s="7">
        <v>1242</v>
      </c>
    </row>
    <row r="93" spans="1:14" x14ac:dyDescent="0.3">
      <c r="A93">
        <v>1035</v>
      </c>
      <c r="B93" s="1">
        <v>44633</v>
      </c>
      <c r="C93">
        <v>2022</v>
      </c>
      <c r="D93">
        <v>3</v>
      </c>
      <c r="E93" t="str">
        <f t="shared" si="1"/>
        <v>Maret</v>
      </c>
      <c r="F93">
        <v>1</v>
      </c>
      <c r="G93" t="s">
        <v>1522</v>
      </c>
      <c r="H93" t="s">
        <v>1520</v>
      </c>
      <c r="I93" t="s">
        <v>1516</v>
      </c>
      <c r="J93" t="s">
        <v>1524</v>
      </c>
      <c r="K93" t="s">
        <v>1518</v>
      </c>
      <c r="L93" s="2">
        <v>3</v>
      </c>
      <c r="M93" s="10">
        <v>414</v>
      </c>
      <c r="N93" s="7">
        <v>1242</v>
      </c>
    </row>
    <row r="94" spans="1:14" x14ac:dyDescent="0.3">
      <c r="A94">
        <v>1035</v>
      </c>
      <c r="B94" s="1">
        <v>45111</v>
      </c>
      <c r="C94">
        <v>2023</v>
      </c>
      <c r="D94">
        <v>7</v>
      </c>
      <c r="E94" t="str">
        <f t="shared" si="1"/>
        <v>Juli</v>
      </c>
      <c r="F94">
        <v>3</v>
      </c>
      <c r="G94" t="s">
        <v>1522</v>
      </c>
      <c r="H94" t="s">
        <v>1520</v>
      </c>
      <c r="I94" t="s">
        <v>1516</v>
      </c>
      <c r="J94" t="s">
        <v>1524</v>
      </c>
      <c r="K94" t="s">
        <v>1518</v>
      </c>
      <c r="L94" s="2">
        <v>3</v>
      </c>
      <c r="M94" s="10">
        <v>414</v>
      </c>
      <c r="N94" s="7">
        <v>1242</v>
      </c>
    </row>
    <row r="95" spans="1:14" x14ac:dyDescent="0.3">
      <c r="A95">
        <v>1036</v>
      </c>
      <c r="B95" s="1">
        <v>45279</v>
      </c>
      <c r="C95">
        <v>2023</v>
      </c>
      <c r="D95">
        <v>12</v>
      </c>
      <c r="E95" t="str">
        <f t="shared" si="1"/>
        <v>Desember</v>
      </c>
      <c r="F95">
        <v>4</v>
      </c>
      <c r="G95" t="s">
        <v>1523</v>
      </c>
      <c r="H95" t="s">
        <v>1512</v>
      </c>
      <c r="I95" t="s">
        <v>1531</v>
      </c>
      <c r="J95" t="s">
        <v>1524</v>
      </c>
      <c r="K95" t="s">
        <v>1514</v>
      </c>
      <c r="L95" s="2">
        <v>2</v>
      </c>
      <c r="M95" s="10">
        <v>15134</v>
      </c>
      <c r="N95" s="7">
        <v>30268</v>
      </c>
    </row>
    <row r="96" spans="1:14" x14ac:dyDescent="0.3">
      <c r="A96">
        <v>1037</v>
      </c>
      <c r="B96" s="1">
        <v>45304</v>
      </c>
      <c r="C96">
        <v>2024</v>
      </c>
      <c r="D96">
        <v>1</v>
      </c>
      <c r="E96" t="str">
        <f t="shared" si="1"/>
        <v>Januari</v>
      </c>
      <c r="F96">
        <v>1</v>
      </c>
      <c r="G96" t="s">
        <v>1526</v>
      </c>
      <c r="H96" t="s">
        <v>1527</v>
      </c>
      <c r="I96" t="s">
        <v>1528</v>
      </c>
      <c r="J96" t="s">
        <v>1524</v>
      </c>
      <c r="K96" t="s">
        <v>1514</v>
      </c>
      <c r="L96" s="2">
        <v>5</v>
      </c>
      <c r="M96" s="10">
        <v>605</v>
      </c>
      <c r="N96" s="7">
        <v>3025</v>
      </c>
    </row>
    <row r="97" spans="1:14" x14ac:dyDescent="0.3">
      <c r="A97">
        <v>1038</v>
      </c>
      <c r="B97" s="1">
        <v>44766</v>
      </c>
      <c r="C97">
        <v>2022</v>
      </c>
      <c r="D97">
        <v>7</v>
      </c>
      <c r="E97" t="str">
        <f t="shared" si="1"/>
        <v>Juli</v>
      </c>
      <c r="F97">
        <v>3</v>
      </c>
      <c r="G97" t="s">
        <v>1529</v>
      </c>
      <c r="H97" t="s">
        <v>1530</v>
      </c>
      <c r="I97" t="s">
        <v>1516</v>
      </c>
      <c r="J97" t="s">
        <v>1524</v>
      </c>
      <c r="K97" t="s">
        <v>1514</v>
      </c>
      <c r="L97" s="2">
        <v>3</v>
      </c>
      <c r="M97" s="10">
        <v>1857</v>
      </c>
      <c r="N97" s="7">
        <v>5571</v>
      </c>
    </row>
    <row r="98" spans="1:14" x14ac:dyDescent="0.3">
      <c r="A98">
        <v>1038</v>
      </c>
      <c r="B98" s="1">
        <v>45347</v>
      </c>
      <c r="C98">
        <v>2024</v>
      </c>
      <c r="D98">
        <v>2</v>
      </c>
      <c r="E98" t="str">
        <f t="shared" si="1"/>
        <v>Februari</v>
      </c>
      <c r="F98">
        <v>1</v>
      </c>
      <c r="G98" t="s">
        <v>1529</v>
      </c>
      <c r="H98" t="s">
        <v>1530</v>
      </c>
      <c r="I98" t="s">
        <v>1516</v>
      </c>
      <c r="J98" t="s">
        <v>1524</v>
      </c>
      <c r="K98" t="s">
        <v>1514</v>
      </c>
      <c r="L98" s="2">
        <v>3</v>
      </c>
      <c r="M98" s="10">
        <v>1857</v>
      </c>
      <c r="N98" s="7">
        <v>5571</v>
      </c>
    </row>
    <row r="99" spans="1:14" x14ac:dyDescent="0.3">
      <c r="A99">
        <v>1039</v>
      </c>
      <c r="B99" s="1">
        <v>44728</v>
      </c>
      <c r="C99">
        <v>2022</v>
      </c>
      <c r="D99">
        <v>6</v>
      </c>
      <c r="E99" t="str">
        <f t="shared" si="1"/>
        <v>Juni</v>
      </c>
      <c r="F99">
        <v>2</v>
      </c>
      <c r="G99" t="s">
        <v>1532</v>
      </c>
      <c r="H99" t="s">
        <v>1512</v>
      </c>
      <c r="I99" t="s">
        <v>1513</v>
      </c>
      <c r="J99" t="s">
        <v>1524</v>
      </c>
      <c r="K99" t="s">
        <v>1525</v>
      </c>
      <c r="L99" s="2">
        <v>1</v>
      </c>
      <c r="M99" s="10">
        <v>5190</v>
      </c>
      <c r="N99" s="7">
        <v>5190</v>
      </c>
    </row>
    <row r="100" spans="1:14" x14ac:dyDescent="0.3">
      <c r="A100">
        <v>1039</v>
      </c>
      <c r="B100" s="1">
        <v>44933</v>
      </c>
      <c r="C100">
        <v>2023</v>
      </c>
      <c r="D100">
        <v>1</v>
      </c>
      <c r="E100" t="str">
        <f t="shared" si="1"/>
        <v>Januari</v>
      </c>
      <c r="F100">
        <v>1</v>
      </c>
      <c r="G100" t="s">
        <v>1532</v>
      </c>
      <c r="H100" t="s">
        <v>1512</v>
      </c>
      <c r="I100" t="s">
        <v>1513</v>
      </c>
      <c r="J100" t="s">
        <v>1524</v>
      </c>
      <c r="K100" t="s">
        <v>1525</v>
      </c>
      <c r="L100" s="2">
        <v>1</v>
      </c>
      <c r="M100" s="10">
        <v>5190</v>
      </c>
      <c r="N100" s="7">
        <v>5190</v>
      </c>
    </row>
    <row r="101" spans="1:14" x14ac:dyDescent="0.3">
      <c r="A101">
        <v>1039</v>
      </c>
      <c r="B101" s="1">
        <v>44966</v>
      </c>
      <c r="C101">
        <v>2023</v>
      </c>
      <c r="D101">
        <v>2</v>
      </c>
      <c r="E101" t="str">
        <f t="shared" si="1"/>
        <v>Februari</v>
      </c>
      <c r="F101">
        <v>1</v>
      </c>
      <c r="G101" t="s">
        <v>1532</v>
      </c>
      <c r="H101" t="s">
        <v>1512</v>
      </c>
      <c r="I101" t="s">
        <v>1513</v>
      </c>
      <c r="J101" t="s">
        <v>1524</v>
      </c>
      <c r="K101" t="s">
        <v>1525</v>
      </c>
      <c r="L101" s="2">
        <v>1</v>
      </c>
      <c r="M101" s="10">
        <v>5190</v>
      </c>
      <c r="N101" s="7">
        <v>5190</v>
      </c>
    </row>
    <row r="102" spans="1:14" x14ac:dyDescent="0.3">
      <c r="A102">
        <v>1039</v>
      </c>
      <c r="B102" s="1">
        <v>44863</v>
      </c>
      <c r="C102">
        <v>2022</v>
      </c>
      <c r="D102">
        <v>10</v>
      </c>
      <c r="E102" t="str">
        <f t="shared" si="1"/>
        <v>Oktober</v>
      </c>
      <c r="F102">
        <v>4</v>
      </c>
      <c r="G102" t="s">
        <v>1532</v>
      </c>
      <c r="H102" t="s">
        <v>1512</v>
      </c>
      <c r="I102" t="s">
        <v>1513</v>
      </c>
      <c r="J102" t="s">
        <v>1524</v>
      </c>
      <c r="K102" t="s">
        <v>1525</v>
      </c>
      <c r="L102" s="2">
        <v>1</v>
      </c>
      <c r="M102" s="10">
        <v>5190</v>
      </c>
      <c r="N102" s="7">
        <v>5190</v>
      </c>
    </row>
    <row r="103" spans="1:14" x14ac:dyDescent="0.3">
      <c r="A103">
        <v>1040</v>
      </c>
      <c r="B103" s="1">
        <v>44829</v>
      </c>
      <c r="C103">
        <v>2022</v>
      </c>
      <c r="D103">
        <v>9</v>
      </c>
      <c r="E103" t="str">
        <f t="shared" si="1"/>
        <v>September</v>
      </c>
      <c r="F103">
        <v>3</v>
      </c>
      <c r="G103" t="s">
        <v>1533</v>
      </c>
      <c r="H103" t="s">
        <v>1520</v>
      </c>
      <c r="I103" t="s">
        <v>1531</v>
      </c>
      <c r="J103" t="s">
        <v>1566</v>
      </c>
      <c r="K103" t="s">
        <v>1525</v>
      </c>
      <c r="L103" s="2">
        <v>4</v>
      </c>
      <c r="M103" s="10">
        <v>338</v>
      </c>
      <c r="N103" s="7">
        <v>1352</v>
      </c>
    </row>
    <row r="104" spans="1:14" x14ac:dyDescent="0.3">
      <c r="A104">
        <v>1040</v>
      </c>
      <c r="B104" s="1">
        <v>44580</v>
      </c>
      <c r="C104">
        <v>2022</v>
      </c>
      <c r="D104">
        <v>1</v>
      </c>
      <c r="E104" t="str">
        <f t="shared" si="1"/>
        <v>Januari</v>
      </c>
      <c r="F104">
        <v>1</v>
      </c>
      <c r="G104" t="s">
        <v>1533</v>
      </c>
      <c r="H104" t="s">
        <v>1520</v>
      </c>
      <c r="I104" t="s">
        <v>1531</v>
      </c>
      <c r="J104" t="s">
        <v>1566</v>
      </c>
      <c r="K104" t="s">
        <v>1525</v>
      </c>
      <c r="L104" s="2">
        <v>4</v>
      </c>
      <c r="M104" s="10">
        <v>338</v>
      </c>
      <c r="N104" s="7">
        <v>1352</v>
      </c>
    </row>
    <row r="105" spans="1:14" x14ac:dyDescent="0.3">
      <c r="A105">
        <v>1041</v>
      </c>
      <c r="B105" s="1">
        <v>44612</v>
      </c>
      <c r="C105">
        <v>2022</v>
      </c>
      <c r="D105">
        <v>2</v>
      </c>
      <c r="E105" t="str">
        <f t="shared" si="1"/>
        <v>Februari</v>
      </c>
      <c r="F105">
        <v>1</v>
      </c>
      <c r="G105" t="s">
        <v>1511</v>
      </c>
      <c r="H105" t="s">
        <v>1512</v>
      </c>
      <c r="I105" t="s">
        <v>1528</v>
      </c>
      <c r="J105" t="s">
        <v>1517</v>
      </c>
      <c r="K105" t="s">
        <v>1525</v>
      </c>
      <c r="L105" s="2">
        <v>1</v>
      </c>
      <c r="M105" s="10">
        <v>52555</v>
      </c>
      <c r="N105" s="7">
        <v>52555</v>
      </c>
    </row>
    <row r="106" spans="1:14" x14ac:dyDescent="0.3">
      <c r="A106">
        <v>1041</v>
      </c>
      <c r="B106" s="1">
        <v>45154</v>
      </c>
      <c r="C106">
        <v>2023</v>
      </c>
      <c r="D106">
        <v>8</v>
      </c>
      <c r="E106" t="str">
        <f t="shared" si="1"/>
        <v>Agustus</v>
      </c>
      <c r="F106">
        <v>3</v>
      </c>
      <c r="G106" t="s">
        <v>1511</v>
      </c>
      <c r="H106" t="s">
        <v>1512</v>
      </c>
      <c r="I106" t="s">
        <v>1528</v>
      </c>
      <c r="J106" t="s">
        <v>1517</v>
      </c>
      <c r="K106" t="s">
        <v>1525</v>
      </c>
      <c r="L106" s="2">
        <v>1</v>
      </c>
      <c r="M106" s="10">
        <v>52555</v>
      </c>
      <c r="N106" s="7">
        <v>52555</v>
      </c>
    </row>
    <row r="107" spans="1:14" x14ac:dyDescent="0.3">
      <c r="A107">
        <v>1041</v>
      </c>
      <c r="B107" s="1">
        <v>45008</v>
      </c>
      <c r="C107">
        <v>2023</v>
      </c>
      <c r="D107">
        <v>3</v>
      </c>
      <c r="E107" t="str">
        <f t="shared" si="1"/>
        <v>Maret</v>
      </c>
      <c r="F107">
        <v>1</v>
      </c>
      <c r="G107" t="s">
        <v>1511</v>
      </c>
      <c r="H107" t="s">
        <v>1512</v>
      </c>
      <c r="I107" t="s">
        <v>1528</v>
      </c>
      <c r="J107" t="s">
        <v>1517</v>
      </c>
      <c r="K107" t="s">
        <v>1525</v>
      </c>
      <c r="L107" s="2">
        <v>1</v>
      </c>
      <c r="M107" s="10">
        <v>52555</v>
      </c>
      <c r="N107" s="7">
        <v>52555</v>
      </c>
    </row>
    <row r="108" spans="1:14" x14ac:dyDescent="0.3">
      <c r="A108">
        <v>1042</v>
      </c>
      <c r="B108" s="1">
        <v>45222</v>
      </c>
      <c r="C108">
        <v>2023</v>
      </c>
      <c r="D108">
        <v>10</v>
      </c>
      <c r="E108" t="str">
        <f t="shared" si="1"/>
        <v>Oktober</v>
      </c>
      <c r="F108">
        <v>4</v>
      </c>
      <c r="G108" t="s">
        <v>1515</v>
      </c>
      <c r="H108" t="s">
        <v>1512</v>
      </c>
      <c r="I108" t="s">
        <v>1516</v>
      </c>
      <c r="J108" t="s">
        <v>1524</v>
      </c>
      <c r="K108" t="s">
        <v>1518</v>
      </c>
      <c r="L108" s="2">
        <v>1</v>
      </c>
      <c r="M108" s="10">
        <v>2478</v>
      </c>
      <c r="N108" s="7">
        <v>2478</v>
      </c>
    </row>
    <row r="109" spans="1:14" x14ac:dyDescent="0.3">
      <c r="A109">
        <v>1042</v>
      </c>
      <c r="B109" s="1">
        <v>45161</v>
      </c>
      <c r="C109">
        <v>2023</v>
      </c>
      <c r="D109">
        <v>8</v>
      </c>
      <c r="E109" t="str">
        <f t="shared" si="1"/>
        <v>Agustus</v>
      </c>
      <c r="F109">
        <v>3</v>
      </c>
      <c r="G109" t="s">
        <v>1515</v>
      </c>
      <c r="H109" t="s">
        <v>1512</v>
      </c>
      <c r="I109" t="s">
        <v>1516</v>
      </c>
      <c r="J109" t="s">
        <v>1524</v>
      </c>
      <c r="K109" t="s">
        <v>1518</v>
      </c>
      <c r="L109" s="2">
        <v>1</v>
      </c>
      <c r="M109" s="10">
        <v>2478</v>
      </c>
      <c r="N109" s="7">
        <v>2478</v>
      </c>
    </row>
    <row r="110" spans="1:14" x14ac:dyDescent="0.3">
      <c r="A110">
        <v>1042</v>
      </c>
      <c r="B110" s="1">
        <v>45516</v>
      </c>
      <c r="C110">
        <v>2024</v>
      </c>
      <c r="D110">
        <v>8</v>
      </c>
      <c r="E110" t="str">
        <f t="shared" si="1"/>
        <v>Agustus</v>
      </c>
      <c r="F110">
        <v>3</v>
      </c>
      <c r="G110" t="s">
        <v>1515</v>
      </c>
      <c r="H110" t="s">
        <v>1512</v>
      </c>
      <c r="I110" t="s">
        <v>1516</v>
      </c>
      <c r="J110" t="s">
        <v>1524</v>
      </c>
      <c r="K110" t="s">
        <v>1518</v>
      </c>
      <c r="L110" s="2">
        <v>1</v>
      </c>
      <c r="M110" s="10">
        <v>2478</v>
      </c>
      <c r="N110" s="7">
        <v>2478</v>
      </c>
    </row>
    <row r="111" spans="1:14" x14ac:dyDescent="0.3">
      <c r="A111">
        <v>1043</v>
      </c>
      <c r="B111" s="1">
        <v>44671</v>
      </c>
      <c r="C111">
        <v>2022</v>
      </c>
      <c r="D111">
        <v>4</v>
      </c>
      <c r="E111" t="str">
        <f t="shared" si="1"/>
        <v>April</v>
      </c>
      <c r="F111">
        <v>2</v>
      </c>
      <c r="G111" t="s">
        <v>1534</v>
      </c>
      <c r="H111" t="s">
        <v>1530</v>
      </c>
      <c r="I111" t="s">
        <v>1513</v>
      </c>
      <c r="J111" t="s">
        <v>1524</v>
      </c>
      <c r="K111" t="s">
        <v>1525</v>
      </c>
      <c r="L111" s="2">
        <v>2</v>
      </c>
      <c r="M111" s="10">
        <v>4368</v>
      </c>
      <c r="N111" s="7">
        <v>8736</v>
      </c>
    </row>
    <row r="112" spans="1:14" x14ac:dyDescent="0.3">
      <c r="A112">
        <v>1043</v>
      </c>
      <c r="B112" s="1">
        <v>44939</v>
      </c>
      <c r="C112">
        <v>2023</v>
      </c>
      <c r="D112">
        <v>1</v>
      </c>
      <c r="E112" t="str">
        <f t="shared" si="1"/>
        <v>Januari</v>
      </c>
      <c r="F112">
        <v>1</v>
      </c>
      <c r="G112" t="s">
        <v>1534</v>
      </c>
      <c r="H112" t="s">
        <v>1530</v>
      </c>
      <c r="I112" t="s">
        <v>1513</v>
      </c>
      <c r="J112" t="s">
        <v>1524</v>
      </c>
      <c r="K112" t="s">
        <v>1525</v>
      </c>
      <c r="L112" s="2">
        <v>2</v>
      </c>
      <c r="M112" s="10">
        <v>4368</v>
      </c>
      <c r="N112" s="7">
        <v>8736</v>
      </c>
    </row>
    <row r="113" spans="1:14" x14ac:dyDescent="0.3">
      <c r="A113">
        <v>1043</v>
      </c>
      <c r="B113" s="1">
        <v>45154</v>
      </c>
      <c r="C113">
        <v>2023</v>
      </c>
      <c r="D113">
        <v>8</v>
      </c>
      <c r="E113" t="str">
        <f t="shared" si="1"/>
        <v>Agustus</v>
      </c>
      <c r="F113">
        <v>3</v>
      </c>
      <c r="G113" t="s">
        <v>1534</v>
      </c>
      <c r="H113" t="s">
        <v>1530</v>
      </c>
      <c r="I113" t="s">
        <v>1513</v>
      </c>
      <c r="J113" t="s">
        <v>1524</v>
      </c>
      <c r="K113" t="s">
        <v>1525</v>
      </c>
      <c r="L113" s="2">
        <v>2</v>
      </c>
      <c r="M113" s="10">
        <v>4368</v>
      </c>
      <c r="N113" s="7">
        <v>8736</v>
      </c>
    </row>
    <row r="114" spans="1:14" x14ac:dyDescent="0.3">
      <c r="A114">
        <v>1044</v>
      </c>
      <c r="B114" s="1">
        <v>45643</v>
      </c>
      <c r="C114">
        <v>2024</v>
      </c>
      <c r="D114">
        <v>12</v>
      </c>
      <c r="E114" t="str">
        <f t="shared" si="1"/>
        <v>Desember</v>
      </c>
      <c r="F114">
        <v>4</v>
      </c>
      <c r="G114" t="s">
        <v>1519</v>
      </c>
      <c r="H114" t="s">
        <v>1520</v>
      </c>
      <c r="I114" t="s">
        <v>1521</v>
      </c>
      <c r="J114" t="s">
        <v>1524</v>
      </c>
      <c r="K114" t="s">
        <v>1518</v>
      </c>
      <c r="L114" s="2">
        <v>5</v>
      </c>
      <c r="M114" s="10">
        <v>4294</v>
      </c>
      <c r="N114" s="7">
        <v>21470</v>
      </c>
    </row>
    <row r="115" spans="1:14" x14ac:dyDescent="0.3">
      <c r="A115">
        <v>1044</v>
      </c>
      <c r="B115" s="1">
        <v>45501</v>
      </c>
      <c r="C115">
        <v>2024</v>
      </c>
      <c r="D115">
        <v>7</v>
      </c>
      <c r="E115" t="str">
        <f t="shared" si="1"/>
        <v>Juli</v>
      </c>
      <c r="F115">
        <v>3</v>
      </c>
      <c r="G115" t="s">
        <v>1519</v>
      </c>
      <c r="H115" t="s">
        <v>1520</v>
      </c>
      <c r="I115" t="s">
        <v>1521</v>
      </c>
      <c r="J115" t="s">
        <v>1524</v>
      </c>
      <c r="K115" t="s">
        <v>1518</v>
      </c>
      <c r="L115" s="2">
        <v>5</v>
      </c>
      <c r="M115" s="10">
        <v>4294</v>
      </c>
      <c r="N115" s="7">
        <v>21470</v>
      </c>
    </row>
    <row r="116" spans="1:14" x14ac:dyDescent="0.3">
      <c r="A116">
        <v>1045</v>
      </c>
      <c r="B116" s="1">
        <v>45098</v>
      </c>
      <c r="C116">
        <v>2023</v>
      </c>
      <c r="D116">
        <v>6</v>
      </c>
      <c r="E116" t="str">
        <f t="shared" si="1"/>
        <v>Juni</v>
      </c>
      <c r="F116">
        <v>2</v>
      </c>
      <c r="G116" t="s">
        <v>1522</v>
      </c>
      <c r="H116" t="s">
        <v>1520</v>
      </c>
      <c r="I116" t="s">
        <v>1513</v>
      </c>
      <c r="J116" t="s">
        <v>1566</v>
      </c>
      <c r="K116" t="s">
        <v>1514</v>
      </c>
      <c r="L116" s="2">
        <v>5</v>
      </c>
      <c r="M116" s="10">
        <v>877</v>
      </c>
      <c r="N116" s="7">
        <v>4385</v>
      </c>
    </row>
    <row r="117" spans="1:14" x14ac:dyDescent="0.3">
      <c r="A117">
        <v>1046</v>
      </c>
      <c r="B117" s="1">
        <v>45590</v>
      </c>
      <c r="C117">
        <v>2024</v>
      </c>
      <c r="D117">
        <v>10</v>
      </c>
      <c r="E117" t="str">
        <f t="shared" si="1"/>
        <v>Oktober</v>
      </c>
      <c r="F117">
        <v>4</v>
      </c>
      <c r="G117" t="s">
        <v>1523</v>
      </c>
      <c r="H117" t="s">
        <v>1512</v>
      </c>
      <c r="I117" t="s">
        <v>1528</v>
      </c>
      <c r="J117" t="s">
        <v>1566</v>
      </c>
      <c r="K117" t="s">
        <v>1518</v>
      </c>
      <c r="L117" s="2">
        <v>2</v>
      </c>
      <c r="M117" s="10">
        <v>35059</v>
      </c>
      <c r="N117" s="7">
        <v>70118</v>
      </c>
    </row>
    <row r="118" spans="1:14" x14ac:dyDescent="0.3">
      <c r="A118">
        <v>1046</v>
      </c>
      <c r="B118" s="1">
        <v>44719</v>
      </c>
      <c r="C118">
        <v>2022</v>
      </c>
      <c r="D118">
        <v>6</v>
      </c>
      <c r="E118" t="str">
        <f t="shared" si="1"/>
        <v>Juni</v>
      </c>
      <c r="F118">
        <v>2</v>
      </c>
      <c r="G118" t="s">
        <v>1523</v>
      </c>
      <c r="H118" t="s">
        <v>1512</v>
      </c>
      <c r="I118" t="s">
        <v>1528</v>
      </c>
      <c r="J118" t="s">
        <v>1566</v>
      </c>
      <c r="K118" t="s">
        <v>1518</v>
      </c>
      <c r="L118" s="2">
        <v>2</v>
      </c>
      <c r="M118" s="10">
        <v>35059</v>
      </c>
      <c r="N118" s="7">
        <v>70118</v>
      </c>
    </row>
    <row r="119" spans="1:14" x14ac:dyDescent="0.3">
      <c r="A119">
        <v>1047</v>
      </c>
      <c r="B119" s="1">
        <v>45163</v>
      </c>
      <c r="C119">
        <v>2023</v>
      </c>
      <c r="D119">
        <v>8</v>
      </c>
      <c r="E119" t="str">
        <f t="shared" si="1"/>
        <v>Agustus</v>
      </c>
      <c r="F119">
        <v>3</v>
      </c>
      <c r="G119" t="s">
        <v>1526</v>
      </c>
      <c r="H119" t="s">
        <v>1527</v>
      </c>
      <c r="I119" t="s">
        <v>1513</v>
      </c>
      <c r="J119" t="s">
        <v>1517</v>
      </c>
      <c r="K119" t="s">
        <v>1518</v>
      </c>
      <c r="L119" s="2">
        <v>3</v>
      </c>
      <c r="M119" s="10">
        <v>935</v>
      </c>
      <c r="N119" s="7">
        <v>2805</v>
      </c>
    </row>
    <row r="120" spans="1:14" x14ac:dyDescent="0.3">
      <c r="A120">
        <v>1047</v>
      </c>
      <c r="B120" s="1">
        <v>44616</v>
      </c>
      <c r="C120">
        <v>2022</v>
      </c>
      <c r="D120">
        <v>2</v>
      </c>
      <c r="E120" t="str">
        <f t="shared" si="1"/>
        <v>Februari</v>
      </c>
      <c r="F120">
        <v>1</v>
      </c>
      <c r="G120" t="s">
        <v>1526</v>
      </c>
      <c r="H120" t="s">
        <v>1527</v>
      </c>
      <c r="I120" t="s">
        <v>1513</v>
      </c>
      <c r="J120" t="s">
        <v>1517</v>
      </c>
      <c r="K120" t="s">
        <v>1518</v>
      </c>
      <c r="L120" s="2">
        <v>3</v>
      </c>
      <c r="M120" s="10">
        <v>935</v>
      </c>
      <c r="N120" s="7">
        <v>2805</v>
      </c>
    </row>
    <row r="121" spans="1:14" x14ac:dyDescent="0.3">
      <c r="A121">
        <v>1048</v>
      </c>
      <c r="B121" s="1">
        <v>44773</v>
      </c>
      <c r="C121">
        <v>2022</v>
      </c>
      <c r="D121">
        <v>7</v>
      </c>
      <c r="E121" t="str">
        <f t="shared" si="1"/>
        <v>Juli</v>
      </c>
      <c r="F121">
        <v>3</v>
      </c>
      <c r="G121" t="s">
        <v>1529</v>
      </c>
      <c r="H121" t="s">
        <v>1530</v>
      </c>
      <c r="I121" t="s">
        <v>1513</v>
      </c>
      <c r="J121" t="s">
        <v>1517</v>
      </c>
      <c r="K121" t="s">
        <v>1514</v>
      </c>
      <c r="L121" s="2">
        <v>1</v>
      </c>
      <c r="M121" s="10">
        <v>1978</v>
      </c>
      <c r="N121" s="7">
        <v>1978</v>
      </c>
    </row>
    <row r="122" spans="1:14" x14ac:dyDescent="0.3">
      <c r="A122">
        <v>1048</v>
      </c>
      <c r="B122" s="1">
        <v>45461</v>
      </c>
      <c r="C122">
        <v>2024</v>
      </c>
      <c r="D122">
        <v>6</v>
      </c>
      <c r="E122" t="str">
        <f t="shared" si="1"/>
        <v>Juni</v>
      </c>
      <c r="F122">
        <v>2</v>
      </c>
      <c r="G122" t="s">
        <v>1529</v>
      </c>
      <c r="H122" t="s">
        <v>1530</v>
      </c>
      <c r="I122" t="s">
        <v>1513</v>
      </c>
      <c r="J122" t="s">
        <v>1517</v>
      </c>
      <c r="K122" t="s">
        <v>1514</v>
      </c>
      <c r="L122" s="2">
        <v>1</v>
      </c>
      <c r="M122" s="10">
        <v>1978</v>
      </c>
      <c r="N122" s="7">
        <v>1978</v>
      </c>
    </row>
    <row r="123" spans="1:14" x14ac:dyDescent="0.3">
      <c r="A123">
        <v>1048</v>
      </c>
      <c r="B123" s="1">
        <v>44595</v>
      </c>
      <c r="C123">
        <v>2022</v>
      </c>
      <c r="D123">
        <v>2</v>
      </c>
      <c r="E123" t="str">
        <f t="shared" si="1"/>
        <v>Februari</v>
      </c>
      <c r="F123">
        <v>1</v>
      </c>
      <c r="G123" t="s">
        <v>1529</v>
      </c>
      <c r="H123" t="s">
        <v>1530</v>
      </c>
      <c r="I123" t="s">
        <v>1513</v>
      </c>
      <c r="J123" t="s">
        <v>1517</v>
      </c>
      <c r="K123" t="s">
        <v>1514</v>
      </c>
      <c r="L123" s="2">
        <v>1</v>
      </c>
      <c r="M123" s="10">
        <v>1978</v>
      </c>
      <c r="N123" s="7">
        <v>1978</v>
      </c>
    </row>
    <row r="124" spans="1:14" x14ac:dyDescent="0.3">
      <c r="A124">
        <v>1048</v>
      </c>
      <c r="B124" s="1">
        <v>44632</v>
      </c>
      <c r="C124">
        <v>2022</v>
      </c>
      <c r="D124">
        <v>3</v>
      </c>
      <c r="E124" t="str">
        <f t="shared" si="1"/>
        <v>Maret</v>
      </c>
      <c r="F124">
        <v>1</v>
      </c>
      <c r="G124" t="s">
        <v>1529</v>
      </c>
      <c r="H124" t="s">
        <v>1530</v>
      </c>
      <c r="I124" t="s">
        <v>1513</v>
      </c>
      <c r="J124" t="s">
        <v>1517</v>
      </c>
      <c r="K124" t="s">
        <v>1514</v>
      </c>
      <c r="L124" s="2">
        <v>1</v>
      </c>
      <c r="M124" s="10">
        <v>1978</v>
      </c>
      <c r="N124" s="7">
        <v>1978</v>
      </c>
    </row>
    <row r="125" spans="1:14" x14ac:dyDescent="0.3">
      <c r="A125">
        <v>1049</v>
      </c>
      <c r="B125" s="1">
        <v>45398</v>
      </c>
      <c r="C125">
        <v>2024</v>
      </c>
      <c r="D125">
        <v>4</v>
      </c>
      <c r="E125" t="str">
        <f t="shared" si="1"/>
        <v>April</v>
      </c>
      <c r="F125">
        <v>2</v>
      </c>
      <c r="G125" t="s">
        <v>1532</v>
      </c>
      <c r="H125" t="s">
        <v>1512</v>
      </c>
      <c r="I125" t="s">
        <v>1535</v>
      </c>
      <c r="J125" t="s">
        <v>1566</v>
      </c>
      <c r="K125" t="s">
        <v>1514</v>
      </c>
      <c r="L125" s="2">
        <v>2</v>
      </c>
      <c r="M125" s="10">
        <v>14326</v>
      </c>
      <c r="N125" s="7">
        <v>28652</v>
      </c>
    </row>
    <row r="126" spans="1:14" x14ac:dyDescent="0.3">
      <c r="A126">
        <v>1049</v>
      </c>
      <c r="B126" s="1">
        <v>45423</v>
      </c>
      <c r="C126">
        <v>2024</v>
      </c>
      <c r="D126">
        <v>5</v>
      </c>
      <c r="E126" t="str">
        <f t="shared" si="1"/>
        <v>Mei</v>
      </c>
      <c r="F126">
        <v>2</v>
      </c>
      <c r="G126" t="s">
        <v>1532</v>
      </c>
      <c r="H126" t="s">
        <v>1512</v>
      </c>
      <c r="I126" t="s">
        <v>1535</v>
      </c>
      <c r="J126" t="s">
        <v>1566</v>
      </c>
      <c r="K126" t="s">
        <v>1514</v>
      </c>
      <c r="L126" s="2">
        <v>2</v>
      </c>
      <c r="M126" s="10">
        <v>14326</v>
      </c>
      <c r="N126" s="7">
        <v>28652</v>
      </c>
    </row>
    <row r="127" spans="1:14" x14ac:dyDescent="0.3">
      <c r="A127">
        <v>1049</v>
      </c>
      <c r="B127" s="1">
        <v>45290</v>
      </c>
      <c r="C127">
        <v>2023</v>
      </c>
      <c r="D127">
        <v>12</v>
      </c>
      <c r="E127" t="str">
        <f t="shared" si="1"/>
        <v>Desember</v>
      </c>
      <c r="F127">
        <v>4</v>
      </c>
      <c r="G127" t="s">
        <v>1532</v>
      </c>
      <c r="H127" t="s">
        <v>1512</v>
      </c>
      <c r="I127" t="s">
        <v>1535</v>
      </c>
      <c r="J127" t="s">
        <v>1566</v>
      </c>
      <c r="K127" t="s">
        <v>1514</v>
      </c>
      <c r="L127" s="2">
        <v>2</v>
      </c>
      <c r="M127" s="10">
        <v>14326</v>
      </c>
      <c r="N127" s="7">
        <v>28652</v>
      </c>
    </row>
    <row r="128" spans="1:14" x14ac:dyDescent="0.3">
      <c r="A128">
        <v>1050</v>
      </c>
      <c r="B128" s="1">
        <v>44989</v>
      </c>
      <c r="C128">
        <v>2023</v>
      </c>
      <c r="D128">
        <v>3</v>
      </c>
      <c r="E128" t="str">
        <f t="shared" si="1"/>
        <v>Maret</v>
      </c>
      <c r="F128">
        <v>1</v>
      </c>
      <c r="G128" t="s">
        <v>1533</v>
      </c>
      <c r="H128" t="s">
        <v>1520</v>
      </c>
      <c r="I128" t="s">
        <v>1535</v>
      </c>
      <c r="J128" t="s">
        <v>1517</v>
      </c>
      <c r="K128" t="s">
        <v>1514</v>
      </c>
      <c r="L128" s="2">
        <v>3</v>
      </c>
      <c r="M128" s="10">
        <v>100</v>
      </c>
      <c r="N128" s="7">
        <v>300</v>
      </c>
    </row>
    <row r="129" spans="1:14" x14ac:dyDescent="0.3">
      <c r="A129">
        <v>1050</v>
      </c>
      <c r="B129" s="1">
        <v>44571</v>
      </c>
      <c r="C129">
        <v>2022</v>
      </c>
      <c r="D129">
        <v>1</v>
      </c>
      <c r="E129" t="str">
        <f t="shared" si="1"/>
        <v>Januari</v>
      </c>
      <c r="F129">
        <v>1</v>
      </c>
      <c r="G129" t="s">
        <v>1533</v>
      </c>
      <c r="H129" t="s">
        <v>1520</v>
      </c>
      <c r="I129" t="s">
        <v>1535</v>
      </c>
      <c r="J129" t="s">
        <v>1517</v>
      </c>
      <c r="K129" t="s">
        <v>1514</v>
      </c>
      <c r="L129" s="2">
        <v>3</v>
      </c>
      <c r="M129" s="10">
        <v>100</v>
      </c>
      <c r="N129" s="7">
        <v>300</v>
      </c>
    </row>
    <row r="130" spans="1:14" x14ac:dyDescent="0.3">
      <c r="A130">
        <v>1050</v>
      </c>
      <c r="B130" s="1">
        <v>45005</v>
      </c>
      <c r="C130">
        <v>2023</v>
      </c>
      <c r="D130">
        <v>3</v>
      </c>
      <c r="E130" t="str">
        <f t="shared" si="1"/>
        <v>Maret</v>
      </c>
      <c r="F130">
        <v>1</v>
      </c>
      <c r="G130" t="s">
        <v>1533</v>
      </c>
      <c r="H130" t="s">
        <v>1520</v>
      </c>
      <c r="I130" t="s">
        <v>1535</v>
      </c>
      <c r="J130" t="s">
        <v>1517</v>
      </c>
      <c r="K130" t="s">
        <v>1514</v>
      </c>
      <c r="L130" s="2">
        <v>3</v>
      </c>
      <c r="M130" s="10">
        <v>100</v>
      </c>
      <c r="N130" s="7">
        <v>300</v>
      </c>
    </row>
    <row r="131" spans="1:14" x14ac:dyDescent="0.3">
      <c r="A131">
        <v>1050</v>
      </c>
      <c r="B131" s="1">
        <v>45057</v>
      </c>
      <c r="C131">
        <v>2023</v>
      </c>
      <c r="D131">
        <v>5</v>
      </c>
      <c r="E131" t="str">
        <f t="shared" ref="E131:E194" si="2">TEXT(DATE(2026, D131, 1), "[$-id-ID]mmmm")</f>
        <v>Mei</v>
      </c>
      <c r="F131">
        <v>2</v>
      </c>
      <c r="G131" t="s">
        <v>1533</v>
      </c>
      <c r="H131" t="s">
        <v>1520</v>
      </c>
      <c r="I131" t="s">
        <v>1535</v>
      </c>
      <c r="J131" t="s">
        <v>1517</v>
      </c>
      <c r="K131" t="s">
        <v>1514</v>
      </c>
      <c r="L131" s="2">
        <v>3</v>
      </c>
      <c r="M131" s="10">
        <v>100</v>
      </c>
      <c r="N131" s="7">
        <v>300</v>
      </c>
    </row>
    <row r="132" spans="1:14" x14ac:dyDescent="0.3">
      <c r="A132">
        <v>1050</v>
      </c>
      <c r="B132" s="1">
        <v>44987</v>
      </c>
      <c r="C132">
        <v>2023</v>
      </c>
      <c r="D132">
        <v>3</v>
      </c>
      <c r="E132" t="str">
        <f t="shared" si="2"/>
        <v>Maret</v>
      </c>
      <c r="F132">
        <v>1</v>
      </c>
      <c r="G132" t="s">
        <v>1533</v>
      </c>
      <c r="H132" t="s">
        <v>1520</v>
      </c>
      <c r="I132" t="s">
        <v>1535</v>
      </c>
      <c r="J132" t="s">
        <v>1517</v>
      </c>
      <c r="K132" t="s">
        <v>1514</v>
      </c>
      <c r="L132" s="2">
        <v>3</v>
      </c>
      <c r="M132" s="10">
        <v>100</v>
      </c>
      <c r="N132" s="7">
        <v>300</v>
      </c>
    </row>
    <row r="133" spans="1:14" x14ac:dyDescent="0.3">
      <c r="A133">
        <v>1050</v>
      </c>
      <c r="B133" s="1">
        <v>45040</v>
      </c>
      <c r="C133">
        <v>2023</v>
      </c>
      <c r="D133">
        <v>4</v>
      </c>
      <c r="E133" t="str">
        <f t="shared" si="2"/>
        <v>April</v>
      </c>
      <c r="F133">
        <v>2</v>
      </c>
      <c r="G133" t="s">
        <v>1533</v>
      </c>
      <c r="H133" t="s">
        <v>1520</v>
      </c>
      <c r="I133" t="s">
        <v>1535</v>
      </c>
      <c r="J133" t="s">
        <v>1517</v>
      </c>
      <c r="K133" t="s">
        <v>1514</v>
      </c>
      <c r="L133" s="2">
        <v>3</v>
      </c>
      <c r="M133" s="10">
        <v>100</v>
      </c>
      <c r="N133" s="7">
        <v>300</v>
      </c>
    </row>
    <row r="134" spans="1:14" x14ac:dyDescent="0.3">
      <c r="A134">
        <v>1050</v>
      </c>
      <c r="B134" s="1">
        <v>44822</v>
      </c>
      <c r="C134">
        <v>2022</v>
      </c>
      <c r="D134">
        <v>9</v>
      </c>
      <c r="E134" t="str">
        <f t="shared" si="2"/>
        <v>September</v>
      </c>
      <c r="F134">
        <v>3</v>
      </c>
      <c r="G134" t="s">
        <v>1533</v>
      </c>
      <c r="H134" t="s">
        <v>1520</v>
      </c>
      <c r="I134" t="s">
        <v>1535</v>
      </c>
      <c r="J134" t="s">
        <v>1517</v>
      </c>
      <c r="K134" t="s">
        <v>1514</v>
      </c>
      <c r="L134" s="2">
        <v>3</v>
      </c>
      <c r="M134" s="10">
        <v>100</v>
      </c>
      <c r="N134" s="7">
        <v>300</v>
      </c>
    </row>
    <row r="135" spans="1:14" x14ac:dyDescent="0.3">
      <c r="A135">
        <v>1051</v>
      </c>
      <c r="B135" s="1">
        <v>44712</v>
      </c>
      <c r="C135">
        <v>2022</v>
      </c>
      <c r="D135">
        <v>5</v>
      </c>
      <c r="E135" t="str">
        <f t="shared" si="2"/>
        <v>Mei</v>
      </c>
      <c r="F135">
        <v>2</v>
      </c>
      <c r="G135" t="s">
        <v>1511</v>
      </c>
      <c r="H135" t="s">
        <v>1512</v>
      </c>
      <c r="I135" t="s">
        <v>1513</v>
      </c>
      <c r="J135" t="s">
        <v>1517</v>
      </c>
      <c r="K135" t="s">
        <v>1525</v>
      </c>
      <c r="L135" s="2">
        <v>2</v>
      </c>
      <c r="M135" s="10">
        <v>54846</v>
      </c>
      <c r="N135" s="7">
        <v>109692</v>
      </c>
    </row>
    <row r="136" spans="1:14" x14ac:dyDescent="0.3">
      <c r="A136">
        <v>1052</v>
      </c>
      <c r="B136" s="1">
        <v>45123</v>
      </c>
      <c r="C136">
        <v>2023</v>
      </c>
      <c r="D136">
        <v>7</v>
      </c>
      <c r="E136" t="str">
        <f t="shared" si="2"/>
        <v>Juli</v>
      </c>
      <c r="F136">
        <v>3</v>
      </c>
      <c r="G136" t="s">
        <v>1515</v>
      </c>
      <c r="H136" t="s">
        <v>1512</v>
      </c>
      <c r="I136" t="s">
        <v>1513</v>
      </c>
      <c r="J136" t="s">
        <v>1517</v>
      </c>
      <c r="K136" t="s">
        <v>1514</v>
      </c>
      <c r="L136" s="2">
        <v>3</v>
      </c>
      <c r="M136" s="10">
        <v>4855</v>
      </c>
      <c r="N136" s="7">
        <v>14565</v>
      </c>
    </row>
    <row r="137" spans="1:14" x14ac:dyDescent="0.3">
      <c r="A137">
        <v>1052</v>
      </c>
      <c r="B137" s="1">
        <v>44693</v>
      </c>
      <c r="C137">
        <v>2022</v>
      </c>
      <c r="D137">
        <v>5</v>
      </c>
      <c r="E137" t="str">
        <f t="shared" si="2"/>
        <v>Mei</v>
      </c>
      <c r="F137">
        <v>2</v>
      </c>
      <c r="G137" t="s">
        <v>1515</v>
      </c>
      <c r="H137" t="s">
        <v>1512</v>
      </c>
      <c r="I137" t="s">
        <v>1513</v>
      </c>
      <c r="J137" t="s">
        <v>1517</v>
      </c>
      <c r="K137" t="s">
        <v>1514</v>
      </c>
      <c r="L137" s="2">
        <v>3</v>
      </c>
      <c r="M137" s="10">
        <v>4855</v>
      </c>
      <c r="N137" s="7">
        <v>14565</v>
      </c>
    </row>
    <row r="138" spans="1:14" x14ac:dyDescent="0.3">
      <c r="A138">
        <v>1053</v>
      </c>
      <c r="B138" s="1">
        <v>45165</v>
      </c>
      <c r="C138">
        <v>2023</v>
      </c>
      <c r="D138">
        <v>8</v>
      </c>
      <c r="E138" t="str">
        <f t="shared" si="2"/>
        <v>Agustus</v>
      </c>
      <c r="F138">
        <v>3</v>
      </c>
      <c r="G138" t="s">
        <v>1534</v>
      </c>
      <c r="H138" t="s">
        <v>1530</v>
      </c>
      <c r="I138" t="s">
        <v>1528</v>
      </c>
      <c r="J138" t="s">
        <v>1566</v>
      </c>
      <c r="K138" t="s">
        <v>1518</v>
      </c>
      <c r="L138" s="2">
        <v>3</v>
      </c>
      <c r="M138" s="10">
        <v>1718</v>
      </c>
      <c r="N138" s="7">
        <v>5154</v>
      </c>
    </row>
    <row r="139" spans="1:14" x14ac:dyDescent="0.3">
      <c r="A139">
        <v>1053</v>
      </c>
      <c r="B139" s="1">
        <v>45548</v>
      </c>
      <c r="C139">
        <v>2024</v>
      </c>
      <c r="D139">
        <v>9</v>
      </c>
      <c r="E139" t="str">
        <f t="shared" si="2"/>
        <v>September</v>
      </c>
      <c r="F139">
        <v>3</v>
      </c>
      <c r="G139" t="s">
        <v>1534</v>
      </c>
      <c r="H139" t="s">
        <v>1530</v>
      </c>
      <c r="I139" t="s">
        <v>1528</v>
      </c>
      <c r="J139" t="s">
        <v>1566</v>
      </c>
      <c r="K139" t="s">
        <v>1518</v>
      </c>
      <c r="L139" s="2">
        <v>3</v>
      </c>
      <c r="M139" s="10">
        <v>1718</v>
      </c>
      <c r="N139" s="7">
        <v>5154</v>
      </c>
    </row>
    <row r="140" spans="1:14" x14ac:dyDescent="0.3">
      <c r="A140">
        <v>1053</v>
      </c>
      <c r="B140" s="1">
        <v>45152</v>
      </c>
      <c r="C140">
        <v>2023</v>
      </c>
      <c r="D140">
        <v>8</v>
      </c>
      <c r="E140" t="str">
        <f t="shared" si="2"/>
        <v>Agustus</v>
      </c>
      <c r="F140">
        <v>3</v>
      </c>
      <c r="G140" t="s">
        <v>1534</v>
      </c>
      <c r="H140" t="s">
        <v>1530</v>
      </c>
      <c r="I140" t="s">
        <v>1528</v>
      </c>
      <c r="J140" t="s">
        <v>1566</v>
      </c>
      <c r="K140" t="s">
        <v>1518</v>
      </c>
      <c r="L140" s="2">
        <v>3</v>
      </c>
      <c r="M140" s="10">
        <v>1718</v>
      </c>
      <c r="N140" s="7">
        <v>5154</v>
      </c>
    </row>
    <row r="141" spans="1:14" x14ac:dyDescent="0.3">
      <c r="A141">
        <v>1053</v>
      </c>
      <c r="B141" s="1">
        <v>45162</v>
      </c>
      <c r="C141">
        <v>2023</v>
      </c>
      <c r="D141">
        <v>8</v>
      </c>
      <c r="E141" t="str">
        <f t="shared" si="2"/>
        <v>Agustus</v>
      </c>
      <c r="F141">
        <v>3</v>
      </c>
      <c r="G141" t="s">
        <v>1534</v>
      </c>
      <c r="H141" t="s">
        <v>1530</v>
      </c>
      <c r="I141" t="s">
        <v>1528</v>
      </c>
      <c r="J141" t="s">
        <v>1566</v>
      </c>
      <c r="K141" t="s">
        <v>1518</v>
      </c>
      <c r="L141" s="2">
        <v>3</v>
      </c>
      <c r="M141" s="10">
        <v>1718</v>
      </c>
      <c r="N141" s="7">
        <v>5154</v>
      </c>
    </row>
    <row r="142" spans="1:14" x14ac:dyDescent="0.3">
      <c r="A142">
        <v>1054</v>
      </c>
      <c r="B142" s="1">
        <v>44972</v>
      </c>
      <c r="C142">
        <v>2023</v>
      </c>
      <c r="D142">
        <v>2</v>
      </c>
      <c r="E142" t="str">
        <f t="shared" si="2"/>
        <v>Februari</v>
      </c>
      <c r="F142">
        <v>1</v>
      </c>
      <c r="G142" t="s">
        <v>1519</v>
      </c>
      <c r="H142" t="s">
        <v>1520</v>
      </c>
      <c r="I142" t="s">
        <v>1521</v>
      </c>
      <c r="J142" t="s">
        <v>1517</v>
      </c>
      <c r="K142" t="s">
        <v>1525</v>
      </c>
      <c r="L142" s="2">
        <v>5</v>
      </c>
      <c r="M142" s="10">
        <v>17415</v>
      </c>
      <c r="N142" s="7">
        <v>87075</v>
      </c>
    </row>
    <row r="143" spans="1:14" x14ac:dyDescent="0.3">
      <c r="A143">
        <v>1054</v>
      </c>
      <c r="B143" s="1">
        <v>45435</v>
      </c>
      <c r="C143">
        <v>2024</v>
      </c>
      <c r="D143">
        <v>5</v>
      </c>
      <c r="E143" t="str">
        <f t="shared" si="2"/>
        <v>Mei</v>
      </c>
      <c r="F143">
        <v>2</v>
      </c>
      <c r="G143" t="s">
        <v>1519</v>
      </c>
      <c r="H143" t="s">
        <v>1520</v>
      </c>
      <c r="I143" t="s">
        <v>1521</v>
      </c>
      <c r="J143" t="s">
        <v>1517</v>
      </c>
      <c r="K143" t="s">
        <v>1525</v>
      </c>
      <c r="L143" s="2">
        <v>5</v>
      </c>
      <c r="M143" s="10">
        <v>17415</v>
      </c>
      <c r="N143" s="7">
        <v>87075</v>
      </c>
    </row>
    <row r="144" spans="1:14" x14ac:dyDescent="0.3">
      <c r="A144">
        <v>1055</v>
      </c>
      <c r="B144" s="1">
        <v>45267</v>
      </c>
      <c r="C144">
        <v>2023</v>
      </c>
      <c r="D144">
        <v>12</v>
      </c>
      <c r="E144" t="str">
        <f t="shared" si="2"/>
        <v>Desember</v>
      </c>
      <c r="F144">
        <v>4</v>
      </c>
      <c r="G144" t="s">
        <v>1522</v>
      </c>
      <c r="H144" t="s">
        <v>1520</v>
      </c>
      <c r="I144" t="s">
        <v>1535</v>
      </c>
      <c r="J144" t="s">
        <v>1517</v>
      </c>
      <c r="K144" t="s">
        <v>1518</v>
      </c>
      <c r="L144" s="2">
        <v>3</v>
      </c>
      <c r="M144" s="10">
        <v>661</v>
      </c>
      <c r="N144" s="7">
        <v>1983</v>
      </c>
    </row>
    <row r="145" spans="1:14" x14ac:dyDescent="0.3">
      <c r="A145">
        <v>1055</v>
      </c>
      <c r="B145" s="1">
        <v>45405</v>
      </c>
      <c r="C145">
        <v>2024</v>
      </c>
      <c r="D145">
        <v>4</v>
      </c>
      <c r="E145" t="str">
        <f t="shared" si="2"/>
        <v>April</v>
      </c>
      <c r="F145">
        <v>2</v>
      </c>
      <c r="G145" t="s">
        <v>1522</v>
      </c>
      <c r="H145" t="s">
        <v>1520</v>
      </c>
      <c r="I145" t="s">
        <v>1535</v>
      </c>
      <c r="J145" t="s">
        <v>1517</v>
      </c>
      <c r="K145" t="s">
        <v>1518</v>
      </c>
      <c r="L145" s="2">
        <v>3</v>
      </c>
      <c r="M145" s="10">
        <v>661</v>
      </c>
      <c r="N145" s="7">
        <v>1983</v>
      </c>
    </row>
    <row r="146" spans="1:14" x14ac:dyDescent="0.3">
      <c r="A146">
        <v>1055</v>
      </c>
      <c r="B146" s="1">
        <v>44978</v>
      </c>
      <c r="C146">
        <v>2023</v>
      </c>
      <c r="D146">
        <v>2</v>
      </c>
      <c r="E146" t="str">
        <f t="shared" si="2"/>
        <v>Februari</v>
      </c>
      <c r="F146">
        <v>1</v>
      </c>
      <c r="G146" t="s">
        <v>1522</v>
      </c>
      <c r="H146" t="s">
        <v>1520</v>
      </c>
      <c r="I146" t="s">
        <v>1535</v>
      </c>
      <c r="J146" t="s">
        <v>1517</v>
      </c>
      <c r="K146" t="s">
        <v>1518</v>
      </c>
      <c r="L146" s="2">
        <v>3</v>
      </c>
      <c r="M146" s="10">
        <v>661</v>
      </c>
      <c r="N146" s="7">
        <v>1983</v>
      </c>
    </row>
    <row r="147" spans="1:14" x14ac:dyDescent="0.3">
      <c r="A147">
        <v>1055</v>
      </c>
      <c r="B147" s="1">
        <v>45449</v>
      </c>
      <c r="C147">
        <v>2024</v>
      </c>
      <c r="D147">
        <v>6</v>
      </c>
      <c r="E147" t="str">
        <f t="shared" si="2"/>
        <v>Juni</v>
      </c>
      <c r="F147">
        <v>2</v>
      </c>
      <c r="G147" t="s">
        <v>1522</v>
      </c>
      <c r="H147" t="s">
        <v>1520</v>
      </c>
      <c r="I147" t="s">
        <v>1535</v>
      </c>
      <c r="J147" t="s">
        <v>1517</v>
      </c>
      <c r="K147" t="s">
        <v>1518</v>
      </c>
      <c r="L147" s="2">
        <v>3</v>
      </c>
      <c r="M147" s="10">
        <v>661</v>
      </c>
      <c r="N147" s="7">
        <v>1983</v>
      </c>
    </row>
    <row r="148" spans="1:14" x14ac:dyDescent="0.3">
      <c r="A148">
        <v>1056</v>
      </c>
      <c r="B148" s="1">
        <v>45226</v>
      </c>
      <c r="C148">
        <v>2023</v>
      </c>
      <c r="D148">
        <v>10</v>
      </c>
      <c r="E148" t="str">
        <f t="shared" si="2"/>
        <v>Oktober</v>
      </c>
      <c r="F148">
        <v>4</v>
      </c>
      <c r="G148" t="s">
        <v>1523</v>
      </c>
      <c r="H148" t="s">
        <v>1512</v>
      </c>
      <c r="I148" t="s">
        <v>1521</v>
      </c>
      <c r="J148" t="s">
        <v>1524</v>
      </c>
      <c r="K148" t="s">
        <v>1514</v>
      </c>
      <c r="L148" s="2">
        <v>2</v>
      </c>
      <c r="M148" s="10">
        <v>30075</v>
      </c>
      <c r="N148" s="7">
        <v>60150</v>
      </c>
    </row>
    <row r="149" spans="1:14" x14ac:dyDescent="0.3">
      <c r="A149">
        <v>1056</v>
      </c>
      <c r="B149" s="1">
        <v>44954</v>
      </c>
      <c r="C149">
        <v>2023</v>
      </c>
      <c r="D149">
        <v>1</v>
      </c>
      <c r="E149" t="str">
        <f t="shared" si="2"/>
        <v>Januari</v>
      </c>
      <c r="F149">
        <v>1</v>
      </c>
      <c r="G149" t="s">
        <v>1523</v>
      </c>
      <c r="H149" t="s">
        <v>1512</v>
      </c>
      <c r="I149" t="s">
        <v>1521</v>
      </c>
      <c r="J149" t="s">
        <v>1524</v>
      </c>
      <c r="K149" t="s">
        <v>1514</v>
      </c>
      <c r="L149" s="2">
        <v>2</v>
      </c>
      <c r="M149" s="10">
        <v>30075</v>
      </c>
      <c r="N149" s="7">
        <v>60150</v>
      </c>
    </row>
    <row r="150" spans="1:14" x14ac:dyDescent="0.3">
      <c r="A150">
        <v>1057</v>
      </c>
      <c r="B150" s="1">
        <v>45147</v>
      </c>
      <c r="C150">
        <v>2023</v>
      </c>
      <c r="D150">
        <v>8</v>
      </c>
      <c r="E150" t="str">
        <f t="shared" si="2"/>
        <v>Agustus</v>
      </c>
      <c r="F150">
        <v>3</v>
      </c>
      <c r="G150" t="s">
        <v>1526</v>
      </c>
      <c r="H150" t="s">
        <v>1527</v>
      </c>
      <c r="I150" t="s">
        <v>1528</v>
      </c>
      <c r="J150" t="s">
        <v>1566</v>
      </c>
      <c r="K150" t="s">
        <v>1514</v>
      </c>
      <c r="L150" s="2">
        <v>3</v>
      </c>
      <c r="M150" s="10">
        <v>387</v>
      </c>
      <c r="N150" s="7">
        <v>1161</v>
      </c>
    </row>
    <row r="151" spans="1:14" x14ac:dyDescent="0.3">
      <c r="A151">
        <v>1057</v>
      </c>
      <c r="B151" s="1">
        <v>44736</v>
      </c>
      <c r="C151">
        <v>2022</v>
      </c>
      <c r="D151">
        <v>6</v>
      </c>
      <c r="E151" t="str">
        <f t="shared" si="2"/>
        <v>Juni</v>
      </c>
      <c r="F151">
        <v>2</v>
      </c>
      <c r="G151" t="s">
        <v>1526</v>
      </c>
      <c r="H151" t="s">
        <v>1527</v>
      </c>
      <c r="I151" t="s">
        <v>1528</v>
      </c>
      <c r="J151" t="s">
        <v>1566</v>
      </c>
      <c r="K151" t="s">
        <v>1514</v>
      </c>
      <c r="L151" s="2">
        <v>3</v>
      </c>
      <c r="M151" s="10">
        <v>387</v>
      </c>
      <c r="N151" s="7">
        <v>1161</v>
      </c>
    </row>
    <row r="152" spans="1:14" x14ac:dyDescent="0.3">
      <c r="A152">
        <v>1058</v>
      </c>
      <c r="B152" s="1">
        <v>45653</v>
      </c>
      <c r="C152">
        <v>2024</v>
      </c>
      <c r="D152">
        <v>12</v>
      </c>
      <c r="E152" t="str">
        <f t="shared" si="2"/>
        <v>Desember</v>
      </c>
      <c r="F152">
        <v>4</v>
      </c>
      <c r="G152" t="s">
        <v>1529</v>
      </c>
      <c r="H152" t="s">
        <v>1530</v>
      </c>
      <c r="I152" t="s">
        <v>1535</v>
      </c>
      <c r="J152" t="s">
        <v>1517</v>
      </c>
      <c r="K152" t="s">
        <v>1518</v>
      </c>
      <c r="L152" s="2">
        <v>5</v>
      </c>
      <c r="M152" s="10">
        <v>1084</v>
      </c>
      <c r="N152" s="7">
        <v>5420</v>
      </c>
    </row>
    <row r="153" spans="1:14" x14ac:dyDescent="0.3">
      <c r="A153">
        <v>1058</v>
      </c>
      <c r="B153" s="1">
        <v>44740</v>
      </c>
      <c r="C153">
        <v>2022</v>
      </c>
      <c r="D153">
        <v>6</v>
      </c>
      <c r="E153" t="str">
        <f t="shared" si="2"/>
        <v>Juni</v>
      </c>
      <c r="F153">
        <v>2</v>
      </c>
      <c r="G153" t="s">
        <v>1529</v>
      </c>
      <c r="H153" t="s">
        <v>1530</v>
      </c>
      <c r="I153" t="s">
        <v>1535</v>
      </c>
      <c r="J153" t="s">
        <v>1517</v>
      </c>
      <c r="K153" t="s">
        <v>1518</v>
      </c>
      <c r="L153" s="2">
        <v>5</v>
      </c>
      <c r="M153" s="10">
        <v>1084</v>
      </c>
      <c r="N153" s="7">
        <v>5420</v>
      </c>
    </row>
    <row r="154" spans="1:14" x14ac:dyDescent="0.3">
      <c r="A154">
        <v>1058</v>
      </c>
      <c r="B154" s="1">
        <v>45152</v>
      </c>
      <c r="C154">
        <v>2023</v>
      </c>
      <c r="D154">
        <v>8</v>
      </c>
      <c r="E154" t="str">
        <f t="shared" si="2"/>
        <v>Agustus</v>
      </c>
      <c r="F154">
        <v>3</v>
      </c>
      <c r="G154" t="s">
        <v>1529</v>
      </c>
      <c r="H154" t="s">
        <v>1530</v>
      </c>
      <c r="I154" t="s">
        <v>1535</v>
      </c>
      <c r="J154" t="s">
        <v>1517</v>
      </c>
      <c r="K154" t="s">
        <v>1518</v>
      </c>
      <c r="L154" s="2">
        <v>5</v>
      </c>
      <c r="M154" s="10">
        <v>1084</v>
      </c>
      <c r="N154" s="7">
        <v>5420</v>
      </c>
    </row>
    <row r="155" spans="1:14" x14ac:dyDescent="0.3">
      <c r="A155">
        <v>1058</v>
      </c>
      <c r="B155" s="1">
        <v>45569</v>
      </c>
      <c r="C155">
        <v>2024</v>
      </c>
      <c r="D155">
        <v>10</v>
      </c>
      <c r="E155" t="str">
        <f t="shared" si="2"/>
        <v>Oktober</v>
      </c>
      <c r="F155">
        <v>4</v>
      </c>
      <c r="G155" t="s">
        <v>1529</v>
      </c>
      <c r="H155" t="s">
        <v>1530</v>
      </c>
      <c r="I155" t="s">
        <v>1535</v>
      </c>
      <c r="J155" t="s">
        <v>1517</v>
      </c>
      <c r="K155" t="s">
        <v>1518</v>
      </c>
      <c r="L155" s="2">
        <v>5</v>
      </c>
      <c r="M155" s="10">
        <v>1084</v>
      </c>
      <c r="N155" s="7">
        <v>5420</v>
      </c>
    </row>
    <row r="156" spans="1:14" x14ac:dyDescent="0.3">
      <c r="A156">
        <v>1059</v>
      </c>
      <c r="B156" s="1">
        <v>45427</v>
      </c>
      <c r="C156">
        <v>2024</v>
      </c>
      <c r="D156">
        <v>5</v>
      </c>
      <c r="E156" t="str">
        <f t="shared" si="2"/>
        <v>Mei</v>
      </c>
      <c r="F156">
        <v>2</v>
      </c>
      <c r="G156" t="s">
        <v>1532</v>
      </c>
      <c r="H156" t="s">
        <v>1512</v>
      </c>
      <c r="I156" t="s">
        <v>1535</v>
      </c>
      <c r="J156" t="s">
        <v>1517</v>
      </c>
      <c r="K156" t="s">
        <v>1514</v>
      </c>
      <c r="L156" s="2">
        <v>1</v>
      </c>
      <c r="M156" s="10">
        <v>11559</v>
      </c>
      <c r="N156" s="7">
        <v>11559</v>
      </c>
    </row>
    <row r="157" spans="1:14" x14ac:dyDescent="0.3">
      <c r="A157">
        <v>1059</v>
      </c>
      <c r="B157" s="1">
        <v>45609</v>
      </c>
      <c r="C157">
        <v>2024</v>
      </c>
      <c r="D157">
        <v>11</v>
      </c>
      <c r="E157" t="str">
        <f t="shared" si="2"/>
        <v>November</v>
      </c>
      <c r="F157">
        <v>4</v>
      </c>
      <c r="G157" t="s">
        <v>1532</v>
      </c>
      <c r="H157" t="s">
        <v>1512</v>
      </c>
      <c r="I157" t="s">
        <v>1535</v>
      </c>
      <c r="J157" t="s">
        <v>1517</v>
      </c>
      <c r="K157" t="s">
        <v>1514</v>
      </c>
      <c r="L157" s="2">
        <v>1</v>
      </c>
      <c r="M157" s="10">
        <v>11559</v>
      </c>
      <c r="N157" s="7">
        <v>11559</v>
      </c>
    </row>
    <row r="158" spans="1:14" x14ac:dyDescent="0.3">
      <c r="A158">
        <v>1059</v>
      </c>
      <c r="B158" s="1">
        <v>44924</v>
      </c>
      <c r="C158">
        <v>2022</v>
      </c>
      <c r="D158">
        <v>12</v>
      </c>
      <c r="E158" t="str">
        <f t="shared" si="2"/>
        <v>Desember</v>
      </c>
      <c r="F158">
        <v>4</v>
      </c>
      <c r="G158" t="s">
        <v>1532</v>
      </c>
      <c r="H158" t="s">
        <v>1512</v>
      </c>
      <c r="I158" t="s">
        <v>1535</v>
      </c>
      <c r="J158" t="s">
        <v>1517</v>
      </c>
      <c r="K158" t="s">
        <v>1514</v>
      </c>
      <c r="L158" s="2">
        <v>1</v>
      </c>
      <c r="M158" s="10">
        <v>11559</v>
      </c>
      <c r="N158" s="7">
        <v>11559</v>
      </c>
    </row>
    <row r="159" spans="1:14" x14ac:dyDescent="0.3">
      <c r="A159">
        <v>1059</v>
      </c>
      <c r="B159" s="1">
        <v>44632</v>
      </c>
      <c r="C159">
        <v>2022</v>
      </c>
      <c r="D159">
        <v>3</v>
      </c>
      <c r="E159" t="str">
        <f t="shared" si="2"/>
        <v>Maret</v>
      </c>
      <c r="F159">
        <v>1</v>
      </c>
      <c r="G159" t="s">
        <v>1532</v>
      </c>
      <c r="H159" t="s">
        <v>1512</v>
      </c>
      <c r="I159" t="s">
        <v>1535</v>
      </c>
      <c r="J159" t="s">
        <v>1517</v>
      </c>
      <c r="K159" t="s">
        <v>1514</v>
      </c>
      <c r="L159" s="2">
        <v>1</v>
      </c>
      <c r="M159" s="10">
        <v>11559</v>
      </c>
      <c r="N159" s="7">
        <v>11559</v>
      </c>
    </row>
    <row r="160" spans="1:14" x14ac:dyDescent="0.3">
      <c r="A160">
        <v>1059</v>
      </c>
      <c r="B160" s="1">
        <v>45193</v>
      </c>
      <c r="C160">
        <v>2023</v>
      </c>
      <c r="D160">
        <v>9</v>
      </c>
      <c r="E160" t="str">
        <f t="shared" si="2"/>
        <v>September</v>
      </c>
      <c r="F160">
        <v>3</v>
      </c>
      <c r="G160" t="s">
        <v>1532</v>
      </c>
      <c r="H160" t="s">
        <v>1512</v>
      </c>
      <c r="I160" t="s">
        <v>1535</v>
      </c>
      <c r="J160" t="s">
        <v>1517</v>
      </c>
      <c r="K160" t="s">
        <v>1514</v>
      </c>
      <c r="L160" s="2">
        <v>1</v>
      </c>
      <c r="M160" s="10">
        <v>11559</v>
      </c>
      <c r="N160" s="7">
        <v>11559</v>
      </c>
    </row>
    <row r="161" spans="1:14" x14ac:dyDescent="0.3">
      <c r="A161">
        <v>1059</v>
      </c>
      <c r="B161" s="1">
        <v>44812</v>
      </c>
      <c r="C161">
        <v>2022</v>
      </c>
      <c r="D161">
        <v>9</v>
      </c>
      <c r="E161" t="str">
        <f t="shared" si="2"/>
        <v>September</v>
      </c>
      <c r="F161">
        <v>3</v>
      </c>
      <c r="G161" t="s">
        <v>1532</v>
      </c>
      <c r="H161" t="s">
        <v>1512</v>
      </c>
      <c r="I161" t="s">
        <v>1535</v>
      </c>
      <c r="J161" t="s">
        <v>1517</v>
      </c>
      <c r="K161" t="s">
        <v>1514</v>
      </c>
      <c r="L161" s="2">
        <v>1</v>
      </c>
      <c r="M161" s="10">
        <v>11559</v>
      </c>
      <c r="N161" s="7">
        <v>11559</v>
      </c>
    </row>
    <row r="162" spans="1:14" x14ac:dyDescent="0.3">
      <c r="A162">
        <v>1060</v>
      </c>
      <c r="B162" s="1">
        <v>45231</v>
      </c>
      <c r="C162">
        <v>2023</v>
      </c>
      <c r="D162">
        <v>11</v>
      </c>
      <c r="E162" t="str">
        <f t="shared" si="2"/>
        <v>November</v>
      </c>
      <c r="F162">
        <v>4</v>
      </c>
      <c r="G162" t="s">
        <v>1533</v>
      </c>
      <c r="H162" t="s">
        <v>1520</v>
      </c>
      <c r="I162" t="s">
        <v>1516</v>
      </c>
      <c r="J162" t="s">
        <v>1566</v>
      </c>
      <c r="K162" t="s">
        <v>1518</v>
      </c>
      <c r="L162" s="2">
        <v>5</v>
      </c>
      <c r="M162" s="10">
        <v>717</v>
      </c>
      <c r="N162" s="7">
        <v>3585</v>
      </c>
    </row>
    <row r="163" spans="1:14" x14ac:dyDescent="0.3">
      <c r="A163">
        <v>1061</v>
      </c>
      <c r="B163" s="1">
        <v>44565</v>
      </c>
      <c r="C163">
        <v>2022</v>
      </c>
      <c r="D163">
        <v>1</v>
      </c>
      <c r="E163" t="str">
        <f t="shared" si="2"/>
        <v>Januari</v>
      </c>
      <c r="F163">
        <v>1</v>
      </c>
      <c r="G163" t="s">
        <v>1511</v>
      </c>
      <c r="H163" t="s">
        <v>1512</v>
      </c>
      <c r="I163" t="s">
        <v>1521</v>
      </c>
      <c r="J163" t="s">
        <v>1524</v>
      </c>
      <c r="K163" t="s">
        <v>1525</v>
      </c>
      <c r="L163" s="2">
        <v>2</v>
      </c>
      <c r="M163" s="10">
        <v>51590</v>
      </c>
      <c r="N163" s="7">
        <v>103180</v>
      </c>
    </row>
    <row r="164" spans="1:14" x14ac:dyDescent="0.3">
      <c r="A164">
        <v>1061</v>
      </c>
      <c r="B164" s="1">
        <v>44836</v>
      </c>
      <c r="C164">
        <v>2022</v>
      </c>
      <c r="D164">
        <v>10</v>
      </c>
      <c r="E164" t="str">
        <f t="shared" si="2"/>
        <v>Oktober</v>
      </c>
      <c r="F164">
        <v>4</v>
      </c>
      <c r="G164" t="s">
        <v>1511</v>
      </c>
      <c r="H164" t="s">
        <v>1512</v>
      </c>
      <c r="I164" t="s">
        <v>1521</v>
      </c>
      <c r="J164" t="s">
        <v>1524</v>
      </c>
      <c r="K164" t="s">
        <v>1525</v>
      </c>
      <c r="L164" s="2">
        <v>2</v>
      </c>
      <c r="M164" s="10">
        <v>51590</v>
      </c>
      <c r="N164" s="7">
        <v>103180</v>
      </c>
    </row>
    <row r="165" spans="1:14" x14ac:dyDescent="0.3">
      <c r="A165">
        <v>1061</v>
      </c>
      <c r="B165" s="1">
        <v>45068</v>
      </c>
      <c r="C165">
        <v>2023</v>
      </c>
      <c r="D165">
        <v>5</v>
      </c>
      <c r="E165" t="str">
        <f t="shared" si="2"/>
        <v>Mei</v>
      </c>
      <c r="F165">
        <v>2</v>
      </c>
      <c r="G165" t="s">
        <v>1511</v>
      </c>
      <c r="H165" t="s">
        <v>1512</v>
      </c>
      <c r="I165" t="s">
        <v>1521</v>
      </c>
      <c r="J165" t="s">
        <v>1524</v>
      </c>
      <c r="K165" t="s">
        <v>1525</v>
      </c>
      <c r="L165" s="2">
        <v>2</v>
      </c>
      <c r="M165" s="10">
        <v>51590</v>
      </c>
      <c r="N165" s="7">
        <v>103180</v>
      </c>
    </row>
    <row r="166" spans="1:14" x14ac:dyDescent="0.3">
      <c r="A166">
        <v>1062</v>
      </c>
      <c r="B166" s="1">
        <v>44620</v>
      </c>
      <c r="C166">
        <v>2022</v>
      </c>
      <c r="D166">
        <v>2</v>
      </c>
      <c r="E166" t="str">
        <f t="shared" si="2"/>
        <v>Februari</v>
      </c>
      <c r="F166">
        <v>1</v>
      </c>
      <c r="G166" t="s">
        <v>1515</v>
      </c>
      <c r="H166" t="s">
        <v>1512</v>
      </c>
      <c r="I166" t="s">
        <v>1531</v>
      </c>
      <c r="J166" t="s">
        <v>1517</v>
      </c>
      <c r="K166" t="s">
        <v>1518</v>
      </c>
      <c r="L166" s="2">
        <v>2</v>
      </c>
      <c r="M166" s="10">
        <v>2555</v>
      </c>
      <c r="N166" s="7">
        <v>5110</v>
      </c>
    </row>
    <row r="167" spans="1:14" x14ac:dyDescent="0.3">
      <c r="A167">
        <v>1062</v>
      </c>
      <c r="B167" s="1">
        <v>45358</v>
      </c>
      <c r="C167">
        <v>2024</v>
      </c>
      <c r="D167">
        <v>3</v>
      </c>
      <c r="E167" t="str">
        <f t="shared" si="2"/>
        <v>Maret</v>
      </c>
      <c r="F167">
        <v>1</v>
      </c>
      <c r="G167" t="s">
        <v>1515</v>
      </c>
      <c r="H167" t="s">
        <v>1512</v>
      </c>
      <c r="I167" t="s">
        <v>1531</v>
      </c>
      <c r="J167" t="s">
        <v>1517</v>
      </c>
      <c r="K167" t="s">
        <v>1518</v>
      </c>
      <c r="L167" s="2">
        <v>2</v>
      </c>
      <c r="M167" s="10">
        <v>2555</v>
      </c>
      <c r="N167" s="7">
        <v>5110</v>
      </c>
    </row>
    <row r="168" spans="1:14" x14ac:dyDescent="0.3">
      <c r="A168">
        <v>1062</v>
      </c>
      <c r="B168" s="1">
        <v>44794</v>
      </c>
      <c r="C168">
        <v>2022</v>
      </c>
      <c r="D168">
        <v>8</v>
      </c>
      <c r="E168" t="str">
        <f t="shared" si="2"/>
        <v>Agustus</v>
      </c>
      <c r="F168">
        <v>3</v>
      </c>
      <c r="G168" t="s">
        <v>1515</v>
      </c>
      <c r="H168" t="s">
        <v>1512</v>
      </c>
      <c r="I168" t="s">
        <v>1531</v>
      </c>
      <c r="J168" t="s">
        <v>1517</v>
      </c>
      <c r="K168" t="s">
        <v>1518</v>
      </c>
      <c r="L168" s="2">
        <v>2</v>
      </c>
      <c r="M168" s="10">
        <v>2555</v>
      </c>
      <c r="N168" s="7">
        <v>5110</v>
      </c>
    </row>
    <row r="169" spans="1:14" x14ac:dyDescent="0.3">
      <c r="A169">
        <v>1062</v>
      </c>
      <c r="B169" s="1">
        <v>45181</v>
      </c>
      <c r="C169">
        <v>2023</v>
      </c>
      <c r="D169">
        <v>9</v>
      </c>
      <c r="E169" t="str">
        <f t="shared" si="2"/>
        <v>September</v>
      </c>
      <c r="F169">
        <v>3</v>
      </c>
      <c r="G169" t="s">
        <v>1515</v>
      </c>
      <c r="H169" t="s">
        <v>1512</v>
      </c>
      <c r="I169" t="s">
        <v>1531</v>
      </c>
      <c r="J169" t="s">
        <v>1517</v>
      </c>
      <c r="K169" t="s">
        <v>1518</v>
      </c>
      <c r="L169" s="2">
        <v>2</v>
      </c>
      <c r="M169" s="10">
        <v>2555</v>
      </c>
      <c r="N169" s="7">
        <v>5110</v>
      </c>
    </row>
    <row r="170" spans="1:14" x14ac:dyDescent="0.3">
      <c r="A170">
        <v>1063</v>
      </c>
      <c r="B170" s="1">
        <v>44971</v>
      </c>
      <c r="C170">
        <v>2023</v>
      </c>
      <c r="D170">
        <v>2</v>
      </c>
      <c r="E170" t="str">
        <f t="shared" si="2"/>
        <v>Februari</v>
      </c>
      <c r="F170">
        <v>1</v>
      </c>
      <c r="G170" t="s">
        <v>1534</v>
      </c>
      <c r="H170" t="s">
        <v>1530</v>
      </c>
      <c r="I170" t="s">
        <v>1521</v>
      </c>
      <c r="J170" t="s">
        <v>1517</v>
      </c>
      <c r="K170" t="s">
        <v>1525</v>
      </c>
      <c r="L170" s="2">
        <v>3</v>
      </c>
      <c r="M170" s="10">
        <v>3601</v>
      </c>
      <c r="N170" s="7">
        <v>10803</v>
      </c>
    </row>
    <row r="171" spans="1:14" x14ac:dyDescent="0.3">
      <c r="A171">
        <v>1063</v>
      </c>
      <c r="B171" s="1">
        <v>44919</v>
      </c>
      <c r="C171">
        <v>2022</v>
      </c>
      <c r="D171">
        <v>12</v>
      </c>
      <c r="E171" t="str">
        <f t="shared" si="2"/>
        <v>Desember</v>
      </c>
      <c r="F171">
        <v>4</v>
      </c>
      <c r="G171" t="s">
        <v>1534</v>
      </c>
      <c r="H171" t="s">
        <v>1530</v>
      </c>
      <c r="I171" t="s">
        <v>1521</v>
      </c>
      <c r="J171" t="s">
        <v>1517</v>
      </c>
      <c r="K171" t="s">
        <v>1525</v>
      </c>
      <c r="L171" s="2">
        <v>3</v>
      </c>
      <c r="M171" s="10">
        <v>3601</v>
      </c>
      <c r="N171" s="7">
        <v>10803</v>
      </c>
    </row>
    <row r="172" spans="1:14" x14ac:dyDescent="0.3">
      <c r="A172">
        <v>1063</v>
      </c>
      <c r="B172" s="1">
        <v>44648</v>
      </c>
      <c r="C172">
        <v>2022</v>
      </c>
      <c r="D172">
        <v>3</v>
      </c>
      <c r="E172" t="str">
        <f t="shared" si="2"/>
        <v>Maret</v>
      </c>
      <c r="F172">
        <v>1</v>
      </c>
      <c r="G172" t="s">
        <v>1534</v>
      </c>
      <c r="H172" t="s">
        <v>1530</v>
      </c>
      <c r="I172" t="s">
        <v>1521</v>
      </c>
      <c r="J172" t="s">
        <v>1517</v>
      </c>
      <c r="K172" t="s">
        <v>1525</v>
      </c>
      <c r="L172" s="2">
        <v>3</v>
      </c>
      <c r="M172" s="10">
        <v>3601</v>
      </c>
      <c r="N172" s="7">
        <v>10803</v>
      </c>
    </row>
    <row r="173" spans="1:14" x14ac:dyDescent="0.3">
      <c r="A173">
        <v>1064</v>
      </c>
      <c r="B173" s="1">
        <v>45654</v>
      </c>
      <c r="C173">
        <v>2024</v>
      </c>
      <c r="D173">
        <v>12</v>
      </c>
      <c r="E173" t="str">
        <f t="shared" si="2"/>
        <v>Desember</v>
      </c>
      <c r="F173">
        <v>4</v>
      </c>
      <c r="G173" t="s">
        <v>1519</v>
      </c>
      <c r="H173" t="s">
        <v>1520</v>
      </c>
      <c r="I173" t="s">
        <v>1513</v>
      </c>
      <c r="J173" t="s">
        <v>1566</v>
      </c>
      <c r="K173" t="s">
        <v>1518</v>
      </c>
      <c r="L173" s="2">
        <v>5</v>
      </c>
      <c r="M173" s="10">
        <v>9924</v>
      </c>
      <c r="N173" s="7">
        <v>49620</v>
      </c>
    </row>
    <row r="174" spans="1:14" x14ac:dyDescent="0.3">
      <c r="A174">
        <v>1064</v>
      </c>
      <c r="B174" s="1">
        <v>44972</v>
      </c>
      <c r="C174">
        <v>2023</v>
      </c>
      <c r="D174">
        <v>2</v>
      </c>
      <c r="E174" t="str">
        <f t="shared" si="2"/>
        <v>Februari</v>
      </c>
      <c r="F174">
        <v>1</v>
      </c>
      <c r="G174" t="s">
        <v>1519</v>
      </c>
      <c r="H174" t="s">
        <v>1520</v>
      </c>
      <c r="I174" t="s">
        <v>1513</v>
      </c>
      <c r="J174" t="s">
        <v>1566</v>
      </c>
      <c r="K174" t="s">
        <v>1518</v>
      </c>
      <c r="L174" s="2">
        <v>5</v>
      </c>
      <c r="M174" s="10">
        <v>9924</v>
      </c>
      <c r="N174" s="7">
        <v>49620</v>
      </c>
    </row>
    <row r="175" spans="1:14" x14ac:dyDescent="0.3">
      <c r="A175">
        <v>1064</v>
      </c>
      <c r="B175" s="1">
        <v>45408</v>
      </c>
      <c r="C175">
        <v>2024</v>
      </c>
      <c r="D175">
        <v>4</v>
      </c>
      <c r="E175" t="str">
        <f t="shared" si="2"/>
        <v>April</v>
      </c>
      <c r="F175">
        <v>2</v>
      </c>
      <c r="G175" t="s">
        <v>1519</v>
      </c>
      <c r="H175" t="s">
        <v>1520</v>
      </c>
      <c r="I175" t="s">
        <v>1513</v>
      </c>
      <c r="J175" t="s">
        <v>1566</v>
      </c>
      <c r="K175" t="s">
        <v>1518</v>
      </c>
      <c r="L175" s="2">
        <v>5</v>
      </c>
      <c r="M175" s="10">
        <v>9924</v>
      </c>
      <c r="N175" s="7">
        <v>49620</v>
      </c>
    </row>
    <row r="176" spans="1:14" x14ac:dyDescent="0.3">
      <c r="A176">
        <v>1064</v>
      </c>
      <c r="B176" s="1">
        <v>45251</v>
      </c>
      <c r="C176">
        <v>2023</v>
      </c>
      <c r="D176">
        <v>11</v>
      </c>
      <c r="E176" t="str">
        <f t="shared" si="2"/>
        <v>November</v>
      </c>
      <c r="F176">
        <v>4</v>
      </c>
      <c r="G176" t="s">
        <v>1519</v>
      </c>
      <c r="H176" t="s">
        <v>1520</v>
      </c>
      <c r="I176" t="s">
        <v>1513</v>
      </c>
      <c r="J176" t="s">
        <v>1566</v>
      </c>
      <c r="K176" t="s">
        <v>1518</v>
      </c>
      <c r="L176" s="2">
        <v>5</v>
      </c>
      <c r="M176" s="10">
        <v>9924</v>
      </c>
      <c r="N176" s="7">
        <v>49620</v>
      </c>
    </row>
    <row r="177" spans="1:14" x14ac:dyDescent="0.3">
      <c r="A177">
        <v>1065</v>
      </c>
      <c r="B177" s="1">
        <v>45043</v>
      </c>
      <c r="C177">
        <v>2023</v>
      </c>
      <c r="D177">
        <v>4</v>
      </c>
      <c r="E177" t="str">
        <f t="shared" si="2"/>
        <v>April</v>
      </c>
      <c r="F177">
        <v>2</v>
      </c>
      <c r="G177" t="s">
        <v>1522</v>
      </c>
      <c r="H177" t="s">
        <v>1520</v>
      </c>
      <c r="I177" t="s">
        <v>1516</v>
      </c>
      <c r="J177" t="s">
        <v>1524</v>
      </c>
      <c r="K177" t="s">
        <v>1525</v>
      </c>
      <c r="L177" s="2">
        <v>5</v>
      </c>
      <c r="M177" s="10">
        <v>511</v>
      </c>
      <c r="N177" s="7">
        <v>2555</v>
      </c>
    </row>
    <row r="178" spans="1:14" x14ac:dyDescent="0.3">
      <c r="A178">
        <v>1065</v>
      </c>
      <c r="B178" s="1">
        <v>44895</v>
      </c>
      <c r="C178">
        <v>2022</v>
      </c>
      <c r="D178">
        <v>11</v>
      </c>
      <c r="E178" t="str">
        <f t="shared" si="2"/>
        <v>November</v>
      </c>
      <c r="F178">
        <v>4</v>
      </c>
      <c r="G178" t="s">
        <v>1522</v>
      </c>
      <c r="H178" t="s">
        <v>1520</v>
      </c>
      <c r="I178" t="s">
        <v>1516</v>
      </c>
      <c r="J178" t="s">
        <v>1524</v>
      </c>
      <c r="K178" t="s">
        <v>1525</v>
      </c>
      <c r="L178" s="2">
        <v>5</v>
      </c>
      <c r="M178" s="10">
        <v>511</v>
      </c>
      <c r="N178" s="7">
        <v>2555</v>
      </c>
    </row>
    <row r="179" spans="1:14" x14ac:dyDescent="0.3">
      <c r="A179">
        <v>1065</v>
      </c>
      <c r="B179" s="1">
        <v>45263</v>
      </c>
      <c r="C179">
        <v>2023</v>
      </c>
      <c r="D179">
        <v>12</v>
      </c>
      <c r="E179" t="str">
        <f t="shared" si="2"/>
        <v>Desember</v>
      </c>
      <c r="F179">
        <v>4</v>
      </c>
      <c r="G179" t="s">
        <v>1522</v>
      </c>
      <c r="H179" t="s">
        <v>1520</v>
      </c>
      <c r="I179" t="s">
        <v>1516</v>
      </c>
      <c r="J179" t="s">
        <v>1524</v>
      </c>
      <c r="K179" t="s">
        <v>1525</v>
      </c>
      <c r="L179" s="2">
        <v>5</v>
      </c>
      <c r="M179" s="10">
        <v>511</v>
      </c>
      <c r="N179" s="7">
        <v>2555</v>
      </c>
    </row>
    <row r="180" spans="1:14" x14ac:dyDescent="0.3">
      <c r="A180">
        <v>1065</v>
      </c>
      <c r="B180" s="1">
        <v>45257</v>
      </c>
      <c r="C180">
        <v>2023</v>
      </c>
      <c r="D180">
        <v>11</v>
      </c>
      <c r="E180" t="str">
        <f t="shared" si="2"/>
        <v>November</v>
      </c>
      <c r="F180">
        <v>4</v>
      </c>
      <c r="G180" t="s">
        <v>1522</v>
      </c>
      <c r="H180" t="s">
        <v>1520</v>
      </c>
      <c r="I180" t="s">
        <v>1516</v>
      </c>
      <c r="J180" t="s">
        <v>1524</v>
      </c>
      <c r="K180" t="s">
        <v>1525</v>
      </c>
      <c r="L180" s="2">
        <v>5</v>
      </c>
      <c r="M180" s="10">
        <v>511</v>
      </c>
      <c r="N180" s="7">
        <v>2555</v>
      </c>
    </row>
    <row r="181" spans="1:14" x14ac:dyDescent="0.3">
      <c r="A181">
        <v>1066</v>
      </c>
      <c r="B181" s="1">
        <v>44974</v>
      </c>
      <c r="C181">
        <v>2023</v>
      </c>
      <c r="D181">
        <v>2</v>
      </c>
      <c r="E181" t="str">
        <f t="shared" si="2"/>
        <v>Februari</v>
      </c>
      <c r="F181">
        <v>1</v>
      </c>
      <c r="G181" t="s">
        <v>1523</v>
      </c>
      <c r="H181" t="s">
        <v>1512</v>
      </c>
      <c r="I181" t="s">
        <v>1516</v>
      </c>
      <c r="J181" t="s">
        <v>1517</v>
      </c>
      <c r="K181" t="s">
        <v>1525</v>
      </c>
      <c r="L181" s="2">
        <v>1</v>
      </c>
      <c r="M181" s="10">
        <v>29247</v>
      </c>
      <c r="N181" s="7">
        <v>29247</v>
      </c>
    </row>
    <row r="182" spans="1:14" x14ac:dyDescent="0.3">
      <c r="A182">
        <v>1066</v>
      </c>
      <c r="B182" s="1">
        <v>44954</v>
      </c>
      <c r="C182">
        <v>2023</v>
      </c>
      <c r="D182">
        <v>1</v>
      </c>
      <c r="E182" t="str">
        <f t="shared" si="2"/>
        <v>Januari</v>
      </c>
      <c r="F182">
        <v>1</v>
      </c>
      <c r="G182" t="s">
        <v>1523</v>
      </c>
      <c r="H182" t="s">
        <v>1512</v>
      </c>
      <c r="I182" t="s">
        <v>1516</v>
      </c>
      <c r="J182" t="s">
        <v>1517</v>
      </c>
      <c r="K182" t="s">
        <v>1525</v>
      </c>
      <c r="L182" s="2">
        <v>1</v>
      </c>
      <c r="M182" s="10">
        <v>29247</v>
      </c>
      <c r="N182" s="7">
        <v>29247</v>
      </c>
    </row>
    <row r="183" spans="1:14" x14ac:dyDescent="0.3">
      <c r="A183">
        <v>1066</v>
      </c>
      <c r="B183" s="1">
        <v>44918</v>
      </c>
      <c r="C183">
        <v>2022</v>
      </c>
      <c r="D183">
        <v>12</v>
      </c>
      <c r="E183" t="str">
        <f t="shared" si="2"/>
        <v>Desember</v>
      </c>
      <c r="F183">
        <v>4</v>
      </c>
      <c r="G183" t="s">
        <v>1523</v>
      </c>
      <c r="H183" t="s">
        <v>1512</v>
      </c>
      <c r="I183" t="s">
        <v>1516</v>
      </c>
      <c r="J183" t="s">
        <v>1517</v>
      </c>
      <c r="K183" t="s">
        <v>1525</v>
      </c>
      <c r="L183" s="2">
        <v>1</v>
      </c>
      <c r="M183" s="10">
        <v>29247</v>
      </c>
      <c r="N183" s="7">
        <v>29247</v>
      </c>
    </row>
    <row r="184" spans="1:14" x14ac:dyDescent="0.3">
      <c r="A184">
        <v>1067</v>
      </c>
      <c r="B184" s="1">
        <v>45579</v>
      </c>
      <c r="C184">
        <v>2024</v>
      </c>
      <c r="D184">
        <v>10</v>
      </c>
      <c r="E184" t="str">
        <f t="shared" si="2"/>
        <v>Oktober</v>
      </c>
      <c r="F184">
        <v>4</v>
      </c>
      <c r="G184" t="s">
        <v>1526</v>
      </c>
      <c r="H184" t="s">
        <v>1527</v>
      </c>
      <c r="I184" t="s">
        <v>1521</v>
      </c>
      <c r="J184" t="s">
        <v>1566</v>
      </c>
      <c r="K184" t="s">
        <v>1518</v>
      </c>
      <c r="L184" s="2">
        <v>4</v>
      </c>
      <c r="M184" s="10">
        <v>699</v>
      </c>
      <c r="N184" s="7">
        <v>2796</v>
      </c>
    </row>
    <row r="185" spans="1:14" x14ac:dyDescent="0.3">
      <c r="A185">
        <v>1068</v>
      </c>
      <c r="B185" s="1">
        <v>45631</v>
      </c>
      <c r="C185">
        <v>2024</v>
      </c>
      <c r="D185">
        <v>12</v>
      </c>
      <c r="E185" t="str">
        <f t="shared" si="2"/>
        <v>Desember</v>
      </c>
      <c r="F185">
        <v>4</v>
      </c>
      <c r="G185" t="s">
        <v>1529</v>
      </c>
      <c r="H185" t="s">
        <v>1530</v>
      </c>
      <c r="I185" t="s">
        <v>1528</v>
      </c>
      <c r="J185" t="s">
        <v>1524</v>
      </c>
      <c r="K185" t="s">
        <v>1525</v>
      </c>
      <c r="L185" s="2">
        <v>5</v>
      </c>
      <c r="M185" s="10">
        <v>566</v>
      </c>
      <c r="N185" s="7">
        <v>2830</v>
      </c>
    </row>
    <row r="186" spans="1:14" x14ac:dyDescent="0.3">
      <c r="A186">
        <v>1068</v>
      </c>
      <c r="B186" s="1">
        <v>45131</v>
      </c>
      <c r="C186">
        <v>2023</v>
      </c>
      <c r="D186">
        <v>7</v>
      </c>
      <c r="E186" t="str">
        <f t="shared" si="2"/>
        <v>Juli</v>
      </c>
      <c r="F186">
        <v>3</v>
      </c>
      <c r="G186" t="s">
        <v>1529</v>
      </c>
      <c r="H186" t="s">
        <v>1530</v>
      </c>
      <c r="I186" t="s">
        <v>1528</v>
      </c>
      <c r="J186" t="s">
        <v>1524</v>
      </c>
      <c r="K186" t="s">
        <v>1525</v>
      </c>
      <c r="L186" s="2">
        <v>5</v>
      </c>
      <c r="M186" s="10">
        <v>566</v>
      </c>
      <c r="N186" s="7">
        <v>2830</v>
      </c>
    </row>
    <row r="187" spans="1:14" x14ac:dyDescent="0.3">
      <c r="A187">
        <v>1068</v>
      </c>
      <c r="B187" s="1">
        <v>45434</v>
      </c>
      <c r="C187">
        <v>2024</v>
      </c>
      <c r="D187">
        <v>5</v>
      </c>
      <c r="E187" t="str">
        <f t="shared" si="2"/>
        <v>Mei</v>
      </c>
      <c r="F187">
        <v>2</v>
      </c>
      <c r="G187" t="s">
        <v>1529</v>
      </c>
      <c r="H187" t="s">
        <v>1530</v>
      </c>
      <c r="I187" t="s">
        <v>1528</v>
      </c>
      <c r="J187" t="s">
        <v>1524</v>
      </c>
      <c r="K187" t="s">
        <v>1525</v>
      </c>
      <c r="L187" s="2">
        <v>5</v>
      </c>
      <c r="M187" s="10">
        <v>566</v>
      </c>
      <c r="N187" s="7">
        <v>2830</v>
      </c>
    </row>
    <row r="188" spans="1:14" x14ac:dyDescent="0.3">
      <c r="A188">
        <v>1068</v>
      </c>
      <c r="B188" s="1">
        <v>44655</v>
      </c>
      <c r="C188">
        <v>2022</v>
      </c>
      <c r="D188">
        <v>4</v>
      </c>
      <c r="E188" t="str">
        <f t="shared" si="2"/>
        <v>April</v>
      </c>
      <c r="F188">
        <v>2</v>
      </c>
      <c r="G188" t="s">
        <v>1529</v>
      </c>
      <c r="H188" t="s">
        <v>1530</v>
      </c>
      <c r="I188" t="s">
        <v>1528</v>
      </c>
      <c r="J188" t="s">
        <v>1524</v>
      </c>
      <c r="K188" t="s">
        <v>1525</v>
      </c>
      <c r="L188" s="2">
        <v>5</v>
      </c>
      <c r="M188" s="10">
        <v>566</v>
      </c>
      <c r="N188" s="7">
        <v>2830</v>
      </c>
    </row>
    <row r="189" spans="1:14" x14ac:dyDescent="0.3">
      <c r="A189">
        <v>1069</v>
      </c>
      <c r="B189" s="1">
        <v>45640</v>
      </c>
      <c r="C189">
        <v>2024</v>
      </c>
      <c r="D189">
        <v>12</v>
      </c>
      <c r="E189" t="str">
        <f t="shared" si="2"/>
        <v>Desember</v>
      </c>
      <c r="F189">
        <v>4</v>
      </c>
      <c r="G189" t="s">
        <v>1532</v>
      </c>
      <c r="H189" t="s">
        <v>1512</v>
      </c>
      <c r="I189" t="s">
        <v>1531</v>
      </c>
      <c r="J189" t="s">
        <v>1566</v>
      </c>
      <c r="K189" t="s">
        <v>1518</v>
      </c>
      <c r="L189" s="2">
        <v>1</v>
      </c>
      <c r="M189" s="10">
        <v>5629</v>
      </c>
      <c r="N189" s="7">
        <v>5629</v>
      </c>
    </row>
    <row r="190" spans="1:14" x14ac:dyDescent="0.3">
      <c r="A190">
        <v>1069</v>
      </c>
      <c r="B190" s="1">
        <v>45109</v>
      </c>
      <c r="C190">
        <v>2023</v>
      </c>
      <c r="D190">
        <v>7</v>
      </c>
      <c r="E190" t="str">
        <f t="shared" si="2"/>
        <v>Juli</v>
      </c>
      <c r="F190">
        <v>3</v>
      </c>
      <c r="G190" t="s">
        <v>1532</v>
      </c>
      <c r="H190" t="s">
        <v>1512</v>
      </c>
      <c r="I190" t="s">
        <v>1531</v>
      </c>
      <c r="J190" t="s">
        <v>1566</v>
      </c>
      <c r="K190" t="s">
        <v>1518</v>
      </c>
      <c r="L190" s="2">
        <v>1</v>
      </c>
      <c r="M190" s="10">
        <v>5629</v>
      </c>
      <c r="N190" s="7">
        <v>5629</v>
      </c>
    </row>
    <row r="191" spans="1:14" x14ac:dyDescent="0.3">
      <c r="A191">
        <v>1069</v>
      </c>
      <c r="B191" s="1">
        <v>45141</v>
      </c>
      <c r="C191">
        <v>2023</v>
      </c>
      <c r="D191">
        <v>8</v>
      </c>
      <c r="E191" t="str">
        <f t="shared" si="2"/>
        <v>Agustus</v>
      </c>
      <c r="F191">
        <v>3</v>
      </c>
      <c r="G191" t="s">
        <v>1532</v>
      </c>
      <c r="H191" t="s">
        <v>1512</v>
      </c>
      <c r="I191" t="s">
        <v>1531</v>
      </c>
      <c r="J191" t="s">
        <v>1566</v>
      </c>
      <c r="K191" t="s">
        <v>1518</v>
      </c>
      <c r="L191" s="2">
        <v>1</v>
      </c>
      <c r="M191" s="10">
        <v>5629</v>
      </c>
      <c r="N191" s="7">
        <v>5629</v>
      </c>
    </row>
    <row r="192" spans="1:14" x14ac:dyDescent="0.3">
      <c r="A192">
        <v>1070</v>
      </c>
      <c r="B192" s="1">
        <v>44881</v>
      </c>
      <c r="C192">
        <v>2022</v>
      </c>
      <c r="D192">
        <v>11</v>
      </c>
      <c r="E192" t="str">
        <f t="shared" si="2"/>
        <v>November</v>
      </c>
      <c r="F192">
        <v>4</v>
      </c>
      <c r="G192" t="s">
        <v>1533</v>
      </c>
      <c r="H192" t="s">
        <v>1520</v>
      </c>
      <c r="I192" t="s">
        <v>1516</v>
      </c>
      <c r="J192" t="s">
        <v>1524</v>
      </c>
      <c r="K192" t="s">
        <v>1514</v>
      </c>
      <c r="L192" s="2">
        <v>3</v>
      </c>
      <c r="M192" s="10">
        <v>579</v>
      </c>
      <c r="N192" s="7">
        <v>1737</v>
      </c>
    </row>
    <row r="193" spans="1:14" x14ac:dyDescent="0.3">
      <c r="A193">
        <v>1070</v>
      </c>
      <c r="B193" s="1">
        <v>45173</v>
      </c>
      <c r="C193">
        <v>2023</v>
      </c>
      <c r="D193">
        <v>9</v>
      </c>
      <c r="E193" t="str">
        <f t="shared" si="2"/>
        <v>September</v>
      </c>
      <c r="F193">
        <v>3</v>
      </c>
      <c r="G193" t="s">
        <v>1533</v>
      </c>
      <c r="H193" t="s">
        <v>1520</v>
      </c>
      <c r="I193" t="s">
        <v>1516</v>
      </c>
      <c r="J193" t="s">
        <v>1524</v>
      </c>
      <c r="K193" t="s">
        <v>1514</v>
      </c>
      <c r="L193" s="2">
        <v>3</v>
      </c>
      <c r="M193" s="10">
        <v>579</v>
      </c>
      <c r="N193" s="7">
        <v>1737</v>
      </c>
    </row>
    <row r="194" spans="1:14" x14ac:dyDescent="0.3">
      <c r="A194">
        <v>1070</v>
      </c>
      <c r="B194" s="1">
        <v>44588</v>
      </c>
      <c r="C194">
        <v>2022</v>
      </c>
      <c r="D194">
        <v>1</v>
      </c>
      <c r="E194" t="str">
        <f t="shared" si="2"/>
        <v>Januari</v>
      </c>
      <c r="F194">
        <v>1</v>
      </c>
      <c r="G194" t="s">
        <v>1533</v>
      </c>
      <c r="H194" t="s">
        <v>1520</v>
      </c>
      <c r="I194" t="s">
        <v>1516</v>
      </c>
      <c r="J194" t="s">
        <v>1524</v>
      </c>
      <c r="K194" t="s">
        <v>1514</v>
      </c>
      <c r="L194" s="2">
        <v>3</v>
      </c>
      <c r="M194" s="10">
        <v>579</v>
      </c>
      <c r="N194" s="7">
        <v>1737</v>
      </c>
    </row>
    <row r="195" spans="1:14" x14ac:dyDescent="0.3">
      <c r="A195">
        <v>1071</v>
      </c>
      <c r="B195" s="1">
        <v>44713</v>
      </c>
      <c r="C195">
        <v>2022</v>
      </c>
      <c r="D195">
        <v>6</v>
      </c>
      <c r="E195" t="str">
        <f t="shared" ref="E195:E258" si="3">TEXT(DATE(2026, D195, 1), "[$-id-ID]mmmm")</f>
        <v>Juni</v>
      </c>
      <c r="F195">
        <v>2</v>
      </c>
      <c r="G195" t="s">
        <v>1511</v>
      </c>
      <c r="H195" t="s">
        <v>1512</v>
      </c>
      <c r="I195" t="s">
        <v>1521</v>
      </c>
      <c r="J195" t="s">
        <v>1517</v>
      </c>
      <c r="K195" t="s">
        <v>1514</v>
      </c>
      <c r="L195" s="2">
        <v>2</v>
      </c>
      <c r="M195" s="10">
        <v>58940</v>
      </c>
      <c r="N195" s="7">
        <v>117880</v>
      </c>
    </row>
    <row r="196" spans="1:14" x14ac:dyDescent="0.3">
      <c r="A196">
        <v>1072</v>
      </c>
      <c r="B196" s="1">
        <v>45118</v>
      </c>
      <c r="C196">
        <v>2023</v>
      </c>
      <c r="D196">
        <v>7</v>
      </c>
      <c r="E196" t="str">
        <f t="shared" si="3"/>
        <v>Juli</v>
      </c>
      <c r="F196">
        <v>3</v>
      </c>
      <c r="G196" t="s">
        <v>1515</v>
      </c>
      <c r="H196" t="s">
        <v>1512</v>
      </c>
      <c r="I196" t="s">
        <v>1521</v>
      </c>
      <c r="J196" t="s">
        <v>1517</v>
      </c>
      <c r="K196" t="s">
        <v>1518</v>
      </c>
      <c r="L196" s="2">
        <v>1</v>
      </c>
      <c r="M196" s="10">
        <v>3615</v>
      </c>
      <c r="N196" s="7">
        <v>3615</v>
      </c>
    </row>
    <row r="197" spans="1:14" x14ac:dyDescent="0.3">
      <c r="A197">
        <v>1072</v>
      </c>
      <c r="B197" s="1">
        <v>44998</v>
      </c>
      <c r="C197">
        <v>2023</v>
      </c>
      <c r="D197">
        <v>3</v>
      </c>
      <c r="E197" t="str">
        <f t="shared" si="3"/>
        <v>Maret</v>
      </c>
      <c r="F197">
        <v>1</v>
      </c>
      <c r="G197" t="s">
        <v>1515</v>
      </c>
      <c r="H197" t="s">
        <v>1512</v>
      </c>
      <c r="I197" t="s">
        <v>1521</v>
      </c>
      <c r="J197" t="s">
        <v>1517</v>
      </c>
      <c r="K197" t="s">
        <v>1518</v>
      </c>
      <c r="L197" s="2">
        <v>1</v>
      </c>
      <c r="M197" s="10">
        <v>3615</v>
      </c>
      <c r="N197" s="7">
        <v>3615</v>
      </c>
    </row>
    <row r="198" spans="1:14" x14ac:dyDescent="0.3">
      <c r="A198">
        <v>1073</v>
      </c>
      <c r="B198" s="1">
        <v>45191</v>
      </c>
      <c r="C198">
        <v>2023</v>
      </c>
      <c r="D198">
        <v>9</v>
      </c>
      <c r="E198" t="str">
        <f t="shared" si="3"/>
        <v>September</v>
      </c>
      <c r="F198">
        <v>3</v>
      </c>
      <c r="G198" t="s">
        <v>1534</v>
      </c>
      <c r="H198" t="s">
        <v>1530</v>
      </c>
      <c r="I198" t="s">
        <v>1516</v>
      </c>
      <c r="J198" t="s">
        <v>1566</v>
      </c>
      <c r="K198" t="s">
        <v>1525</v>
      </c>
      <c r="L198" s="2">
        <v>3</v>
      </c>
      <c r="M198" s="10">
        <v>3472</v>
      </c>
      <c r="N198" s="7">
        <v>10416</v>
      </c>
    </row>
    <row r="199" spans="1:14" x14ac:dyDescent="0.3">
      <c r="A199">
        <v>1074</v>
      </c>
      <c r="B199" s="1">
        <v>44860</v>
      </c>
      <c r="C199">
        <v>2022</v>
      </c>
      <c r="D199">
        <v>10</v>
      </c>
      <c r="E199" t="str">
        <f t="shared" si="3"/>
        <v>Oktober</v>
      </c>
      <c r="F199">
        <v>4</v>
      </c>
      <c r="G199" t="s">
        <v>1519</v>
      </c>
      <c r="H199" t="s">
        <v>1520</v>
      </c>
      <c r="I199" t="s">
        <v>1516</v>
      </c>
      <c r="J199" t="s">
        <v>1524</v>
      </c>
      <c r="K199" t="s">
        <v>1514</v>
      </c>
      <c r="L199" s="2">
        <v>1</v>
      </c>
      <c r="M199" s="10">
        <v>2976</v>
      </c>
      <c r="N199" s="7">
        <v>2976</v>
      </c>
    </row>
    <row r="200" spans="1:14" x14ac:dyDescent="0.3">
      <c r="A200">
        <v>1074</v>
      </c>
      <c r="B200" s="1">
        <v>45286</v>
      </c>
      <c r="C200">
        <v>2023</v>
      </c>
      <c r="D200">
        <v>12</v>
      </c>
      <c r="E200" t="str">
        <f t="shared" si="3"/>
        <v>Desember</v>
      </c>
      <c r="F200">
        <v>4</v>
      </c>
      <c r="G200" t="s">
        <v>1519</v>
      </c>
      <c r="H200" t="s">
        <v>1520</v>
      </c>
      <c r="I200" t="s">
        <v>1516</v>
      </c>
      <c r="J200" t="s">
        <v>1524</v>
      </c>
      <c r="K200" t="s">
        <v>1514</v>
      </c>
      <c r="L200" s="2">
        <v>1</v>
      </c>
      <c r="M200" s="10">
        <v>2976</v>
      </c>
      <c r="N200" s="7">
        <v>2976</v>
      </c>
    </row>
    <row r="201" spans="1:14" x14ac:dyDescent="0.3">
      <c r="A201">
        <v>1075</v>
      </c>
      <c r="B201" s="1">
        <v>44579</v>
      </c>
      <c r="C201">
        <v>2022</v>
      </c>
      <c r="D201">
        <v>1</v>
      </c>
      <c r="E201" t="str">
        <f t="shared" si="3"/>
        <v>Januari</v>
      </c>
      <c r="F201">
        <v>1</v>
      </c>
      <c r="G201" t="s">
        <v>1522</v>
      </c>
      <c r="H201" t="s">
        <v>1520</v>
      </c>
      <c r="I201" t="s">
        <v>1531</v>
      </c>
      <c r="J201" t="s">
        <v>1566</v>
      </c>
      <c r="K201" t="s">
        <v>1514</v>
      </c>
      <c r="L201" s="2">
        <v>3</v>
      </c>
      <c r="M201" s="10">
        <v>359</v>
      </c>
      <c r="N201" s="7">
        <v>1077</v>
      </c>
    </row>
    <row r="202" spans="1:14" x14ac:dyDescent="0.3">
      <c r="A202">
        <v>1075</v>
      </c>
      <c r="B202" s="1">
        <v>45525</v>
      </c>
      <c r="C202">
        <v>2024</v>
      </c>
      <c r="D202">
        <v>8</v>
      </c>
      <c r="E202" t="str">
        <f t="shared" si="3"/>
        <v>Agustus</v>
      </c>
      <c r="F202">
        <v>3</v>
      </c>
      <c r="G202" t="s">
        <v>1522</v>
      </c>
      <c r="H202" t="s">
        <v>1520</v>
      </c>
      <c r="I202" t="s">
        <v>1531</v>
      </c>
      <c r="J202" t="s">
        <v>1566</v>
      </c>
      <c r="K202" t="s">
        <v>1514</v>
      </c>
      <c r="L202" s="2">
        <v>3</v>
      </c>
      <c r="M202" s="10">
        <v>359</v>
      </c>
      <c r="N202" s="7">
        <v>1077</v>
      </c>
    </row>
    <row r="203" spans="1:14" x14ac:dyDescent="0.3">
      <c r="A203">
        <v>1075</v>
      </c>
      <c r="B203" s="1">
        <v>44612</v>
      </c>
      <c r="C203">
        <v>2022</v>
      </c>
      <c r="D203">
        <v>2</v>
      </c>
      <c r="E203" t="str">
        <f t="shared" si="3"/>
        <v>Februari</v>
      </c>
      <c r="F203">
        <v>1</v>
      </c>
      <c r="G203" t="s">
        <v>1522</v>
      </c>
      <c r="H203" t="s">
        <v>1520</v>
      </c>
      <c r="I203" t="s">
        <v>1531</v>
      </c>
      <c r="J203" t="s">
        <v>1566</v>
      </c>
      <c r="K203" t="s">
        <v>1514</v>
      </c>
      <c r="L203" s="2">
        <v>3</v>
      </c>
      <c r="M203" s="10">
        <v>359</v>
      </c>
      <c r="N203" s="7">
        <v>1077</v>
      </c>
    </row>
    <row r="204" spans="1:14" x14ac:dyDescent="0.3">
      <c r="A204">
        <v>1075</v>
      </c>
      <c r="B204" s="1">
        <v>45031</v>
      </c>
      <c r="C204">
        <v>2023</v>
      </c>
      <c r="D204">
        <v>4</v>
      </c>
      <c r="E204" t="str">
        <f t="shared" si="3"/>
        <v>April</v>
      </c>
      <c r="F204">
        <v>2</v>
      </c>
      <c r="G204" t="s">
        <v>1522</v>
      </c>
      <c r="H204" t="s">
        <v>1520</v>
      </c>
      <c r="I204" t="s">
        <v>1531</v>
      </c>
      <c r="J204" t="s">
        <v>1566</v>
      </c>
      <c r="K204" t="s">
        <v>1514</v>
      </c>
      <c r="L204" s="2">
        <v>3</v>
      </c>
      <c r="M204" s="10">
        <v>359</v>
      </c>
      <c r="N204" s="7">
        <v>1077</v>
      </c>
    </row>
    <row r="205" spans="1:14" x14ac:dyDescent="0.3">
      <c r="A205">
        <v>1076</v>
      </c>
      <c r="B205" s="1">
        <v>44857</v>
      </c>
      <c r="C205">
        <v>2022</v>
      </c>
      <c r="D205">
        <v>10</v>
      </c>
      <c r="E205" t="str">
        <f t="shared" si="3"/>
        <v>Oktober</v>
      </c>
      <c r="F205">
        <v>4</v>
      </c>
      <c r="G205" t="s">
        <v>1523</v>
      </c>
      <c r="H205" t="s">
        <v>1512</v>
      </c>
      <c r="I205" t="s">
        <v>1531</v>
      </c>
      <c r="J205" t="s">
        <v>1517</v>
      </c>
      <c r="K205" t="s">
        <v>1525</v>
      </c>
      <c r="L205" s="2">
        <v>1</v>
      </c>
      <c r="M205" s="10">
        <v>20775</v>
      </c>
      <c r="N205" s="7">
        <v>20775</v>
      </c>
    </row>
    <row r="206" spans="1:14" x14ac:dyDescent="0.3">
      <c r="A206">
        <v>1076</v>
      </c>
      <c r="B206" s="1">
        <v>44949</v>
      </c>
      <c r="C206">
        <v>2023</v>
      </c>
      <c r="D206">
        <v>1</v>
      </c>
      <c r="E206" t="str">
        <f t="shared" si="3"/>
        <v>Januari</v>
      </c>
      <c r="F206">
        <v>1</v>
      </c>
      <c r="G206" t="s">
        <v>1523</v>
      </c>
      <c r="H206" t="s">
        <v>1512</v>
      </c>
      <c r="I206" t="s">
        <v>1531</v>
      </c>
      <c r="J206" t="s">
        <v>1517</v>
      </c>
      <c r="K206" t="s">
        <v>1525</v>
      </c>
      <c r="L206" s="2">
        <v>1</v>
      </c>
      <c r="M206" s="10">
        <v>20775</v>
      </c>
      <c r="N206" s="7">
        <v>20775</v>
      </c>
    </row>
    <row r="207" spans="1:14" x14ac:dyDescent="0.3">
      <c r="A207">
        <v>1076</v>
      </c>
      <c r="B207" s="1">
        <v>45187</v>
      </c>
      <c r="C207">
        <v>2023</v>
      </c>
      <c r="D207">
        <v>9</v>
      </c>
      <c r="E207" t="str">
        <f t="shared" si="3"/>
        <v>September</v>
      </c>
      <c r="F207">
        <v>3</v>
      </c>
      <c r="G207" t="s">
        <v>1523</v>
      </c>
      <c r="H207" t="s">
        <v>1512</v>
      </c>
      <c r="I207" t="s">
        <v>1531</v>
      </c>
      <c r="J207" t="s">
        <v>1517</v>
      </c>
      <c r="K207" t="s">
        <v>1525</v>
      </c>
      <c r="L207" s="2">
        <v>1</v>
      </c>
      <c r="M207" s="10">
        <v>20775</v>
      </c>
      <c r="N207" s="7">
        <v>20775</v>
      </c>
    </row>
    <row r="208" spans="1:14" x14ac:dyDescent="0.3">
      <c r="A208">
        <v>1077</v>
      </c>
      <c r="B208" s="1">
        <v>44999</v>
      </c>
      <c r="C208">
        <v>2023</v>
      </c>
      <c r="D208">
        <v>3</v>
      </c>
      <c r="E208" t="str">
        <f t="shared" si="3"/>
        <v>Maret</v>
      </c>
      <c r="F208">
        <v>1</v>
      </c>
      <c r="G208" t="s">
        <v>1526</v>
      </c>
      <c r="H208" t="s">
        <v>1527</v>
      </c>
      <c r="I208" t="s">
        <v>1516</v>
      </c>
      <c r="J208" t="s">
        <v>1517</v>
      </c>
      <c r="K208" t="s">
        <v>1514</v>
      </c>
      <c r="L208" s="2">
        <v>4</v>
      </c>
      <c r="M208" s="10">
        <v>920</v>
      </c>
      <c r="N208" s="7">
        <v>3680</v>
      </c>
    </row>
    <row r="209" spans="1:14" x14ac:dyDescent="0.3">
      <c r="A209">
        <v>1078</v>
      </c>
      <c r="B209" s="1">
        <v>44895</v>
      </c>
      <c r="C209">
        <v>2022</v>
      </c>
      <c r="D209">
        <v>11</v>
      </c>
      <c r="E209" t="str">
        <f t="shared" si="3"/>
        <v>November</v>
      </c>
      <c r="F209">
        <v>4</v>
      </c>
      <c r="G209" t="s">
        <v>1529</v>
      </c>
      <c r="H209" t="s">
        <v>1530</v>
      </c>
      <c r="I209" t="s">
        <v>1521</v>
      </c>
      <c r="J209" t="s">
        <v>1566</v>
      </c>
      <c r="K209" t="s">
        <v>1518</v>
      </c>
      <c r="L209" s="2">
        <v>2</v>
      </c>
      <c r="M209" s="10">
        <v>907</v>
      </c>
      <c r="N209" s="7">
        <v>1814</v>
      </c>
    </row>
    <row r="210" spans="1:14" x14ac:dyDescent="0.3">
      <c r="A210">
        <v>1078</v>
      </c>
      <c r="B210" s="1">
        <v>45648</v>
      </c>
      <c r="C210">
        <v>2024</v>
      </c>
      <c r="D210">
        <v>12</v>
      </c>
      <c r="E210" t="str">
        <f t="shared" si="3"/>
        <v>Desember</v>
      </c>
      <c r="F210">
        <v>4</v>
      </c>
      <c r="G210" t="s">
        <v>1529</v>
      </c>
      <c r="H210" t="s">
        <v>1530</v>
      </c>
      <c r="I210" t="s">
        <v>1521</v>
      </c>
      <c r="J210" t="s">
        <v>1566</v>
      </c>
      <c r="K210" t="s">
        <v>1518</v>
      </c>
      <c r="L210" s="2">
        <v>2</v>
      </c>
      <c r="M210" s="10">
        <v>907</v>
      </c>
      <c r="N210" s="7">
        <v>1814</v>
      </c>
    </row>
    <row r="211" spans="1:14" x14ac:dyDescent="0.3">
      <c r="A211">
        <v>1079</v>
      </c>
      <c r="B211" s="1">
        <v>45236</v>
      </c>
      <c r="C211">
        <v>2023</v>
      </c>
      <c r="D211">
        <v>11</v>
      </c>
      <c r="E211" t="str">
        <f t="shared" si="3"/>
        <v>November</v>
      </c>
      <c r="F211">
        <v>4</v>
      </c>
      <c r="G211" t="s">
        <v>1532</v>
      </c>
      <c r="H211" t="s">
        <v>1512</v>
      </c>
      <c r="I211" t="s">
        <v>1521</v>
      </c>
      <c r="J211" t="s">
        <v>1524</v>
      </c>
      <c r="K211" t="s">
        <v>1525</v>
      </c>
      <c r="L211" s="2">
        <v>1</v>
      </c>
      <c r="M211" s="10">
        <v>13388</v>
      </c>
      <c r="N211" s="7">
        <v>13388</v>
      </c>
    </row>
    <row r="212" spans="1:14" x14ac:dyDescent="0.3">
      <c r="A212">
        <v>1079</v>
      </c>
      <c r="B212" s="1">
        <v>45520</v>
      </c>
      <c r="C212">
        <v>2024</v>
      </c>
      <c r="D212">
        <v>8</v>
      </c>
      <c r="E212" t="str">
        <f t="shared" si="3"/>
        <v>Agustus</v>
      </c>
      <c r="F212">
        <v>3</v>
      </c>
      <c r="G212" t="s">
        <v>1532</v>
      </c>
      <c r="H212" t="s">
        <v>1512</v>
      </c>
      <c r="I212" t="s">
        <v>1521</v>
      </c>
      <c r="J212" t="s">
        <v>1524</v>
      </c>
      <c r="K212" t="s">
        <v>1525</v>
      </c>
      <c r="L212" s="2">
        <v>1</v>
      </c>
      <c r="M212" s="10">
        <v>13388</v>
      </c>
      <c r="N212" s="7">
        <v>13388</v>
      </c>
    </row>
    <row r="213" spans="1:14" x14ac:dyDescent="0.3">
      <c r="A213">
        <v>1079</v>
      </c>
      <c r="B213" s="1">
        <v>45125</v>
      </c>
      <c r="C213">
        <v>2023</v>
      </c>
      <c r="D213">
        <v>7</v>
      </c>
      <c r="E213" t="str">
        <f t="shared" si="3"/>
        <v>Juli</v>
      </c>
      <c r="F213">
        <v>3</v>
      </c>
      <c r="G213" t="s">
        <v>1532</v>
      </c>
      <c r="H213" t="s">
        <v>1512</v>
      </c>
      <c r="I213" t="s">
        <v>1521</v>
      </c>
      <c r="J213" t="s">
        <v>1524</v>
      </c>
      <c r="K213" t="s">
        <v>1525</v>
      </c>
      <c r="L213" s="2">
        <v>1</v>
      </c>
      <c r="M213" s="10">
        <v>13388</v>
      </c>
      <c r="N213" s="7">
        <v>13388</v>
      </c>
    </row>
    <row r="214" spans="1:14" x14ac:dyDescent="0.3">
      <c r="A214">
        <v>1079</v>
      </c>
      <c r="B214" s="1">
        <v>45104</v>
      </c>
      <c r="C214">
        <v>2023</v>
      </c>
      <c r="D214">
        <v>6</v>
      </c>
      <c r="E214" t="str">
        <f t="shared" si="3"/>
        <v>Juni</v>
      </c>
      <c r="F214">
        <v>2</v>
      </c>
      <c r="G214" t="s">
        <v>1532</v>
      </c>
      <c r="H214" t="s">
        <v>1512</v>
      </c>
      <c r="I214" t="s">
        <v>1521</v>
      </c>
      <c r="J214" t="s">
        <v>1524</v>
      </c>
      <c r="K214" t="s">
        <v>1525</v>
      </c>
      <c r="L214" s="2">
        <v>1</v>
      </c>
      <c r="M214" s="10">
        <v>13388</v>
      </c>
      <c r="N214" s="7">
        <v>13388</v>
      </c>
    </row>
    <row r="215" spans="1:14" x14ac:dyDescent="0.3">
      <c r="A215">
        <v>1079</v>
      </c>
      <c r="B215" s="1">
        <v>44936</v>
      </c>
      <c r="C215">
        <v>2023</v>
      </c>
      <c r="D215">
        <v>1</v>
      </c>
      <c r="E215" t="str">
        <f t="shared" si="3"/>
        <v>Januari</v>
      </c>
      <c r="F215">
        <v>1</v>
      </c>
      <c r="G215" t="s">
        <v>1532</v>
      </c>
      <c r="H215" t="s">
        <v>1512</v>
      </c>
      <c r="I215" t="s">
        <v>1521</v>
      </c>
      <c r="J215" t="s">
        <v>1524</v>
      </c>
      <c r="K215" t="s">
        <v>1525</v>
      </c>
      <c r="L215" s="2">
        <v>1</v>
      </c>
      <c r="M215" s="10">
        <v>13388</v>
      </c>
      <c r="N215" s="7">
        <v>13388</v>
      </c>
    </row>
    <row r="216" spans="1:14" x14ac:dyDescent="0.3">
      <c r="A216">
        <v>1079</v>
      </c>
      <c r="B216" s="1">
        <v>45033</v>
      </c>
      <c r="C216">
        <v>2023</v>
      </c>
      <c r="D216">
        <v>4</v>
      </c>
      <c r="E216" t="str">
        <f t="shared" si="3"/>
        <v>April</v>
      </c>
      <c r="F216">
        <v>2</v>
      </c>
      <c r="G216" t="s">
        <v>1532</v>
      </c>
      <c r="H216" t="s">
        <v>1512</v>
      </c>
      <c r="I216" t="s">
        <v>1521</v>
      </c>
      <c r="J216" t="s">
        <v>1524</v>
      </c>
      <c r="K216" t="s">
        <v>1525</v>
      </c>
      <c r="L216" s="2">
        <v>1</v>
      </c>
      <c r="M216" s="10">
        <v>13388</v>
      </c>
      <c r="N216" s="7">
        <v>13388</v>
      </c>
    </row>
    <row r="217" spans="1:14" x14ac:dyDescent="0.3">
      <c r="A217">
        <v>1080</v>
      </c>
      <c r="B217" s="1">
        <v>44720</v>
      </c>
      <c r="C217">
        <v>2022</v>
      </c>
      <c r="D217">
        <v>6</v>
      </c>
      <c r="E217" t="str">
        <f t="shared" si="3"/>
        <v>Juni</v>
      </c>
      <c r="F217">
        <v>2</v>
      </c>
      <c r="G217" t="s">
        <v>1533</v>
      </c>
      <c r="H217" t="s">
        <v>1520</v>
      </c>
      <c r="I217" t="s">
        <v>1528</v>
      </c>
      <c r="J217" t="s">
        <v>1517</v>
      </c>
      <c r="K217" t="s">
        <v>1518</v>
      </c>
      <c r="L217" s="2">
        <v>2</v>
      </c>
      <c r="M217" s="10">
        <v>372</v>
      </c>
      <c r="N217" s="7">
        <v>744</v>
      </c>
    </row>
    <row r="218" spans="1:14" x14ac:dyDescent="0.3">
      <c r="A218">
        <v>1080</v>
      </c>
      <c r="B218" s="1">
        <v>44889</v>
      </c>
      <c r="C218">
        <v>2022</v>
      </c>
      <c r="D218">
        <v>11</v>
      </c>
      <c r="E218" t="str">
        <f t="shared" si="3"/>
        <v>November</v>
      </c>
      <c r="F218">
        <v>4</v>
      </c>
      <c r="G218" t="s">
        <v>1533</v>
      </c>
      <c r="H218" t="s">
        <v>1520</v>
      </c>
      <c r="I218" t="s">
        <v>1528</v>
      </c>
      <c r="J218" t="s">
        <v>1517</v>
      </c>
      <c r="K218" t="s">
        <v>1518</v>
      </c>
      <c r="L218" s="2">
        <v>2</v>
      </c>
      <c r="M218" s="10">
        <v>372</v>
      </c>
      <c r="N218" s="7">
        <v>744</v>
      </c>
    </row>
    <row r="219" spans="1:14" x14ac:dyDescent="0.3">
      <c r="A219">
        <v>1080</v>
      </c>
      <c r="B219" s="1">
        <v>45621</v>
      </c>
      <c r="C219">
        <v>2024</v>
      </c>
      <c r="D219">
        <v>11</v>
      </c>
      <c r="E219" t="str">
        <f t="shared" si="3"/>
        <v>November</v>
      </c>
      <c r="F219">
        <v>4</v>
      </c>
      <c r="G219" t="s">
        <v>1533</v>
      </c>
      <c r="H219" t="s">
        <v>1520</v>
      </c>
      <c r="I219" t="s">
        <v>1528</v>
      </c>
      <c r="J219" t="s">
        <v>1517</v>
      </c>
      <c r="K219" t="s">
        <v>1518</v>
      </c>
      <c r="L219" s="2">
        <v>2</v>
      </c>
      <c r="M219" s="10">
        <v>372</v>
      </c>
      <c r="N219" s="7">
        <v>744</v>
      </c>
    </row>
    <row r="220" spans="1:14" x14ac:dyDescent="0.3">
      <c r="A220">
        <v>1081</v>
      </c>
      <c r="B220" s="1">
        <v>45397</v>
      </c>
      <c r="C220">
        <v>2024</v>
      </c>
      <c r="D220">
        <v>4</v>
      </c>
      <c r="E220" t="str">
        <f t="shared" si="3"/>
        <v>April</v>
      </c>
      <c r="F220">
        <v>2</v>
      </c>
      <c r="G220" t="s">
        <v>1511</v>
      </c>
      <c r="H220" t="s">
        <v>1512</v>
      </c>
      <c r="I220" t="s">
        <v>1516</v>
      </c>
      <c r="J220" t="s">
        <v>1566</v>
      </c>
      <c r="K220" t="s">
        <v>1525</v>
      </c>
      <c r="L220" s="2">
        <v>1</v>
      </c>
      <c r="M220" s="10">
        <v>44531</v>
      </c>
      <c r="N220" s="7">
        <v>44531</v>
      </c>
    </row>
    <row r="221" spans="1:14" x14ac:dyDescent="0.3">
      <c r="A221">
        <v>1081</v>
      </c>
      <c r="B221" s="1">
        <v>45498</v>
      </c>
      <c r="C221">
        <v>2024</v>
      </c>
      <c r="D221">
        <v>7</v>
      </c>
      <c r="E221" t="str">
        <f t="shared" si="3"/>
        <v>Juli</v>
      </c>
      <c r="F221">
        <v>3</v>
      </c>
      <c r="G221" t="s">
        <v>1511</v>
      </c>
      <c r="H221" t="s">
        <v>1512</v>
      </c>
      <c r="I221" t="s">
        <v>1516</v>
      </c>
      <c r="J221" t="s">
        <v>1566</v>
      </c>
      <c r="K221" t="s">
        <v>1525</v>
      </c>
      <c r="L221" s="2">
        <v>1</v>
      </c>
      <c r="M221" s="10">
        <v>44531</v>
      </c>
      <c r="N221" s="7">
        <v>44531</v>
      </c>
    </row>
    <row r="222" spans="1:14" x14ac:dyDescent="0.3">
      <c r="A222">
        <v>1082</v>
      </c>
      <c r="B222" s="1">
        <v>44662</v>
      </c>
      <c r="C222">
        <v>2022</v>
      </c>
      <c r="D222">
        <v>4</v>
      </c>
      <c r="E222" t="str">
        <f t="shared" si="3"/>
        <v>April</v>
      </c>
      <c r="F222">
        <v>2</v>
      </c>
      <c r="G222" t="s">
        <v>1515</v>
      </c>
      <c r="H222" t="s">
        <v>1512</v>
      </c>
      <c r="I222" t="s">
        <v>1528</v>
      </c>
      <c r="J222" t="s">
        <v>1566</v>
      </c>
      <c r="K222" t="s">
        <v>1514</v>
      </c>
      <c r="L222" s="2">
        <v>2</v>
      </c>
      <c r="M222" s="10">
        <v>1963</v>
      </c>
      <c r="N222" s="7">
        <v>3926</v>
      </c>
    </row>
    <row r="223" spans="1:14" x14ac:dyDescent="0.3">
      <c r="A223">
        <v>1082</v>
      </c>
      <c r="B223" s="1">
        <v>45252</v>
      </c>
      <c r="C223">
        <v>2023</v>
      </c>
      <c r="D223">
        <v>11</v>
      </c>
      <c r="E223" t="str">
        <f t="shared" si="3"/>
        <v>November</v>
      </c>
      <c r="F223">
        <v>4</v>
      </c>
      <c r="G223" t="s">
        <v>1515</v>
      </c>
      <c r="H223" t="s">
        <v>1512</v>
      </c>
      <c r="I223" t="s">
        <v>1528</v>
      </c>
      <c r="J223" t="s">
        <v>1566</v>
      </c>
      <c r="K223" t="s">
        <v>1514</v>
      </c>
      <c r="L223" s="2">
        <v>2</v>
      </c>
      <c r="M223" s="10">
        <v>1963</v>
      </c>
      <c r="N223" s="7">
        <v>3926</v>
      </c>
    </row>
    <row r="224" spans="1:14" x14ac:dyDescent="0.3">
      <c r="A224">
        <v>1082</v>
      </c>
      <c r="B224" s="1">
        <v>44829</v>
      </c>
      <c r="C224">
        <v>2022</v>
      </c>
      <c r="D224">
        <v>9</v>
      </c>
      <c r="E224" t="str">
        <f t="shared" si="3"/>
        <v>September</v>
      </c>
      <c r="F224">
        <v>3</v>
      </c>
      <c r="G224" t="s">
        <v>1515</v>
      </c>
      <c r="H224" t="s">
        <v>1512</v>
      </c>
      <c r="I224" t="s">
        <v>1528</v>
      </c>
      <c r="J224" t="s">
        <v>1566</v>
      </c>
      <c r="K224" t="s">
        <v>1514</v>
      </c>
      <c r="L224" s="2">
        <v>2</v>
      </c>
      <c r="M224" s="10">
        <v>1963</v>
      </c>
      <c r="N224" s="7">
        <v>3926</v>
      </c>
    </row>
    <row r="225" spans="1:14" x14ac:dyDescent="0.3">
      <c r="A225">
        <v>1082</v>
      </c>
      <c r="B225" s="1">
        <v>44741</v>
      </c>
      <c r="C225">
        <v>2022</v>
      </c>
      <c r="D225">
        <v>6</v>
      </c>
      <c r="E225" t="str">
        <f t="shared" si="3"/>
        <v>Juni</v>
      </c>
      <c r="F225">
        <v>2</v>
      </c>
      <c r="G225" t="s">
        <v>1515</v>
      </c>
      <c r="H225" t="s">
        <v>1512</v>
      </c>
      <c r="I225" t="s">
        <v>1528</v>
      </c>
      <c r="J225" t="s">
        <v>1566</v>
      </c>
      <c r="K225" t="s">
        <v>1514</v>
      </c>
      <c r="L225" s="2">
        <v>2</v>
      </c>
      <c r="M225" s="10">
        <v>1963</v>
      </c>
      <c r="N225" s="7">
        <v>3926</v>
      </c>
    </row>
    <row r="226" spans="1:14" x14ac:dyDescent="0.3">
      <c r="A226">
        <v>1082</v>
      </c>
      <c r="B226" s="1">
        <v>44692</v>
      </c>
      <c r="C226">
        <v>2022</v>
      </c>
      <c r="D226">
        <v>5</v>
      </c>
      <c r="E226" t="str">
        <f t="shared" si="3"/>
        <v>Mei</v>
      </c>
      <c r="F226">
        <v>2</v>
      </c>
      <c r="G226" t="s">
        <v>1515</v>
      </c>
      <c r="H226" t="s">
        <v>1512</v>
      </c>
      <c r="I226" t="s">
        <v>1528</v>
      </c>
      <c r="J226" t="s">
        <v>1566</v>
      </c>
      <c r="K226" t="s">
        <v>1514</v>
      </c>
      <c r="L226" s="2">
        <v>2</v>
      </c>
      <c r="M226" s="10">
        <v>1963</v>
      </c>
      <c r="N226" s="7">
        <v>3926</v>
      </c>
    </row>
    <row r="227" spans="1:14" x14ac:dyDescent="0.3">
      <c r="A227">
        <v>1083</v>
      </c>
      <c r="B227" s="1">
        <v>44598</v>
      </c>
      <c r="C227">
        <v>2022</v>
      </c>
      <c r="D227">
        <v>2</v>
      </c>
      <c r="E227" t="str">
        <f t="shared" si="3"/>
        <v>Februari</v>
      </c>
      <c r="F227">
        <v>1</v>
      </c>
      <c r="G227" t="s">
        <v>1534</v>
      </c>
      <c r="H227" t="s">
        <v>1530</v>
      </c>
      <c r="I227" t="s">
        <v>1521</v>
      </c>
      <c r="J227" t="s">
        <v>1517</v>
      </c>
      <c r="K227" t="s">
        <v>1514</v>
      </c>
      <c r="L227" s="2">
        <v>1</v>
      </c>
      <c r="M227" s="10">
        <v>2483</v>
      </c>
      <c r="N227" s="7">
        <v>2483</v>
      </c>
    </row>
    <row r="228" spans="1:14" x14ac:dyDescent="0.3">
      <c r="A228">
        <v>1083</v>
      </c>
      <c r="B228" s="1">
        <v>45512</v>
      </c>
      <c r="C228">
        <v>2024</v>
      </c>
      <c r="D228">
        <v>8</v>
      </c>
      <c r="E228" t="str">
        <f t="shared" si="3"/>
        <v>Agustus</v>
      </c>
      <c r="F228">
        <v>3</v>
      </c>
      <c r="G228" t="s">
        <v>1534</v>
      </c>
      <c r="H228" t="s">
        <v>1530</v>
      </c>
      <c r="I228" t="s">
        <v>1521</v>
      </c>
      <c r="J228" t="s">
        <v>1517</v>
      </c>
      <c r="K228" t="s">
        <v>1514</v>
      </c>
      <c r="L228" s="2">
        <v>1</v>
      </c>
      <c r="M228" s="10">
        <v>2483</v>
      </c>
      <c r="N228" s="7">
        <v>2483</v>
      </c>
    </row>
    <row r="229" spans="1:14" x14ac:dyDescent="0.3">
      <c r="A229">
        <v>1083</v>
      </c>
      <c r="B229" s="1">
        <v>45443</v>
      </c>
      <c r="C229">
        <v>2024</v>
      </c>
      <c r="D229">
        <v>5</v>
      </c>
      <c r="E229" t="str">
        <f t="shared" si="3"/>
        <v>Mei</v>
      </c>
      <c r="F229">
        <v>2</v>
      </c>
      <c r="G229" t="s">
        <v>1534</v>
      </c>
      <c r="H229" t="s">
        <v>1530</v>
      </c>
      <c r="I229" t="s">
        <v>1521</v>
      </c>
      <c r="J229" t="s">
        <v>1517</v>
      </c>
      <c r="K229" t="s">
        <v>1514</v>
      </c>
      <c r="L229" s="2">
        <v>1</v>
      </c>
      <c r="M229" s="10">
        <v>2483</v>
      </c>
      <c r="N229" s="7">
        <v>2483</v>
      </c>
    </row>
    <row r="230" spans="1:14" x14ac:dyDescent="0.3">
      <c r="A230">
        <v>1083</v>
      </c>
      <c r="B230" s="1">
        <v>44829</v>
      </c>
      <c r="C230">
        <v>2022</v>
      </c>
      <c r="D230">
        <v>9</v>
      </c>
      <c r="E230" t="str">
        <f t="shared" si="3"/>
        <v>September</v>
      </c>
      <c r="F230">
        <v>3</v>
      </c>
      <c r="G230" t="s">
        <v>1534</v>
      </c>
      <c r="H230" t="s">
        <v>1530</v>
      </c>
      <c r="I230" t="s">
        <v>1521</v>
      </c>
      <c r="J230" t="s">
        <v>1517</v>
      </c>
      <c r="K230" t="s">
        <v>1514</v>
      </c>
      <c r="L230" s="2">
        <v>1</v>
      </c>
      <c r="M230" s="10">
        <v>2483</v>
      </c>
      <c r="N230" s="7">
        <v>2483</v>
      </c>
    </row>
    <row r="231" spans="1:14" x14ac:dyDescent="0.3">
      <c r="A231">
        <v>1083</v>
      </c>
      <c r="B231" s="1">
        <v>45111</v>
      </c>
      <c r="C231">
        <v>2023</v>
      </c>
      <c r="D231">
        <v>7</v>
      </c>
      <c r="E231" t="str">
        <f t="shared" si="3"/>
        <v>Juli</v>
      </c>
      <c r="F231">
        <v>3</v>
      </c>
      <c r="G231" t="s">
        <v>1534</v>
      </c>
      <c r="H231" t="s">
        <v>1530</v>
      </c>
      <c r="I231" t="s">
        <v>1521</v>
      </c>
      <c r="J231" t="s">
        <v>1517</v>
      </c>
      <c r="K231" t="s">
        <v>1514</v>
      </c>
      <c r="L231" s="2">
        <v>1</v>
      </c>
      <c r="M231" s="10">
        <v>2483</v>
      </c>
      <c r="N231" s="7">
        <v>2483</v>
      </c>
    </row>
    <row r="232" spans="1:14" x14ac:dyDescent="0.3">
      <c r="A232">
        <v>1084</v>
      </c>
      <c r="B232" s="1">
        <v>44857</v>
      </c>
      <c r="C232">
        <v>2022</v>
      </c>
      <c r="D232">
        <v>10</v>
      </c>
      <c r="E232" t="str">
        <f t="shared" si="3"/>
        <v>Oktober</v>
      </c>
      <c r="F232">
        <v>4</v>
      </c>
      <c r="G232" t="s">
        <v>1519</v>
      </c>
      <c r="H232" t="s">
        <v>1520</v>
      </c>
      <c r="I232" t="s">
        <v>1535</v>
      </c>
      <c r="J232" t="s">
        <v>1517</v>
      </c>
      <c r="K232" t="s">
        <v>1525</v>
      </c>
      <c r="L232" s="2">
        <v>5</v>
      </c>
      <c r="M232" s="10">
        <v>18677</v>
      </c>
      <c r="N232" s="7">
        <v>93385</v>
      </c>
    </row>
    <row r="233" spans="1:14" x14ac:dyDescent="0.3">
      <c r="A233">
        <v>1084</v>
      </c>
      <c r="B233" s="1">
        <v>45169</v>
      </c>
      <c r="C233">
        <v>2023</v>
      </c>
      <c r="D233">
        <v>8</v>
      </c>
      <c r="E233" t="str">
        <f t="shared" si="3"/>
        <v>Agustus</v>
      </c>
      <c r="F233">
        <v>3</v>
      </c>
      <c r="G233" t="s">
        <v>1519</v>
      </c>
      <c r="H233" t="s">
        <v>1520</v>
      </c>
      <c r="I233" t="s">
        <v>1535</v>
      </c>
      <c r="J233" t="s">
        <v>1517</v>
      </c>
      <c r="K233" t="s">
        <v>1525</v>
      </c>
      <c r="L233" s="2">
        <v>5</v>
      </c>
      <c r="M233" s="10">
        <v>18677</v>
      </c>
      <c r="N233" s="7">
        <v>93385</v>
      </c>
    </row>
    <row r="234" spans="1:14" x14ac:dyDescent="0.3">
      <c r="A234">
        <v>1085</v>
      </c>
      <c r="B234" s="1">
        <v>45105</v>
      </c>
      <c r="C234">
        <v>2023</v>
      </c>
      <c r="D234">
        <v>6</v>
      </c>
      <c r="E234" t="str">
        <f t="shared" si="3"/>
        <v>Juni</v>
      </c>
      <c r="F234">
        <v>2</v>
      </c>
      <c r="G234" t="s">
        <v>1522</v>
      </c>
      <c r="H234" t="s">
        <v>1520</v>
      </c>
      <c r="I234" t="s">
        <v>1521</v>
      </c>
      <c r="J234" t="s">
        <v>1517</v>
      </c>
      <c r="K234" t="s">
        <v>1514</v>
      </c>
      <c r="L234" s="2">
        <v>1</v>
      </c>
      <c r="M234" s="10">
        <v>583</v>
      </c>
      <c r="N234" s="7">
        <v>583</v>
      </c>
    </row>
    <row r="235" spans="1:14" x14ac:dyDescent="0.3">
      <c r="A235">
        <v>1085</v>
      </c>
      <c r="B235" s="1">
        <v>44709</v>
      </c>
      <c r="C235">
        <v>2022</v>
      </c>
      <c r="D235">
        <v>5</v>
      </c>
      <c r="E235" t="str">
        <f t="shared" si="3"/>
        <v>Mei</v>
      </c>
      <c r="F235">
        <v>2</v>
      </c>
      <c r="G235" t="s">
        <v>1522</v>
      </c>
      <c r="H235" t="s">
        <v>1520</v>
      </c>
      <c r="I235" t="s">
        <v>1521</v>
      </c>
      <c r="J235" t="s">
        <v>1517</v>
      </c>
      <c r="K235" t="s">
        <v>1514</v>
      </c>
      <c r="L235" s="2">
        <v>1</v>
      </c>
      <c r="M235" s="10">
        <v>583</v>
      </c>
      <c r="N235" s="7">
        <v>583</v>
      </c>
    </row>
    <row r="236" spans="1:14" x14ac:dyDescent="0.3">
      <c r="A236">
        <v>1085</v>
      </c>
      <c r="B236" s="1">
        <v>44825</v>
      </c>
      <c r="C236">
        <v>2022</v>
      </c>
      <c r="D236">
        <v>9</v>
      </c>
      <c r="E236" t="str">
        <f t="shared" si="3"/>
        <v>September</v>
      </c>
      <c r="F236">
        <v>3</v>
      </c>
      <c r="G236" t="s">
        <v>1522</v>
      </c>
      <c r="H236" t="s">
        <v>1520</v>
      </c>
      <c r="I236" t="s">
        <v>1521</v>
      </c>
      <c r="J236" t="s">
        <v>1517</v>
      </c>
      <c r="K236" t="s">
        <v>1514</v>
      </c>
      <c r="L236" s="2">
        <v>1</v>
      </c>
      <c r="M236" s="10">
        <v>583</v>
      </c>
      <c r="N236" s="7">
        <v>583</v>
      </c>
    </row>
    <row r="237" spans="1:14" x14ac:dyDescent="0.3">
      <c r="A237">
        <v>1086</v>
      </c>
      <c r="B237" s="1">
        <v>44648</v>
      </c>
      <c r="C237">
        <v>2022</v>
      </c>
      <c r="D237">
        <v>3</v>
      </c>
      <c r="E237" t="str">
        <f t="shared" si="3"/>
        <v>Maret</v>
      </c>
      <c r="F237">
        <v>1</v>
      </c>
      <c r="G237" t="s">
        <v>1523</v>
      </c>
      <c r="H237" t="s">
        <v>1512</v>
      </c>
      <c r="I237" t="s">
        <v>1521</v>
      </c>
      <c r="J237" t="s">
        <v>1524</v>
      </c>
      <c r="K237" t="s">
        <v>1514</v>
      </c>
      <c r="L237" s="2">
        <v>1</v>
      </c>
      <c r="M237" s="10">
        <v>34775</v>
      </c>
      <c r="N237" s="7">
        <v>34775</v>
      </c>
    </row>
    <row r="238" spans="1:14" x14ac:dyDescent="0.3">
      <c r="A238">
        <v>1087</v>
      </c>
      <c r="B238" s="1">
        <v>44629</v>
      </c>
      <c r="C238">
        <v>2022</v>
      </c>
      <c r="D238">
        <v>3</v>
      </c>
      <c r="E238" t="str">
        <f t="shared" si="3"/>
        <v>Maret</v>
      </c>
      <c r="F238">
        <v>1</v>
      </c>
      <c r="G238" t="s">
        <v>1526</v>
      </c>
      <c r="H238" t="s">
        <v>1527</v>
      </c>
      <c r="I238" t="s">
        <v>1521</v>
      </c>
      <c r="J238" t="s">
        <v>1517</v>
      </c>
      <c r="K238" t="s">
        <v>1514</v>
      </c>
      <c r="L238" s="2">
        <v>3</v>
      </c>
      <c r="M238" s="10">
        <v>635</v>
      </c>
      <c r="N238" s="7">
        <v>1905</v>
      </c>
    </row>
    <row r="239" spans="1:14" x14ac:dyDescent="0.3">
      <c r="A239">
        <v>1088</v>
      </c>
      <c r="B239" s="1">
        <v>45545</v>
      </c>
      <c r="C239">
        <v>2024</v>
      </c>
      <c r="D239">
        <v>9</v>
      </c>
      <c r="E239" t="str">
        <f t="shared" si="3"/>
        <v>September</v>
      </c>
      <c r="F239">
        <v>3</v>
      </c>
      <c r="G239" t="s">
        <v>1529</v>
      </c>
      <c r="H239" t="s">
        <v>1530</v>
      </c>
      <c r="I239" t="s">
        <v>1521</v>
      </c>
      <c r="J239" t="s">
        <v>1524</v>
      </c>
      <c r="K239" t="s">
        <v>1525</v>
      </c>
      <c r="L239" s="2">
        <v>5</v>
      </c>
      <c r="M239" s="10">
        <v>527</v>
      </c>
      <c r="N239" s="7">
        <v>2635</v>
      </c>
    </row>
    <row r="240" spans="1:14" x14ac:dyDescent="0.3">
      <c r="A240">
        <v>1088</v>
      </c>
      <c r="B240" s="1">
        <v>44960</v>
      </c>
      <c r="C240">
        <v>2023</v>
      </c>
      <c r="D240">
        <v>2</v>
      </c>
      <c r="E240" t="str">
        <f t="shared" si="3"/>
        <v>Februari</v>
      </c>
      <c r="F240">
        <v>1</v>
      </c>
      <c r="G240" t="s">
        <v>1529</v>
      </c>
      <c r="H240" t="s">
        <v>1530</v>
      </c>
      <c r="I240" t="s">
        <v>1521</v>
      </c>
      <c r="J240" t="s">
        <v>1524</v>
      </c>
      <c r="K240" t="s">
        <v>1525</v>
      </c>
      <c r="L240" s="2">
        <v>5</v>
      </c>
      <c r="M240" s="10">
        <v>527</v>
      </c>
      <c r="N240" s="7">
        <v>2635</v>
      </c>
    </row>
    <row r="241" spans="1:14" x14ac:dyDescent="0.3">
      <c r="A241">
        <v>1089</v>
      </c>
      <c r="B241" s="1">
        <v>44888</v>
      </c>
      <c r="C241">
        <v>2022</v>
      </c>
      <c r="D241">
        <v>11</v>
      </c>
      <c r="E241" t="str">
        <f t="shared" si="3"/>
        <v>November</v>
      </c>
      <c r="F241">
        <v>4</v>
      </c>
      <c r="G241" t="s">
        <v>1532</v>
      </c>
      <c r="H241" t="s">
        <v>1512</v>
      </c>
      <c r="I241" t="s">
        <v>1535</v>
      </c>
      <c r="J241" t="s">
        <v>1524</v>
      </c>
      <c r="K241" t="s">
        <v>1525</v>
      </c>
      <c r="L241" s="2">
        <v>2</v>
      </c>
      <c r="M241" s="10">
        <v>3327</v>
      </c>
      <c r="N241" s="7">
        <v>6654</v>
      </c>
    </row>
    <row r="242" spans="1:14" x14ac:dyDescent="0.3">
      <c r="A242">
        <v>1089</v>
      </c>
      <c r="B242" s="1">
        <v>45271</v>
      </c>
      <c r="C242">
        <v>2023</v>
      </c>
      <c r="D242">
        <v>12</v>
      </c>
      <c r="E242" t="str">
        <f t="shared" si="3"/>
        <v>Desember</v>
      </c>
      <c r="F242">
        <v>4</v>
      </c>
      <c r="G242" t="s">
        <v>1532</v>
      </c>
      <c r="H242" t="s">
        <v>1512</v>
      </c>
      <c r="I242" t="s">
        <v>1535</v>
      </c>
      <c r="J242" t="s">
        <v>1524</v>
      </c>
      <c r="K242" t="s">
        <v>1525</v>
      </c>
      <c r="L242" s="2">
        <v>2</v>
      </c>
      <c r="M242" s="10">
        <v>3327</v>
      </c>
      <c r="N242" s="7">
        <v>6654</v>
      </c>
    </row>
    <row r="243" spans="1:14" x14ac:dyDescent="0.3">
      <c r="A243">
        <v>1090</v>
      </c>
      <c r="B243" s="1">
        <v>44817</v>
      </c>
      <c r="C243">
        <v>2022</v>
      </c>
      <c r="D243">
        <v>9</v>
      </c>
      <c r="E243" t="str">
        <f t="shared" si="3"/>
        <v>September</v>
      </c>
      <c r="F243">
        <v>3</v>
      </c>
      <c r="G243" t="s">
        <v>1533</v>
      </c>
      <c r="H243" t="s">
        <v>1520</v>
      </c>
      <c r="I243" t="s">
        <v>1528</v>
      </c>
      <c r="J243" t="s">
        <v>1517</v>
      </c>
      <c r="K243" t="s">
        <v>1518</v>
      </c>
      <c r="L243" s="2">
        <v>1</v>
      </c>
      <c r="M243" s="10">
        <v>383</v>
      </c>
      <c r="N243" s="7">
        <v>383</v>
      </c>
    </row>
    <row r="244" spans="1:14" x14ac:dyDescent="0.3">
      <c r="A244">
        <v>1090</v>
      </c>
      <c r="B244" s="1">
        <v>45173</v>
      </c>
      <c r="C244">
        <v>2023</v>
      </c>
      <c r="D244">
        <v>9</v>
      </c>
      <c r="E244" t="str">
        <f t="shared" si="3"/>
        <v>September</v>
      </c>
      <c r="F244">
        <v>3</v>
      </c>
      <c r="G244" t="s">
        <v>1533</v>
      </c>
      <c r="H244" t="s">
        <v>1520</v>
      </c>
      <c r="I244" t="s">
        <v>1528</v>
      </c>
      <c r="J244" t="s">
        <v>1517</v>
      </c>
      <c r="K244" t="s">
        <v>1518</v>
      </c>
      <c r="L244" s="2">
        <v>1</v>
      </c>
      <c r="M244" s="10">
        <v>383</v>
      </c>
      <c r="N244" s="7">
        <v>383</v>
      </c>
    </row>
    <row r="245" spans="1:14" x14ac:dyDescent="0.3">
      <c r="A245">
        <v>1090</v>
      </c>
      <c r="B245" s="1">
        <v>45419</v>
      </c>
      <c r="C245">
        <v>2024</v>
      </c>
      <c r="D245">
        <v>5</v>
      </c>
      <c r="E245" t="str">
        <f t="shared" si="3"/>
        <v>Mei</v>
      </c>
      <c r="F245">
        <v>2</v>
      </c>
      <c r="G245" t="s">
        <v>1533</v>
      </c>
      <c r="H245" t="s">
        <v>1520</v>
      </c>
      <c r="I245" t="s">
        <v>1528</v>
      </c>
      <c r="J245" t="s">
        <v>1517</v>
      </c>
      <c r="K245" t="s">
        <v>1518</v>
      </c>
      <c r="L245" s="2">
        <v>1</v>
      </c>
      <c r="M245" s="10">
        <v>383</v>
      </c>
      <c r="N245" s="7">
        <v>383</v>
      </c>
    </row>
    <row r="246" spans="1:14" x14ac:dyDescent="0.3">
      <c r="A246">
        <v>1090</v>
      </c>
      <c r="B246" s="1">
        <v>44996</v>
      </c>
      <c r="C246">
        <v>2023</v>
      </c>
      <c r="D246">
        <v>3</v>
      </c>
      <c r="E246" t="str">
        <f t="shared" si="3"/>
        <v>Maret</v>
      </c>
      <c r="F246">
        <v>1</v>
      </c>
      <c r="G246" t="s">
        <v>1533</v>
      </c>
      <c r="H246" t="s">
        <v>1520</v>
      </c>
      <c r="I246" t="s">
        <v>1528</v>
      </c>
      <c r="J246" t="s">
        <v>1517</v>
      </c>
      <c r="K246" t="s">
        <v>1518</v>
      </c>
      <c r="L246" s="2">
        <v>1</v>
      </c>
      <c r="M246" s="10">
        <v>383</v>
      </c>
      <c r="N246" s="7">
        <v>383</v>
      </c>
    </row>
    <row r="247" spans="1:14" x14ac:dyDescent="0.3">
      <c r="A247">
        <v>1091</v>
      </c>
      <c r="B247" s="1">
        <v>45424</v>
      </c>
      <c r="C247">
        <v>2024</v>
      </c>
      <c r="D247">
        <v>5</v>
      </c>
      <c r="E247" t="str">
        <f t="shared" si="3"/>
        <v>Mei</v>
      </c>
      <c r="F247">
        <v>2</v>
      </c>
      <c r="G247" t="s">
        <v>1511</v>
      </c>
      <c r="H247" t="s">
        <v>1512</v>
      </c>
      <c r="I247" t="s">
        <v>1513</v>
      </c>
      <c r="J247" t="s">
        <v>1566</v>
      </c>
      <c r="K247" t="s">
        <v>1518</v>
      </c>
      <c r="L247" s="2">
        <v>1</v>
      </c>
      <c r="M247" s="10">
        <v>61156</v>
      </c>
      <c r="N247" s="7">
        <v>61156</v>
      </c>
    </row>
    <row r="248" spans="1:14" x14ac:dyDescent="0.3">
      <c r="A248">
        <v>1091</v>
      </c>
      <c r="B248" s="1">
        <v>44723</v>
      </c>
      <c r="C248">
        <v>2022</v>
      </c>
      <c r="D248">
        <v>6</v>
      </c>
      <c r="E248" t="str">
        <f t="shared" si="3"/>
        <v>Juni</v>
      </c>
      <c r="F248">
        <v>2</v>
      </c>
      <c r="G248" t="s">
        <v>1511</v>
      </c>
      <c r="H248" t="s">
        <v>1512</v>
      </c>
      <c r="I248" t="s">
        <v>1513</v>
      </c>
      <c r="J248" t="s">
        <v>1566</v>
      </c>
      <c r="K248" t="s">
        <v>1518</v>
      </c>
      <c r="L248" s="2">
        <v>1</v>
      </c>
      <c r="M248" s="10">
        <v>61156</v>
      </c>
      <c r="N248" s="7">
        <v>61156</v>
      </c>
    </row>
    <row r="249" spans="1:14" x14ac:dyDescent="0.3">
      <c r="A249">
        <v>1091</v>
      </c>
      <c r="B249" s="1">
        <v>45359</v>
      </c>
      <c r="C249">
        <v>2024</v>
      </c>
      <c r="D249">
        <v>3</v>
      </c>
      <c r="E249" t="str">
        <f t="shared" si="3"/>
        <v>Maret</v>
      </c>
      <c r="F249">
        <v>1</v>
      </c>
      <c r="G249" t="s">
        <v>1511</v>
      </c>
      <c r="H249" t="s">
        <v>1512</v>
      </c>
      <c r="I249" t="s">
        <v>1513</v>
      </c>
      <c r="J249" t="s">
        <v>1566</v>
      </c>
      <c r="K249" t="s">
        <v>1518</v>
      </c>
      <c r="L249" s="2">
        <v>1</v>
      </c>
      <c r="M249" s="10">
        <v>61156</v>
      </c>
      <c r="N249" s="7">
        <v>61156</v>
      </c>
    </row>
    <row r="250" spans="1:14" x14ac:dyDescent="0.3">
      <c r="A250">
        <v>1091</v>
      </c>
      <c r="B250" s="1">
        <v>44957</v>
      </c>
      <c r="C250">
        <v>2023</v>
      </c>
      <c r="D250">
        <v>1</v>
      </c>
      <c r="E250" t="str">
        <f t="shared" si="3"/>
        <v>Januari</v>
      </c>
      <c r="F250">
        <v>1</v>
      </c>
      <c r="G250" t="s">
        <v>1511</v>
      </c>
      <c r="H250" t="s">
        <v>1512</v>
      </c>
      <c r="I250" t="s">
        <v>1513</v>
      </c>
      <c r="J250" t="s">
        <v>1566</v>
      </c>
      <c r="K250" t="s">
        <v>1518</v>
      </c>
      <c r="L250" s="2">
        <v>1</v>
      </c>
      <c r="M250" s="10">
        <v>61156</v>
      </c>
      <c r="N250" s="7">
        <v>61156</v>
      </c>
    </row>
    <row r="251" spans="1:14" x14ac:dyDescent="0.3">
      <c r="A251">
        <v>1091</v>
      </c>
      <c r="B251" s="1">
        <v>44566</v>
      </c>
      <c r="C251">
        <v>2022</v>
      </c>
      <c r="D251">
        <v>1</v>
      </c>
      <c r="E251" t="str">
        <f t="shared" si="3"/>
        <v>Januari</v>
      </c>
      <c r="F251">
        <v>1</v>
      </c>
      <c r="G251" t="s">
        <v>1511</v>
      </c>
      <c r="H251" t="s">
        <v>1512</v>
      </c>
      <c r="I251" t="s">
        <v>1513</v>
      </c>
      <c r="J251" t="s">
        <v>1566</v>
      </c>
      <c r="K251" t="s">
        <v>1518</v>
      </c>
      <c r="L251" s="2">
        <v>1</v>
      </c>
      <c r="M251" s="10">
        <v>61156</v>
      </c>
      <c r="N251" s="7">
        <v>61156</v>
      </c>
    </row>
    <row r="252" spans="1:14" x14ac:dyDescent="0.3">
      <c r="A252">
        <v>1091</v>
      </c>
      <c r="B252" s="1">
        <v>45625</v>
      </c>
      <c r="C252">
        <v>2024</v>
      </c>
      <c r="D252">
        <v>11</v>
      </c>
      <c r="E252" t="str">
        <f t="shared" si="3"/>
        <v>November</v>
      </c>
      <c r="F252">
        <v>4</v>
      </c>
      <c r="G252" t="s">
        <v>1511</v>
      </c>
      <c r="H252" t="s">
        <v>1512</v>
      </c>
      <c r="I252" t="s">
        <v>1513</v>
      </c>
      <c r="J252" t="s">
        <v>1566</v>
      </c>
      <c r="K252" t="s">
        <v>1518</v>
      </c>
      <c r="L252" s="2">
        <v>1</v>
      </c>
      <c r="M252" s="10">
        <v>61156</v>
      </c>
      <c r="N252" s="7">
        <v>61156</v>
      </c>
    </row>
    <row r="253" spans="1:14" x14ac:dyDescent="0.3">
      <c r="A253">
        <v>1091</v>
      </c>
      <c r="B253" s="1">
        <v>45415</v>
      </c>
      <c r="C253">
        <v>2024</v>
      </c>
      <c r="D253">
        <v>5</v>
      </c>
      <c r="E253" t="str">
        <f t="shared" si="3"/>
        <v>Mei</v>
      </c>
      <c r="F253">
        <v>2</v>
      </c>
      <c r="G253" t="s">
        <v>1511</v>
      </c>
      <c r="H253" t="s">
        <v>1512</v>
      </c>
      <c r="I253" t="s">
        <v>1513</v>
      </c>
      <c r="J253" t="s">
        <v>1566</v>
      </c>
      <c r="K253" t="s">
        <v>1518</v>
      </c>
      <c r="L253" s="2">
        <v>1</v>
      </c>
      <c r="M253" s="10">
        <v>61156</v>
      </c>
      <c r="N253" s="7">
        <v>61156</v>
      </c>
    </row>
    <row r="254" spans="1:14" x14ac:dyDescent="0.3">
      <c r="A254">
        <v>1092</v>
      </c>
      <c r="B254" s="1">
        <v>44716</v>
      </c>
      <c r="C254">
        <v>2022</v>
      </c>
      <c r="D254">
        <v>6</v>
      </c>
      <c r="E254" t="str">
        <f t="shared" si="3"/>
        <v>Juni</v>
      </c>
      <c r="F254">
        <v>2</v>
      </c>
      <c r="G254" t="s">
        <v>1515</v>
      </c>
      <c r="H254" t="s">
        <v>1512</v>
      </c>
      <c r="I254" t="s">
        <v>1516</v>
      </c>
      <c r="J254" t="s">
        <v>1524</v>
      </c>
      <c r="K254" t="s">
        <v>1525</v>
      </c>
      <c r="L254" s="2">
        <v>1</v>
      </c>
      <c r="M254" s="10">
        <v>3607</v>
      </c>
      <c r="N254" s="7">
        <v>3607</v>
      </c>
    </row>
    <row r="255" spans="1:14" x14ac:dyDescent="0.3">
      <c r="A255">
        <v>1092</v>
      </c>
      <c r="B255" s="1">
        <v>45098</v>
      </c>
      <c r="C255">
        <v>2023</v>
      </c>
      <c r="D255">
        <v>6</v>
      </c>
      <c r="E255" t="str">
        <f t="shared" si="3"/>
        <v>Juni</v>
      </c>
      <c r="F255">
        <v>2</v>
      </c>
      <c r="G255" t="s">
        <v>1515</v>
      </c>
      <c r="H255" t="s">
        <v>1512</v>
      </c>
      <c r="I255" t="s">
        <v>1516</v>
      </c>
      <c r="J255" t="s">
        <v>1524</v>
      </c>
      <c r="K255" t="s">
        <v>1525</v>
      </c>
      <c r="L255" s="2">
        <v>1</v>
      </c>
      <c r="M255" s="10">
        <v>3607</v>
      </c>
      <c r="N255" s="7">
        <v>3607</v>
      </c>
    </row>
    <row r="256" spans="1:14" x14ac:dyDescent="0.3">
      <c r="A256">
        <v>1092</v>
      </c>
      <c r="B256" s="1">
        <v>44928</v>
      </c>
      <c r="C256">
        <v>2023</v>
      </c>
      <c r="D256">
        <v>1</v>
      </c>
      <c r="E256" t="str">
        <f t="shared" si="3"/>
        <v>Januari</v>
      </c>
      <c r="F256">
        <v>1</v>
      </c>
      <c r="G256" t="s">
        <v>1515</v>
      </c>
      <c r="H256" t="s">
        <v>1512</v>
      </c>
      <c r="I256" t="s">
        <v>1516</v>
      </c>
      <c r="J256" t="s">
        <v>1524</v>
      </c>
      <c r="K256" t="s">
        <v>1525</v>
      </c>
      <c r="L256" s="2">
        <v>1</v>
      </c>
      <c r="M256" s="10">
        <v>3607</v>
      </c>
      <c r="N256" s="7">
        <v>3607</v>
      </c>
    </row>
    <row r="257" spans="1:14" x14ac:dyDescent="0.3">
      <c r="A257">
        <v>1093</v>
      </c>
      <c r="B257" s="1">
        <v>44846</v>
      </c>
      <c r="C257">
        <v>2022</v>
      </c>
      <c r="D257">
        <v>10</v>
      </c>
      <c r="E257" t="str">
        <f t="shared" si="3"/>
        <v>Oktober</v>
      </c>
      <c r="F257">
        <v>4</v>
      </c>
      <c r="G257" t="s">
        <v>1534</v>
      </c>
      <c r="H257" t="s">
        <v>1530</v>
      </c>
      <c r="I257" t="s">
        <v>1521</v>
      </c>
      <c r="J257" t="s">
        <v>1566</v>
      </c>
      <c r="K257" t="s">
        <v>1525</v>
      </c>
      <c r="L257" s="2">
        <v>3</v>
      </c>
      <c r="M257" s="10">
        <v>3055</v>
      </c>
      <c r="N257" s="7">
        <v>9165</v>
      </c>
    </row>
    <row r="258" spans="1:14" x14ac:dyDescent="0.3">
      <c r="A258">
        <v>1093</v>
      </c>
      <c r="B258" s="1">
        <v>45104</v>
      </c>
      <c r="C258">
        <v>2023</v>
      </c>
      <c r="D258">
        <v>6</v>
      </c>
      <c r="E258" t="str">
        <f t="shared" si="3"/>
        <v>Juni</v>
      </c>
      <c r="F258">
        <v>2</v>
      </c>
      <c r="G258" t="s">
        <v>1534</v>
      </c>
      <c r="H258" t="s">
        <v>1530</v>
      </c>
      <c r="I258" t="s">
        <v>1521</v>
      </c>
      <c r="J258" t="s">
        <v>1566</v>
      </c>
      <c r="K258" t="s">
        <v>1525</v>
      </c>
      <c r="L258" s="2">
        <v>3</v>
      </c>
      <c r="M258" s="10">
        <v>3055</v>
      </c>
      <c r="N258" s="7">
        <v>9165</v>
      </c>
    </row>
    <row r="259" spans="1:14" x14ac:dyDescent="0.3">
      <c r="A259">
        <v>1094</v>
      </c>
      <c r="B259" s="1">
        <v>45004</v>
      </c>
      <c r="C259">
        <v>2023</v>
      </c>
      <c r="D259">
        <v>3</v>
      </c>
      <c r="E259" t="str">
        <f t="shared" ref="E259:E322" si="4">TEXT(DATE(2026, D259, 1), "[$-id-ID]mmmm")</f>
        <v>Maret</v>
      </c>
      <c r="F259">
        <v>1</v>
      </c>
      <c r="G259" t="s">
        <v>1519</v>
      </c>
      <c r="H259" t="s">
        <v>1520</v>
      </c>
      <c r="I259" t="s">
        <v>1521</v>
      </c>
      <c r="J259" t="s">
        <v>1517</v>
      </c>
      <c r="K259" t="s">
        <v>1525</v>
      </c>
      <c r="L259" s="2">
        <v>4</v>
      </c>
      <c r="M259" s="10">
        <v>18106</v>
      </c>
      <c r="N259" s="7">
        <v>72424</v>
      </c>
    </row>
    <row r="260" spans="1:14" x14ac:dyDescent="0.3">
      <c r="A260">
        <v>1094</v>
      </c>
      <c r="B260" s="1">
        <v>45276</v>
      </c>
      <c r="C260">
        <v>2023</v>
      </c>
      <c r="D260">
        <v>12</v>
      </c>
      <c r="E260" t="str">
        <f t="shared" si="4"/>
        <v>Desember</v>
      </c>
      <c r="F260">
        <v>4</v>
      </c>
      <c r="G260" t="s">
        <v>1519</v>
      </c>
      <c r="H260" t="s">
        <v>1520</v>
      </c>
      <c r="I260" t="s">
        <v>1521</v>
      </c>
      <c r="J260" t="s">
        <v>1517</v>
      </c>
      <c r="K260" t="s">
        <v>1525</v>
      </c>
      <c r="L260" s="2">
        <v>4</v>
      </c>
      <c r="M260" s="10">
        <v>18106</v>
      </c>
      <c r="N260" s="7">
        <v>72424</v>
      </c>
    </row>
    <row r="261" spans="1:14" x14ac:dyDescent="0.3">
      <c r="A261">
        <v>1094</v>
      </c>
      <c r="B261" s="1">
        <v>45483</v>
      </c>
      <c r="C261">
        <v>2024</v>
      </c>
      <c r="D261">
        <v>7</v>
      </c>
      <c r="E261" t="str">
        <f t="shared" si="4"/>
        <v>Juli</v>
      </c>
      <c r="F261">
        <v>3</v>
      </c>
      <c r="G261" t="s">
        <v>1519</v>
      </c>
      <c r="H261" t="s">
        <v>1520</v>
      </c>
      <c r="I261" t="s">
        <v>1521</v>
      </c>
      <c r="J261" t="s">
        <v>1517</v>
      </c>
      <c r="K261" t="s">
        <v>1525</v>
      </c>
      <c r="L261" s="2">
        <v>4</v>
      </c>
      <c r="M261" s="10">
        <v>18106</v>
      </c>
      <c r="N261" s="7">
        <v>72424</v>
      </c>
    </row>
    <row r="262" spans="1:14" x14ac:dyDescent="0.3">
      <c r="A262">
        <v>1095</v>
      </c>
      <c r="B262" s="1">
        <v>44723</v>
      </c>
      <c r="C262">
        <v>2022</v>
      </c>
      <c r="D262">
        <v>6</v>
      </c>
      <c r="E262" t="str">
        <f t="shared" si="4"/>
        <v>Juni</v>
      </c>
      <c r="F262">
        <v>2</v>
      </c>
      <c r="G262" t="s">
        <v>1522</v>
      </c>
      <c r="H262" t="s">
        <v>1520</v>
      </c>
      <c r="I262" t="s">
        <v>1516</v>
      </c>
      <c r="J262" t="s">
        <v>1566</v>
      </c>
      <c r="K262" t="s">
        <v>1518</v>
      </c>
      <c r="L262" s="2">
        <v>5</v>
      </c>
      <c r="M262" s="10">
        <v>103</v>
      </c>
      <c r="N262" s="7">
        <v>515</v>
      </c>
    </row>
    <row r="263" spans="1:14" x14ac:dyDescent="0.3">
      <c r="A263">
        <v>1096</v>
      </c>
      <c r="B263" s="1">
        <v>44853</v>
      </c>
      <c r="C263">
        <v>2022</v>
      </c>
      <c r="D263">
        <v>10</v>
      </c>
      <c r="E263" t="str">
        <f t="shared" si="4"/>
        <v>Oktober</v>
      </c>
      <c r="F263">
        <v>4</v>
      </c>
      <c r="G263" t="s">
        <v>1523</v>
      </c>
      <c r="H263" t="s">
        <v>1512</v>
      </c>
      <c r="I263" t="s">
        <v>1521</v>
      </c>
      <c r="J263" t="s">
        <v>1524</v>
      </c>
      <c r="K263" t="s">
        <v>1514</v>
      </c>
      <c r="L263" s="2">
        <v>1</v>
      </c>
      <c r="M263" s="10">
        <v>13217</v>
      </c>
      <c r="N263" s="7">
        <v>13217</v>
      </c>
    </row>
    <row r="264" spans="1:14" x14ac:dyDescent="0.3">
      <c r="A264">
        <v>1096</v>
      </c>
      <c r="B264" s="1">
        <v>44954</v>
      </c>
      <c r="C264">
        <v>2023</v>
      </c>
      <c r="D264">
        <v>1</v>
      </c>
      <c r="E264" t="str">
        <f t="shared" si="4"/>
        <v>Januari</v>
      </c>
      <c r="F264">
        <v>1</v>
      </c>
      <c r="G264" t="s">
        <v>1523</v>
      </c>
      <c r="H264" t="s">
        <v>1512</v>
      </c>
      <c r="I264" t="s">
        <v>1521</v>
      </c>
      <c r="J264" t="s">
        <v>1524</v>
      </c>
      <c r="K264" t="s">
        <v>1514</v>
      </c>
      <c r="L264" s="2">
        <v>1</v>
      </c>
      <c r="M264" s="10">
        <v>13217</v>
      </c>
      <c r="N264" s="7">
        <v>13217</v>
      </c>
    </row>
    <row r="265" spans="1:14" x14ac:dyDescent="0.3">
      <c r="A265">
        <v>1096</v>
      </c>
      <c r="B265" s="1">
        <v>44974</v>
      </c>
      <c r="C265">
        <v>2023</v>
      </c>
      <c r="D265">
        <v>2</v>
      </c>
      <c r="E265" t="str">
        <f t="shared" si="4"/>
        <v>Februari</v>
      </c>
      <c r="F265">
        <v>1</v>
      </c>
      <c r="G265" t="s">
        <v>1523</v>
      </c>
      <c r="H265" t="s">
        <v>1512</v>
      </c>
      <c r="I265" t="s">
        <v>1521</v>
      </c>
      <c r="J265" t="s">
        <v>1524</v>
      </c>
      <c r="K265" t="s">
        <v>1514</v>
      </c>
      <c r="L265" s="2">
        <v>1</v>
      </c>
      <c r="M265" s="10">
        <v>13217</v>
      </c>
      <c r="N265" s="7">
        <v>13217</v>
      </c>
    </row>
    <row r="266" spans="1:14" x14ac:dyDescent="0.3">
      <c r="A266">
        <v>1097</v>
      </c>
      <c r="B266" s="1">
        <v>45086</v>
      </c>
      <c r="C266">
        <v>2023</v>
      </c>
      <c r="D266">
        <v>6</v>
      </c>
      <c r="E266" t="str">
        <f t="shared" si="4"/>
        <v>Juni</v>
      </c>
      <c r="F266">
        <v>2</v>
      </c>
      <c r="G266" t="s">
        <v>1526</v>
      </c>
      <c r="H266" t="s">
        <v>1527</v>
      </c>
      <c r="I266" t="s">
        <v>1528</v>
      </c>
      <c r="J266" t="s">
        <v>1566</v>
      </c>
      <c r="K266" t="s">
        <v>1525</v>
      </c>
      <c r="L266" s="2">
        <v>2</v>
      </c>
      <c r="M266" s="10">
        <v>511</v>
      </c>
      <c r="N266" s="7">
        <v>1022</v>
      </c>
    </row>
    <row r="267" spans="1:14" x14ac:dyDescent="0.3">
      <c r="A267">
        <v>1097</v>
      </c>
      <c r="B267" s="1">
        <v>44861</v>
      </c>
      <c r="C267">
        <v>2022</v>
      </c>
      <c r="D267">
        <v>10</v>
      </c>
      <c r="E267" t="str">
        <f t="shared" si="4"/>
        <v>Oktober</v>
      </c>
      <c r="F267">
        <v>4</v>
      </c>
      <c r="G267" t="s">
        <v>1526</v>
      </c>
      <c r="H267" t="s">
        <v>1527</v>
      </c>
      <c r="I267" t="s">
        <v>1528</v>
      </c>
      <c r="J267" t="s">
        <v>1566</v>
      </c>
      <c r="K267" t="s">
        <v>1525</v>
      </c>
      <c r="L267" s="2">
        <v>2</v>
      </c>
      <c r="M267" s="10">
        <v>511</v>
      </c>
      <c r="N267" s="7">
        <v>1022</v>
      </c>
    </row>
    <row r="268" spans="1:14" x14ac:dyDescent="0.3">
      <c r="A268">
        <v>1097</v>
      </c>
      <c r="B268" s="1">
        <v>45091</v>
      </c>
      <c r="C268">
        <v>2023</v>
      </c>
      <c r="D268">
        <v>6</v>
      </c>
      <c r="E268" t="str">
        <f t="shared" si="4"/>
        <v>Juni</v>
      </c>
      <c r="F268">
        <v>2</v>
      </c>
      <c r="G268" t="s">
        <v>1526</v>
      </c>
      <c r="H268" t="s">
        <v>1527</v>
      </c>
      <c r="I268" t="s">
        <v>1528</v>
      </c>
      <c r="J268" t="s">
        <v>1566</v>
      </c>
      <c r="K268" t="s">
        <v>1525</v>
      </c>
      <c r="L268" s="2">
        <v>2</v>
      </c>
      <c r="M268" s="10">
        <v>511</v>
      </c>
      <c r="N268" s="7">
        <v>1022</v>
      </c>
    </row>
    <row r="269" spans="1:14" x14ac:dyDescent="0.3">
      <c r="A269">
        <v>1098</v>
      </c>
      <c r="B269" s="1">
        <v>45191</v>
      </c>
      <c r="C269">
        <v>2023</v>
      </c>
      <c r="D269">
        <v>9</v>
      </c>
      <c r="E269" t="str">
        <f t="shared" si="4"/>
        <v>September</v>
      </c>
      <c r="F269">
        <v>3</v>
      </c>
      <c r="G269" t="s">
        <v>1529</v>
      </c>
      <c r="H269" t="s">
        <v>1530</v>
      </c>
      <c r="I269" t="s">
        <v>1535</v>
      </c>
      <c r="J269" t="s">
        <v>1566</v>
      </c>
      <c r="K269" t="s">
        <v>1518</v>
      </c>
      <c r="L269" s="2">
        <v>2</v>
      </c>
      <c r="M269" s="10">
        <v>513</v>
      </c>
      <c r="N269" s="7">
        <v>1026</v>
      </c>
    </row>
    <row r="270" spans="1:14" x14ac:dyDescent="0.3">
      <c r="A270">
        <v>1098</v>
      </c>
      <c r="B270" s="1">
        <v>45055</v>
      </c>
      <c r="C270">
        <v>2023</v>
      </c>
      <c r="D270">
        <v>5</v>
      </c>
      <c r="E270" t="str">
        <f t="shared" si="4"/>
        <v>Mei</v>
      </c>
      <c r="F270">
        <v>2</v>
      </c>
      <c r="G270" t="s">
        <v>1529</v>
      </c>
      <c r="H270" t="s">
        <v>1530</v>
      </c>
      <c r="I270" t="s">
        <v>1535</v>
      </c>
      <c r="J270" t="s">
        <v>1566</v>
      </c>
      <c r="K270" t="s">
        <v>1518</v>
      </c>
      <c r="L270" s="2">
        <v>2</v>
      </c>
      <c r="M270" s="10">
        <v>513</v>
      </c>
      <c r="N270" s="7">
        <v>1026</v>
      </c>
    </row>
    <row r="271" spans="1:14" x14ac:dyDescent="0.3">
      <c r="A271">
        <v>1099</v>
      </c>
      <c r="B271" s="1">
        <v>44728</v>
      </c>
      <c r="C271">
        <v>2022</v>
      </c>
      <c r="D271">
        <v>6</v>
      </c>
      <c r="E271" t="str">
        <f t="shared" si="4"/>
        <v>Juni</v>
      </c>
      <c r="F271">
        <v>2</v>
      </c>
      <c r="G271" t="s">
        <v>1532</v>
      </c>
      <c r="H271" t="s">
        <v>1512</v>
      </c>
      <c r="I271" t="s">
        <v>1513</v>
      </c>
      <c r="J271" t="s">
        <v>1566</v>
      </c>
      <c r="K271" t="s">
        <v>1518</v>
      </c>
      <c r="L271" s="2">
        <v>2</v>
      </c>
      <c r="M271" s="10">
        <v>6283</v>
      </c>
      <c r="N271" s="7">
        <v>12566</v>
      </c>
    </row>
    <row r="272" spans="1:14" x14ac:dyDescent="0.3">
      <c r="A272">
        <v>1099</v>
      </c>
      <c r="B272" s="1">
        <v>45613</v>
      </c>
      <c r="C272">
        <v>2024</v>
      </c>
      <c r="D272">
        <v>11</v>
      </c>
      <c r="E272" t="str">
        <f t="shared" si="4"/>
        <v>November</v>
      </c>
      <c r="F272">
        <v>4</v>
      </c>
      <c r="G272" t="s">
        <v>1532</v>
      </c>
      <c r="H272" t="s">
        <v>1512</v>
      </c>
      <c r="I272" t="s">
        <v>1513</v>
      </c>
      <c r="J272" t="s">
        <v>1566</v>
      </c>
      <c r="K272" t="s">
        <v>1518</v>
      </c>
      <c r="L272" s="2">
        <v>2</v>
      </c>
      <c r="M272" s="10">
        <v>6283</v>
      </c>
      <c r="N272" s="7">
        <v>12566</v>
      </c>
    </row>
    <row r="273" spans="1:14" x14ac:dyDescent="0.3">
      <c r="A273">
        <v>1099</v>
      </c>
      <c r="B273" s="1">
        <v>45058</v>
      </c>
      <c r="C273">
        <v>2023</v>
      </c>
      <c r="D273">
        <v>5</v>
      </c>
      <c r="E273" t="str">
        <f t="shared" si="4"/>
        <v>Mei</v>
      </c>
      <c r="F273">
        <v>2</v>
      </c>
      <c r="G273" t="s">
        <v>1532</v>
      </c>
      <c r="H273" t="s">
        <v>1512</v>
      </c>
      <c r="I273" t="s">
        <v>1513</v>
      </c>
      <c r="J273" t="s">
        <v>1566</v>
      </c>
      <c r="K273" t="s">
        <v>1518</v>
      </c>
      <c r="L273" s="2">
        <v>2</v>
      </c>
      <c r="M273" s="10">
        <v>6283</v>
      </c>
      <c r="N273" s="7">
        <v>12566</v>
      </c>
    </row>
    <row r="274" spans="1:14" x14ac:dyDescent="0.3">
      <c r="A274">
        <v>1100</v>
      </c>
      <c r="B274" s="1">
        <v>45652</v>
      </c>
      <c r="C274">
        <v>2024</v>
      </c>
      <c r="D274">
        <v>12</v>
      </c>
      <c r="E274" t="str">
        <f t="shared" si="4"/>
        <v>Desember</v>
      </c>
      <c r="F274">
        <v>4</v>
      </c>
      <c r="G274" t="s">
        <v>1533</v>
      </c>
      <c r="H274" t="s">
        <v>1520</v>
      </c>
      <c r="I274" t="s">
        <v>1516</v>
      </c>
      <c r="J274" t="s">
        <v>1566</v>
      </c>
      <c r="K274" t="s">
        <v>1525</v>
      </c>
      <c r="L274" s="2">
        <v>4</v>
      </c>
      <c r="M274" s="10">
        <v>552</v>
      </c>
      <c r="N274" s="7">
        <v>2208</v>
      </c>
    </row>
    <row r="275" spans="1:14" x14ac:dyDescent="0.3">
      <c r="A275">
        <v>1100</v>
      </c>
      <c r="B275" s="1">
        <v>44717</v>
      </c>
      <c r="C275">
        <v>2022</v>
      </c>
      <c r="D275">
        <v>6</v>
      </c>
      <c r="E275" t="str">
        <f t="shared" si="4"/>
        <v>Juni</v>
      </c>
      <c r="F275">
        <v>2</v>
      </c>
      <c r="G275" t="s">
        <v>1533</v>
      </c>
      <c r="H275" t="s">
        <v>1520</v>
      </c>
      <c r="I275" t="s">
        <v>1516</v>
      </c>
      <c r="J275" t="s">
        <v>1566</v>
      </c>
      <c r="K275" t="s">
        <v>1525</v>
      </c>
      <c r="L275" s="2">
        <v>4</v>
      </c>
      <c r="M275" s="10">
        <v>552</v>
      </c>
      <c r="N275" s="7">
        <v>2208</v>
      </c>
    </row>
    <row r="276" spans="1:14" x14ac:dyDescent="0.3">
      <c r="A276">
        <v>1100</v>
      </c>
      <c r="B276" s="1">
        <v>44847</v>
      </c>
      <c r="C276">
        <v>2022</v>
      </c>
      <c r="D276">
        <v>10</v>
      </c>
      <c r="E276" t="str">
        <f t="shared" si="4"/>
        <v>Oktober</v>
      </c>
      <c r="F276">
        <v>4</v>
      </c>
      <c r="G276" t="s">
        <v>1533</v>
      </c>
      <c r="H276" t="s">
        <v>1520</v>
      </c>
      <c r="I276" t="s">
        <v>1516</v>
      </c>
      <c r="J276" t="s">
        <v>1566</v>
      </c>
      <c r="K276" t="s">
        <v>1525</v>
      </c>
      <c r="L276" s="2">
        <v>4</v>
      </c>
      <c r="M276" s="10">
        <v>552</v>
      </c>
      <c r="N276" s="7">
        <v>2208</v>
      </c>
    </row>
    <row r="277" spans="1:14" x14ac:dyDescent="0.3">
      <c r="A277">
        <v>1100</v>
      </c>
      <c r="B277" s="1">
        <v>44687</v>
      </c>
      <c r="C277">
        <v>2022</v>
      </c>
      <c r="D277">
        <v>5</v>
      </c>
      <c r="E277" t="str">
        <f t="shared" si="4"/>
        <v>Mei</v>
      </c>
      <c r="F277">
        <v>2</v>
      </c>
      <c r="G277" t="s">
        <v>1533</v>
      </c>
      <c r="H277" t="s">
        <v>1520</v>
      </c>
      <c r="I277" t="s">
        <v>1516</v>
      </c>
      <c r="J277" t="s">
        <v>1566</v>
      </c>
      <c r="K277" t="s">
        <v>1525</v>
      </c>
      <c r="L277" s="2">
        <v>4</v>
      </c>
      <c r="M277" s="10">
        <v>552</v>
      </c>
      <c r="N277" s="7">
        <v>2208</v>
      </c>
    </row>
    <row r="278" spans="1:14" x14ac:dyDescent="0.3">
      <c r="A278">
        <v>1100</v>
      </c>
      <c r="B278" s="1">
        <v>45535</v>
      </c>
      <c r="C278">
        <v>2024</v>
      </c>
      <c r="D278">
        <v>8</v>
      </c>
      <c r="E278" t="str">
        <f t="shared" si="4"/>
        <v>Agustus</v>
      </c>
      <c r="F278">
        <v>3</v>
      </c>
      <c r="G278" t="s">
        <v>1533</v>
      </c>
      <c r="H278" t="s">
        <v>1520</v>
      </c>
      <c r="I278" t="s">
        <v>1516</v>
      </c>
      <c r="J278" t="s">
        <v>1566</v>
      </c>
      <c r="K278" t="s">
        <v>1525</v>
      </c>
      <c r="L278" s="2">
        <v>4</v>
      </c>
      <c r="M278" s="10">
        <v>552</v>
      </c>
      <c r="N278" s="7">
        <v>2208</v>
      </c>
    </row>
    <row r="279" spans="1:14" x14ac:dyDescent="0.3">
      <c r="A279">
        <v>1101</v>
      </c>
      <c r="B279" s="1">
        <v>45123</v>
      </c>
      <c r="C279">
        <v>2023</v>
      </c>
      <c r="D279">
        <v>7</v>
      </c>
      <c r="E279" t="str">
        <f t="shared" si="4"/>
        <v>Juli</v>
      </c>
      <c r="F279">
        <v>3</v>
      </c>
      <c r="G279" t="s">
        <v>1511</v>
      </c>
      <c r="H279" t="s">
        <v>1512</v>
      </c>
      <c r="I279" t="s">
        <v>1513</v>
      </c>
      <c r="J279" t="s">
        <v>1524</v>
      </c>
      <c r="K279" t="s">
        <v>1514</v>
      </c>
      <c r="L279" s="2">
        <v>1</v>
      </c>
      <c r="M279" s="10">
        <v>56441</v>
      </c>
      <c r="N279" s="7">
        <v>56441</v>
      </c>
    </row>
    <row r="280" spans="1:14" x14ac:dyDescent="0.3">
      <c r="A280">
        <v>1101</v>
      </c>
      <c r="B280" s="1">
        <v>45140</v>
      </c>
      <c r="C280">
        <v>2023</v>
      </c>
      <c r="D280">
        <v>8</v>
      </c>
      <c r="E280" t="str">
        <f t="shared" si="4"/>
        <v>Agustus</v>
      </c>
      <c r="F280">
        <v>3</v>
      </c>
      <c r="G280" t="s">
        <v>1511</v>
      </c>
      <c r="H280" t="s">
        <v>1512</v>
      </c>
      <c r="I280" t="s">
        <v>1513</v>
      </c>
      <c r="J280" t="s">
        <v>1524</v>
      </c>
      <c r="K280" t="s">
        <v>1514</v>
      </c>
      <c r="L280" s="2">
        <v>1</v>
      </c>
      <c r="M280" s="10">
        <v>56441</v>
      </c>
      <c r="N280" s="7">
        <v>56441</v>
      </c>
    </row>
    <row r="281" spans="1:14" x14ac:dyDescent="0.3">
      <c r="A281">
        <v>1102</v>
      </c>
      <c r="B281" s="1">
        <v>44615</v>
      </c>
      <c r="C281">
        <v>2022</v>
      </c>
      <c r="D281">
        <v>2</v>
      </c>
      <c r="E281" t="str">
        <f t="shared" si="4"/>
        <v>Februari</v>
      </c>
      <c r="F281">
        <v>1</v>
      </c>
      <c r="G281" t="s">
        <v>1515</v>
      </c>
      <c r="H281" t="s">
        <v>1512</v>
      </c>
      <c r="I281" t="s">
        <v>1528</v>
      </c>
      <c r="J281" t="s">
        <v>1566</v>
      </c>
      <c r="K281" t="s">
        <v>1518</v>
      </c>
      <c r="L281" s="2">
        <v>2</v>
      </c>
      <c r="M281" s="10">
        <v>4833</v>
      </c>
      <c r="N281" s="7">
        <v>9666</v>
      </c>
    </row>
    <row r="282" spans="1:14" x14ac:dyDescent="0.3">
      <c r="A282">
        <v>1102</v>
      </c>
      <c r="B282" s="1">
        <v>44574</v>
      </c>
      <c r="C282">
        <v>2022</v>
      </c>
      <c r="D282">
        <v>1</v>
      </c>
      <c r="E282" t="str">
        <f t="shared" si="4"/>
        <v>Januari</v>
      </c>
      <c r="F282">
        <v>1</v>
      </c>
      <c r="G282" t="s">
        <v>1515</v>
      </c>
      <c r="H282" t="s">
        <v>1512</v>
      </c>
      <c r="I282" t="s">
        <v>1528</v>
      </c>
      <c r="J282" t="s">
        <v>1566</v>
      </c>
      <c r="K282" t="s">
        <v>1518</v>
      </c>
      <c r="L282" s="2">
        <v>2</v>
      </c>
      <c r="M282" s="10">
        <v>4833</v>
      </c>
      <c r="N282" s="7">
        <v>9666</v>
      </c>
    </row>
    <row r="283" spans="1:14" x14ac:dyDescent="0.3">
      <c r="A283">
        <v>1102</v>
      </c>
      <c r="B283" s="1">
        <v>44616</v>
      </c>
      <c r="C283">
        <v>2022</v>
      </c>
      <c r="D283">
        <v>2</v>
      </c>
      <c r="E283" t="str">
        <f t="shared" si="4"/>
        <v>Februari</v>
      </c>
      <c r="F283">
        <v>1</v>
      </c>
      <c r="G283" t="s">
        <v>1515</v>
      </c>
      <c r="H283" t="s">
        <v>1512</v>
      </c>
      <c r="I283" t="s">
        <v>1528</v>
      </c>
      <c r="J283" t="s">
        <v>1566</v>
      </c>
      <c r="K283" t="s">
        <v>1518</v>
      </c>
      <c r="L283" s="2">
        <v>2</v>
      </c>
      <c r="M283" s="10">
        <v>4833</v>
      </c>
      <c r="N283" s="7">
        <v>9666</v>
      </c>
    </row>
    <row r="284" spans="1:14" x14ac:dyDescent="0.3">
      <c r="A284">
        <v>1103</v>
      </c>
      <c r="B284" s="1">
        <v>44934</v>
      </c>
      <c r="C284">
        <v>2023</v>
      </c>
      <c r="D284">
        <v>1</v>
      </c>
      <c r="E284" t="str">
        <f t="shared" si="4"/>
        <v>Januari</v>
      </c>
      <c r="F284">
        <v>1</v>
      </c>
      <c r="G284" t="s">
        <v>1534</v>
      </c>
      <c r="H284" t="s">
        <v>1530</v>
      </c>
      <c r="I284" t="s">
        <v>1528</v>
      </c>
      <c r="J284" t="s">
        <v>1566</v>
      </c>
      <c r="K284" t="s">
        <v>1514</v>
      </c>
      <c r="L284" s="2">
        <v>1</v>
      </c>
      <c r="M284" s="10">
        <v>1314</v>
      </c>
      <c r="N284" s="7">
        <v>1314</v>
      </c>
    </row>
    <row r="285" spans="1:14" x14ac:dyDescent="0.3">
      <c r="A285">
        <v>1103</v>
      </c>
      <c r="B285" s="1">
        <v>44647</v>
      </c>
      <c r="C285">
        <v>2022</v>
      </c>
      <c r="D285">
        <v>3</v>
      </c>
      <c r="E285" t="str">
        <f t="shared" si="4"/>
        <v>Maret</v>
      </c>
      <c r="F285">
        <v>1</v>
      </c>
      <c r="G285" t="s">
        <v>1534</v>
      </c>
      <c r="H285" t="s">
        <v>1530</v>
      </c>
      <c r="I285" t="s">
        <v>1528</v>
      </c>
      <c r="J285" t="s">
        <v>1566</v>
      </c>
      <c r="K285" t="s">
        <v>1514</v>
      </c>
      <c r="L285" s="2">
        <v>1</v>
      </c>
      <c r="M285" s="10">
        <v>1314</v>
      </c>
      <c r="N285" s="7">
        <v>1314</v>
      </c>
    </row>
    <row r="286" spans="1:14" x14ac:dyDescent="0.3">
      <c r="A286">
        <v>1103</v>
      </c>
      <c r="B286" s="1">
        <v>45224</v>
      </c>
      <c r="C286">
        <v>2023</v>
      </c>
      <c r="D286">
        <v>10</v>
      </c>
      <c r="E286" t="str">
        <f t="shared" si="4"/>
        <v>Oktober</v>
      </c>
      <c r="F286">
        <v>4</v>
      </c>
      <c r="G286" t="s">
        <v>1534</v>
      </c>
      <c r="H286" t="s">
        <v>1530</v>
      </c>
      <c r="I286" t="s">
        <v>1528</v>
      </c>
      <c r="J286" t="s">
        <v>1566</v>
      </c>
      <c r="K286" t="s">
        <v>1514</v>
      </c>
      <c r="L286" s="2">
        <v>1</v>
      </c>
      <c r="M286" s="10">
        <v>1314</v>
      </c>
      <c r="N286" s="7">
        <v>1314</v>
      </c>
    </row>
    <row r="287" spans="1:14" x14ac:dyDescent="0.3">
      <c r="A287">
        <v>1103</v>
      </c>
      <c r="B287" s="1">
        <v>45145</v>
      </c>
      <c r="C287">
        <v>2023</v>
      </c>
      <c r="D287">
        <v>8</v>
      </c>
      <c r="E287" t="str">
        <f t="shared" si="4"/>
        <v>Agustus</v>
      </c>
      <c r="F287">
        <v>3</v>
      </c>
      <c r="G287" t="s">
        <v>1534</v>
      </c>
      <c r="H287" t="s">
        <v>1530</v>
      </c>
      <c r="I287" t="s">
        <v>1528</v>
      </c>
      <c r="J287" t="s">
        <v>1566</v>
      </c>
      <c r="K287" t="s">
        <v>1514</v>
      </c>
      <c r="L287" s="2">
        <v>1</v>
      </c>
      <c r="M287" s="10">
        <v>1314</v>
      </c>
      <c r="N287" s="7">
        <v>1314</v>
      </c>
    </row>
    <row r="288" spans="1:14" x14ac:dyDescent="0.3">
      <c r="A288">
        <v>1103</v>
      </c>
      <c r="B288" s="1">
        <v>45655</v>
      </c>
      <c r="C288">
        <v>2024</v>
      </c>
      <c r="D288">
        <v>12</v>
      </c>
      <c r="E288" t="str">
        <f t="shared" si="4"/>
        <v>Desember</v>
      </c>
      <c r="F288">
        <v>4</v>
      </c>
      <c r="G288" t="s">
        <v>1534</v>
      </c>
      <c r="H288" t="s">
        <v>1530</v>
      </c>
      <c r="I288" t="s">
        <v>1528</v>
      </c>
      <c r="J288" t="s">
        <v>1566</v>
      </c>
      <c r="K288" t="s">
        <v>1514</v>
      </c>
      <c r="L288" s="2">
        <v>1</v>
      </c>
      <c r="M288" s="10">
        <v>1314</v>
      </c>
      <c r="N288" s="7">
        <v>1314</v>
      </c>
    </row>
    <row r="289" spans="1:14" x14ac:dyDescent="0.3">
      <c r="A289">
        <v>1103</v>
      </c>
      <c r="B289" s="1">
        <v>44754</v>
      </c>
      <c r="C289">
        <v>2022</v>
      </c>
      <c r="D289">
        <v>7</v>
      </c>
      <c r="E289" t="str">
        <f t="shared" si="4"/>
        <v>Juli</v>
      </c>
      <c r="F289">
        <v>3</v>
      </c>
      <c r="G289" t="s">
        <v>1534</v>
      </c>
      <c r="H289" t="s">
        <v>1530</v>
      </c>
      <c r="I289" t="s">
        <v>1528</v>
      </c>
      <c r="J289" t="s">
        <v>1566</v>
      </c>
      <c r="K289" t="s">
        <v>1514</v>
      </c>
      <c r="L289" s="2">
        <v>1</v>
      </c>
      <c r="M289" s="10">
        <v>1314</v>
      </c>
      <c r="N289" s="7">
        <v>1314</v>
      </c>
    </row>
    <row r="290" spans="1:14" x14ac:dyDescent="0.3">
      <c r="A290">
        <v>1103</v>
      </c>
      <c r="B290" s="1">
        <v>44661</v>
      </c>
      <c r="C290">
        <v>2022</v>
      </c>
      <c r="D290">
        <v>4</v>
      </c>
      <c r="E290" t="str">
        <f t="shared" si="4"/>
        <v>April</v>
      </c>
      <c r="F290">
        <v>2</v>
      </c>
      <c r="G290" t="s">
        <v>1534</v>
      </c>
      <c r="H290" t="s">
        <v>1530</v>
      </c>
      <c r="I290" t="s">
        <v>1528</v>
      </c>
      <c r="J290" t="s">
        <v>1566</v>
      </c>
      <c r="K290" t="s">
        <v>1514</v>
      </c>
      <c r="L290" s="2">
        <v>1</v>
      </c>
      <c r="M290" s="10">
        <v>1314</v>
      </c>
      <c r="N290" s="7">
        <v>1314</v>
      </c>
    </row>
    <row r="291" spans="1:14" x14ac:dyDescent="0.3">
      <c r="A291">
        <v>1104</v>
      </c>
      <c r="B291" s="1">
        <v>45008</v>
      </c>
      <c r="C291">
        <v>2023</v>
      </c>
      <c r="D291">
        <v>3</v>
      </c>
      <c r="E291" t="str">
        <f t="shared" si="4"/>
        <v>Maret</v>
      </c>
      <c r="F291">
        <v>1</v>
      </c>
      <c r="G291" t="s">
        <v>1519</v>
      </c>
      <c r="H291" t="s">
        <v>1520</v>
      </c>
      <c r="I291" t="s">
        <v>1513</v>
      </c>
      <c r="J291" t="s">
        <v>1517</v>
      </c>
      <c r="K291" t="s">
        <v>1525</v>
      </c>
      <c r="L291" s="2">
        <v>1</v>
      </c>
      <c r="M291" s="10">
        <v>5201</v>
      </c>
      <c r="N291" s="7">
        <v>5201</v>
      </c>
    </row>
    <row r="292" spans="1:14" x14ac:dyDescent="0.3">
      <c r="A292">
        <v>1105</v>
      </c>
      <c r="B292" s="1">
        <v>44678</v>
      </c>
      <c r="C292">
        <v>2022</v>
      </c>
      <c r="D292">
        <v>4</v>
      </c>
      <c r="E292" t="str">
        <f t="shared" si="4"/>
        <v>April</v>
      </c>
      <c r="F292">
        <v>2</v>
      </c>
      <c r="G292" t="s">
        <v>1522</v>
      </c>
      <c r="H292" t="s">
        <v>1520</v>
      </c>
      <c r="I292" t="s">
        <v>1513</v>
      </c>
      <c r="J292" t="s">
        <v>1517</v>
      </c>
      <c r="K292" t="s">
        <v>1514</v>
      </c>
      <c r="L292" s="2">
        <v>2</v>
      </c>
      <c r="M292" s="10">
        <v>469</v>
      </c>
      <c r="N292" s="7">
        <v>938</v>
      </c>
    </row>
    <row r="293" spans="1:14" x14ac:dyDescent="0.3">
      <c r="A293">
        <v>1105</v>
      </c>
      <c r="B293" s="1">
        <v>44927</v>
      </c>
      <c r="C293">
        <v>2023</v>
      </c>
      <c r="D293">
        <v>1</v>
      </c>
      <c r="E293" t="str">
        <f t="shared" si="4"/>
        <v>Januari</v>
      </c>
      <c r="F293">
        <v>1</v>
      </c>
      <c r="G293" t="s">
        <v>1522</v>
      </c>
      <c r="H293" t="s">
        <v>1520</v>
      </c>
      <c r="I293" t="s">
        <v>1513</v>
      </c>
      <c r="J293" t="s">
        <v>1517</v>
      </c>
      <c r="K293" t="s">
        <v>1514</v>
      </c>
      <c r="L293" s="2">
        <v>2</v>
      </c>
      <c r="M293" s="10">
        <v>469</v>
      </c>
      <c r="N293" s="7">
        <v>938</v>
      </c>
    </row>
    <row r="294" spans="1:14" x14ac:dyDescent="0.3">
      <c r="A294">
        <v>1105</v>
      </c>
      <c r="B294" s="1">
        <v>44799</v>
      </c>
      <c r="C294">
        <v>2022</v>
      </c>
      <c r="D294">
        <v>8</v>
      </c>
      <c r="E294" t="str">
        <f t="shared" si="4"/>
        <v>Agustus</v>
      </c>
      <c r="F294">
        <v>3</v>
      </c>
      <c r="G294" t="s">
        <v>1522</v>
      </c>
      <c r="H294" t="s">
        <v>1520</v>
      </c>
      <c r="I294" t="s">
        <v>1513</v>
      </c>
      <c r="J294" t="s">
        <v>1517</v>
      </c>
      <c r="K294" t="s">
        <v>1514</v>
      </c>
      <c r="L294" s="2">
        <v>2</v>
      </c>
      <c r="M294" s="10">
        <v>469</v>
      </c>
      <c r="N294" s="7">
        <v>938</v>
      </c>
    </row>
    <row r="295" spans="1:14" x14ac:dyDescent="0.3">
      <c r="A295">
        <v>1105</v>
      </c>
      <c r="B295" s="1">
        <v>44573</v>
      </c>
      <c r="C295">
        <v>2022</v>
      </c>
      <c r="D295">
        <v>1</v>
      </c>
      <c r="E295" t="str">
        <f t="shared" si="4"/>
        <v>Januari</v>
      </c>
      <c r="F295">
        <v>1</v>
      </c>
      <c r="G295" t="s">
        <v>1522</v>
      </c>
      <c r="H295" t="s">
        <v>1520</v>
      </c>
      <c r="I295" t="s">
        <v>1513</v>
      </c>
      <c r="J295" t="s">
        <v>1517</v>
      </c>
      <c r="K295" t="s">
        <v>1514</v>
      </c>
      <c r="L295" s="2">
        <v>2</v>
      </c>
      <c r="M295" s="10">
        <v>469</v>
      </c>
      <c r="N295" s="7">
        <v>938</v>
      </c>
    </row>
    <row r="296" spans="1:14" x14ac:dyDescent="0.3">
      <c r="A296">
        <v>1105</v>
      </c>
      <c r="B296" s="1">
        <v>44762</v>
      </c>
      <c r="C296">
        <v>2022</v>
      </c>
      <c r="D296">
        <v>7</v>
      </c>
      <c r="E296" t="str">
        <f t="shared" si="4"/>
        <v>Juli</v>
      </c>
      <c r="F296">
        <v>3</v>
      </c>
      <c r="G296" t="s">
        <v>1522</v>
      </c>
      <c r="H296" t="s">
        <v>1520</v>
      </c>
      <c r="I296" t="s">
        <v>1513</v>
      </c>
      <c r="J296" t="s">
        <v>1517</v>
      </c>
      <c r="K296" t="s">
        <v>1514</v>
      </c>
      <c r="L296" s="2">
        <v>2</v>
      </c>
      <c r="M296" s="10">
        <v>469</v>
      </c>
      <c r="N296" s="7">
        <v>938</v>
      </c>
    </row>
    <row r="297" spans="1:14" x14ac:dyDescent="0.3">
      <c r="A297">
        <v>1106</v>
      </c>
      <c r="B297" s="1">
        <v>44967</v>
      </c>
      <c r="C297">
        <v>2023</v>
      </c>
      <c r="D297">
        <v>2</v>
      </c>
      <c r="E297" t="str">
        <f t="shared" si="4"/>
        <v>Februari</v>
      </c>
      <c r="F297">
        <v>1</v>
      </c>
      <c r="G297" t="s">
        <v>1523</v>
      </c>
      <c r="H297" t="s">
        <v>1512</v>
      </c>
      <c r="I297" t="s">
        <v>1521</v>
      </c>
      <c r="J297" t="s">
        <v>1517</v>
      </c>
      <c r="K297" t="s">
        <v>1518</v>
      </c>
      <c r="L297" s="2">
        <v>2</v>
      </c>
      <c r="M297" s="10">
        <v>24448</v>
      </c>
      <c r="N297" s="7">
        <v>48896</v>
      </c>
    </row>
    <row r="298" spans="1:14" x14ac:dyDescent="0.3">
      <c r="A298">
        <v>1106</v>
      </c>
      <c r="B298" s="1">
        <v>45172</v>
      </c>
      <c r="C298">
        <v>2023</v>
      </c>
      <c r="D298">
        <v>9</v>
      </c>
      <c r="E298" t="str">
        <f t="shared" si="4"/>
        <v>September</v>
      </c>
      <c r="F298">
        <v>3</v>
      </c>
      <c r="G298" t="s">
        <v>1523</v>
      </c>
      <c r="H298" t="s">
        <v>1512</v>
      </c>
      <c r="I298" t="s">
        <v>1521</v>
      </c>
      <c r="J298" t="s">
        <v>1517</v>
      </c>
      <c r="K298" t="s">
        <v>1518</v>
      </c>
      <c r="L298" s="2">
        <v>2</v>
      </c>
      <c r="M298" s="10">
        <v>24448</v>
      </c>
      <c r="N298" s="7">
        <v>48896</v>
      </c>
    </row>
    <row r="299" spans="1:14" x14ac:dyDescent="0.3">
      <c r="A299">
        <v>1106</v>
      </c>
      <c r="B299" s="1">
        <v>45600</v>
      </c>
      <c r="C299">
        <v>2024</v>
      </c>
      <c r="D299">
        <v>11</v>
      </c>
      <c r="E299" t="str">
        <f t="shared" si="4"/>
        <v>November</v>
      </c>
      <c r="F299">
        <v>4</v>
      </c>
      <c r="G299" t="s">
        <v>1523</v>
      </c>
      <c r="H299" t="s">
        <v>1512</v>
      </c>
      <c r="I299" t="s">
        <v>1521</v>
      </c>
      <c r="J299" t="s">
        <v>1517</v>
      </c>
      <c r="K299" t="s">
        <v>1518</v>
      </c>
      <c r="L299" s="2">
        <v>2</v>
      </c>
      <c r="M299" s="10">
        <v>24448</v>
      </c>
      <c r="N299" s="7">
        <v>48896</v>
      </c>
    </row>
    <row r="300" spans="1:14" x14ac:dyDescent="0.3">
      <c r="A300">
        <v>1106</v>
      </c>
      <c r="B300" s="1">
        <v>45272</v>
      </c>
      <c r="C300">
        <v>2023</v>
      </c>
      <c r="D300">
        <v>12</v>
      </c>
      <c r="E300" t="str">
        <f t="shared" si="4"/>
        <v>Desember</v>
      </c>
      <c r="F300">
        <v>4</v>
      </c>
      <c r="G300" t="s">
        <v>1523</v>
      </c>
      <c r="H300" t="s">
        <v>1512</v>
      </c>
      <c r="I300" t="s">
        <v>1521</v>
      </c>
      <c r="J300" t="s">
        <v>1517</v>
      </c>
      <c r="K300" t="s">
        <v>1518</v>
      </c>
      <c r="L300" s="2">
        <v>2</v>
      </c>
      <c r="M300" s="10">
        <v>24448</v>
      </c>
      <c r="N300" s="7">
        <v>48896</v>
      </c>
    </row>
    <row r="301" spans="1:14" x14ac:dyDescent="0.3">
      <c r="A301">
        <v>1107</v>
      </c>
      <c r="B301" s="1">
        <v>45064</v>
      </c>
      <c r="C301">
        <v>2023</v>
      </c>
      <c r="D301">
        <v>5</v>
      </c>
      <c r="E301" t="str">
        <f t="shared" si="4"/>
        <v>Mei</v>
      </c>
      <c r="F301">
        <v>2</v>
      </c>
      <c r="G301" t="s">
        <v>1526</v>
      </c>
      <c r="H301" t="s">
        <v>1527</v>
      </c>
      <c r="I301" t="s">
        <v>1535</v>
      </c>
      <c r="J301" t="s">
        <v>1517</v>
      </c>
      <c r="K301" t="s">
        <v>1518</v>
      </c>
      <c r="L301" s="2">
        <v>3</v>
      </c>
      <c r="M301" s="10">
        <v>378</v>
      </c>
      <c r="N301" s="7">
        <v>1134</v>
      </c>
    </row>
    <row r="302" spans="1:14" x14ac:dyDescent="0.3">
      <c r="A302">
        <v>1108</v>
      </c>
      <c r="B302" s="1">
        <v>45292</v>
      </c>
      <c r="C302">
        <v>2024</v>
      </c>
      <c r="D302">
        <v>1</v>
      </c>
      <c r="E302" t="str">
        <f t="shared" si="4"/>
        <v>Januari</v>
      </c>
      <c r="F302">
        <v>1</v>
      </c>
      <c r="G302" t="s">
        <v>1529</v>
      </c>
      <c r="H302" t="s">
        <v>1530</v>
      </c>
      <c r="I302" t="s">
        <v>1535</v>
      </c>
      <c r="J302" t="s">
        <v>1517</v>
      </c>
      <c r="K302" t="s">
        <v>1518</v>
      </c>
      <c r="L302" s="2">
        <v>1</v>
      </c>
      <c r="M302" s="10">
        <v>1310</v>
      </c>
      <c r="N302" s="7">
        <v>1310</v>
      </c>
    </row>
    <row r="303" spans="1:14" x14ac:dyDescent="0.3">
      <c r="A303">
        <v>1108</v>
      </c>
      <c r="B303" s="1">
        <v>44684</v>
      </c>
      <c r="C303">
        <v>2022</v>
      </c>
      <c r="D303">
        <v>5</v>
      </c>
      <c r="E303" t="str">
        <f t="shared" si="4"/>
        <v>Mei</v>
      </c>
      <c r="F303">
        <v>2</v>
      </c>
      <c r="G303" t="s">
        <v>1529</v>
      </c>
      <c r="H303" t="s">
        <v>1530</v>
      </c>
      <c r="I303" t="s">
        <v>1535</v>
      </c>
      <c r="J303" t="s">
        <v>1517</v>
      </c>
      <c r="K303" t="s">
        <v>1518</v>
      </c>
      <c r="L303" s="2">
        <v>1</v>
      </c>
      <c r="M303" s="10">
        <v>1310</v>
      </c>
      <c r="N303" s="7">
        <v>1310</v>
      </c>
    </row>
    <row r="304" spans="1:14" x14ac:dyDescent="0.3">
      <c r="A304">
        <v>1108</v>
      </c>
      <c r="B304" s="1">
        <v>45245</v>
      </c>
      <c r="C304">
        <v>2023</v>
      </c>
      <c r="D304">
        <v>11</v>
      </c>
      <c r="E304" t="str">
        <f t="shared" si="4"/>
        <v>November</v>
      </c>
      <c r="F304">
        <v>4</v>
      </c>
      <c r="G304" t="s">
        <v>1529</v>
      </c>
      <c r="H304" t="s">
        <v>1530</v>
      </c>
      <c r="I304" t="s">
        <v>1535</v>
      </c>
      <c r="J304" t="s">
        <v>1517</v>
      </c>
      <c r="K304" t="s">
        <v>1518</v>
      </c>
      <c r="L304" s="2">
        <v>1</v>
      </c>
      <c r="M304" s="10">
        <v>1310</v>
      </c>
      <c r="N304" s="7">
        <v>1310</v>
      </c>
    </row>
    <row r="305" spans="1:14" x14ac:dyDescent="0.3">
      <c r="A305">
        <v>1108</v>
      </c>
      <c r="B305" s="1">
        <v>44716</v>
      </c>
      <c r="C305">
        <v>2022</v>
      </c>
      <c r="D305">
        <v>6</v>
      </c>
      <c r="E305" t="str">
        <f t="shared" si="4"/>
        <v>Juni</v>
      </c>
      <c r="F305">
        <v>2</v>
      </c>
      <c r="G305" t="s">
        <v>1529</v>
      </c>
      <c r="H305" t="s">
        <v>1530</v>
      </c>
      <c r="I305" t="s">
        <v>1535</v>
      </c>
      <c r="J305" t="s">
        <v>1517</v>
      </c>
      <c r="K305" t="s">
        <v>1518</v>
      </c>
      <c r="L305" s="2">
        <v>1</v>
      </c>
      <c r="M305" s="10">
        <v>1310</v>
      </c>
      <c r="N305" s="7">
        <v>1310</v>
      </c>
    </row>
    <row r="306" spans="1:14" x14ac:dyDescent="0.3">
      <c r="A306">
        <v>1108</v>
      </c>
      <c r="B306" s="1">
        <v>45502</v>
      </c>
      <c r="C306">
        <v>2024</v>
      </c>
      <c r="D306">
        <v>7</v>
      </c>
      <c r="E306" t="str">
        <f t="shared" si="4"/>
        <v>Juli</v>
      </c>
      <c r="F306">
        <v>3</v>
      </c>
      <c r="G306" t="s">
        <v>1529</v>
      </c>
      <c r="H306" t="s">
        <v>1530</v>
      </c>
      <c r="I306" t="s">
        <v>1535</v>
      </c>
      <c r="J306" t="s">
        <v>1517</v>
      </c>
      <c r="K306" t="s">
        <v>1518</v>
      </c>
      <c r="L306" s="2">
        <v>1</v>
      </c>
      <c r="M306" s="10">
        <v>1310</v>
      </c>
      <c r="N306" s="7">
        <v>1310</v>
      </c>
    </row>
    <row r="307" spans="1:14" x14ac:dyDescent="0.3">
      <c r="A307">
        <v>1109</v>
      </c>
      <c r="B307" s="1">
        <v>45003</v>
      </c>
      <c r="C307">
        <v>2023</v>
      </c>
      <c r="D307">
        <v>3</v>
      </c>
      <c r="E307" t="str">
        <f t="shared" si="4"/>
        <v>Maret</v>
      </c>
      <c r="F307">
        <v>1</v>
      </c>
      <c r="G307" t="s">
        <v>1532</v>
      </c>
      <c r="H307" t="s">
        <v>1512</v>
      </c>
      <c r="I307" t="s">
        <v>1535</v>
      </c>
      <c r="J307" t="s">
        <v>1524</v>
      </c>
      <c r="K307" t="s">
        <v>1525</v>
      </c>
      <c r="L307" s="2">
        <v>1</v>
      </c>
      <c r="M307" s="10">
        <v>5590</v>
      </c>
      <c r="N307" s="7">
        <v>5590</v>
      </c>
    </row>
    <row r="308" spans="1:14" x14ac:dyDescent="0.3">
      <c r="A308">
        <v>1109</v>
      </c>
      <c r="B308" s="1">
        <v>45008</v>
      </c>
      <c r="C308">
        <v>2023</v>
      </c>
      <c r="D308">
        <v>3</v>
      </c>
      <c r="E308" t="str">
        <f t="shared" si="4"/>
        <v>Maret</v>
      </c>
      <c r="F308">
        <v>1</v>
      </c>
      <c r="G308" t="s">
        <v>1532</v>
      </c>
      <c r="H308" t="s">
        <v>1512</v>
      </c>
      <c r="I308" t="s">
        <v>1535</v>
      </c>
      <c r="J308" t="s">
        <v>1524</v>
      </c>
      <c r="K308" t="s">
        <v>1525</v>
      </c>
      <c r="L308" s="2">
        <v>1</v>
      </c>
      <c r="M308" s="10">
        <v>5590</v>
      </c>
      <c r="N308" s="7">
        <v>5590</v>
      </c>
    </row>
    <row r="309" spans="1:14" x14ac:dyDescent="0.3">
      <c r="A309">
        <v>1110</v>
      </c>
      <c r="B309" s="1">
        <v>45069</v>
      </c>
      <c r="C309">
        <v>2023</v>
      </c>
      <c r="D309">
        <v>5</v>
      </c>
      <c r="E309" t="str">
        <f t="shared" si="4"/>
        <v>Mei</v>
      </c>
      <c r="F309">
        <v>2</v>
      </c>
      <c r="G309" t="s">
        <v>1533</v>
      </c>
      <c r="H309" t="s">
        <v>1520</v>
      </c>
      <c r="I309" t="s">
        <v>1516</v>
      </c>
      <c r="J309" t="s">
        <v>1566</v>
      </c>
      <c r="K309" t="s">
        <v>1525</v>
      </c>
      <c r="L309" s="2">
        <v>3</v>
      </c>
      <c r="M309" s="10">
        <v>405</v>
      </c>
      <c r="N309" s="7">
        <v>1215</v>
      </c>
    </row>
    <row r="310" spans="1:14" x14ac:dyDescent="0.3">
      <c r="A310">
        <v>1110</v>
      </c>
      <c r="B310" s="1">
        <v>44954</v>
      </c>
      <c r="C310">
        <v>2023</v>
      </c>
      <c r="D310">
        <v>1</v>
      </c>
      <c r="E310" t="str">
        <f t="shared" si="4"/>
        <v>Januari</v>
      </c>
      <c r="F310">
        <v>1</v>
      </c>
      <c r="G310" t="s">
        <v>1533</v>
      </c>
      <c r="H310" t="s">
        <v>1520</v>
      </c>
      <c r="I310" t="s">
        <v>1516</v>
      </c>
      <c r="J310" t="s">
        <v>1566</v>
      </c>
      <c r="K310" t="s">
        <v>1525</v>
      </c>
      <c r="L310" s="2">
        <v>3</v>
      </c>
      <c r="M310" s="10">
        <v>405</v>
      </c>
      <c r="N310" s="7">
        <v>1215</v>
      </c>
    </row>
    <row r="311" spans="1:14" x14ac:dyDescent="0.3">
      <c r="A311">
        <v>1110</v>
      </c>
      <c r="B311" s="1">
        <v>44648</v>
      </c>
      <c r="C311">
        <v>2022</v>
      </c>
      <c r="D311">
        <v>3</v>
      </c>
      <c r="E311" t="str">
        <f t="shared" si="4"/>
        <v>Maret</v>
      </c>
      <c r="F311">
        <v>1</v>
      </c>
      <c r="G311" t="s">
        <v>1533</v>
      </c>
      <c r="H311" t="s">
        <v>1520</v>
      </c>
      <c r="I311" t="s">
        <v>1516</v>
      </c>
      <c r="J311" t="s">
        <v>1566</v>
      </c>
      <c r="K311" t="s">
        <v>1525</v>
      </c>
      <c r="L311" s="2">
        <v>3</v>
      </c>
      <c r="M311" s="10">
        <v>405</v>
      </c>
      <c r="N311" s="7">
        <v>1215</v>
      </c>
    </row>
    <row r="312" spans="1:14" x14ac:dyDescent="0.3">
      <c r="A312">
        <v>1110</v>
      </c>
      <c r="B312" s="1">
        <v>45251</v>
      </c>
      <c r="C312">
        <v>2023</v>
      </c>
      <c r="D312">
        <v>11</v>
      </c>
      <c r="E312" t="str">
        <f t="shared" si="4"/>
        <v>November</v>
      </c>
      <c r="F312">
        <v>4</v>
      </c>
      <c r="G312" t="s">
        <v>1533</v>
      </c>
      <c r="H312" t="s">
        <v>1520</v>
      </c>
      <c r="I312" t="s">
        <v>1516</v>
      </c>
      <c r="J312" t="s">
        <v>1566</v>
      </c>
      <c r="K312" t="s">
        <v>1525</v>
      </c>
      <c r="L312" s="2">
        <v>3</v>
      </c>
      <c r="M312" s="10">
        <v>405</v>
      </c>
      <c r="N312" s="7">
        <v>1215</v>
      </c>
    </row>
    <row r="313" spans="1:14" x14ac:dyDescent="0.3">
      <c r="A313">
        <v>1111</v>
      </c>
      <c r="B313" s="1">
        <v>45467</v>
      </c>
      <c r="C313">
        <v>2024</v>
      </c>
      <c r="D313">
        <v>6</v>
      </c>
      <c r="E313" t="str">
        <f t="shared" si="4"/>
        <v>Juni</v>
      </c>
      <c r="F313">
        <v>2</v>
      </c>
      <c r="G313" t="s">
        <v>1511</v>
      </c>
      <c r="H313" t="s">
        <v>1512</v>
      </c>
      <c r="I313" t="s">
        <v>1531</v>
      </c>
      <c r="J313" t="s">
        <v>1566</v>
      </c>
      <c r="K313" t="s">
        <v>1525</v>
      </c>
      <c r="L313" s="2">
        <v>1</v>
      </c>
      <c r="M313" s="10">
        <v>51984</v>
      </c>
      <c r="N313" s="7">
        <v>51984</v>
      </c>
    </row>
    <row r="314" spans="1:14" x14ac:dyDescent="0.3">
      <c r="A314">
        <v>1111</v>
      </c>
      <c r="B314" s="1">
        <v>44972</v>
      </c>
      <c r="C314">
        <v>2023</v>
      </c>
      <c r="D314">
        <v>2</v>
      </c>
      <c r="E314" t="str">
        <f t="shared" si="4"/>
        <v>Februari</v>
      </c>
      <c r="F314">
        <v>1</v>
      </c>
      <c r="G314" t="s">
        <v>1511</v>
      </c>
      <c r="H314" t="s">
        <v>1512</v>
      </c>
      <c r="I314" t="s">
        <v>1531</v>
      </c>
      <c r="J314" t="s">
        <v>1566</v>
      </c>
      <c r="K314" t="s">
        <v>1525</v>
      </c>
      <c r="L314" s="2">
        <v>1</v>
      </c>
      <c r="M314" s="10">
        <v>51984</v>
      </c>
      <c r="N314" s="7">
        <v>51984</v>
      </c>
    </row>
    <row r="315" spans="1:14" x14ac:dyDescent="0.3">
      <c r="A315">
        <v>1111</v>
      </c>
      <c r="B315" s="1">
        <v>44632</v>
      </c>
      <c r="C315">
        <v>2022</v>
      </c>
      <c r="D315">
        <v>3</v>
      </c>
      <c r="E315" t="str">
        <f t="shared" si="4"/>
        <v>Maret</v>
      </c>
      <c r="F315">
        <v>1</v>
      </c>
      <c r="G315" t="s">
        <v>1511</v>
      </c>
      <c r="H315" t="s">
        <v>1512</v>
      </c>
      <c r="I315" t="s">
        <v>1531</v>
      </c>
      <c r="J315" t="s">
        <v>1566</v>
      </c>
      <c r="K315" t="s">
        <v>1525</v>
      </c>
      <c r="L315" s="2">
        <v>1</v>
      </c>
      <c r="M315" s="10">
        <v>51984</v>
      </c>
      <c r="N315" s="7">
        <v>51984</v>
      </c>
    </row>
    <row r="316" spans="1:14" x14ac:dyDescent="0.3">
      <c r="A316">
        <v>1112</v>
      </c>
      <c r="B316" s="1">
        <v>45207</v>
      </c>
      <c r="C316">
        <v>2023</v>
      </c>
      <c r="D316">
        <v>10</v>
      </c>
      <c r="E316" t="str">
        <f t="shared" si="4"/>
        <v>Oktober</v>
      </c>
      <c r="F316">
        <v>4</v>
      </c>
      <c r="G316" t="s">
        <v>1515</v>
      </c>
      <c r="H316" t="s">
        <v>1512</v>
      </c>
      <c r="I316" t="s">
        <v>1513</v>
      </c>
      <c r="J316" t="s">
        <v>1524</v>
      </c>
      <c r="K316" t="s">
        <v>1525</v>
      </c>
      <c r="L316" s="2">
        <v>3</v>
      </c>
      <c r="M316" s="10">
        <v>2766</v>
      </c>
      <c r="N316" s="7">
        <v>8298</v>
      </c>
    </row>
    <row r="317" spans="1:14" x14ac:dyDescent="0.3">
      <c r="A317">
        <v>1113</v>
      </c>
      <c r="B317" s="1">
        <v>44932</v>
      </c>
      <c r="C317">
        <v>2023</v>
      </c>
      <c r="D317">
        <v>1</v>
      </c>
      <c r="E317" t="str">
        <f t="shared" si="4"/>
        <v>Januari</v>
      </c>
      <c r="F317">
        <v>1</v>
      </c>
      <c r="G317" t="s">
        <v>1534</v>
      </c>
      <c r="H317" t="s">
        <v>1530</v>
      </c>
      <c r="I317" t="s">
        <v>1535</v>
      </c>
      <c r="J317" t="s">
        <v>1566</v>
      </c>
      <c r="K317" t="s">
        <v>1518</v>
      </c>
      <c r="L317" s="2">
        <v>3</v>
      </c>
      <c r="M317" s="10">
        <v>2625</v>
      </c>
      <c r="N317" s="7">
        <v>7875</v>
      </c>
    </row>
    <row r="318" spans="1:14" x14ac:dyDescent="0.3">
      <c r="A318">
        <v>1113</v>
      </c>
      <c r="B318" s="1">
        <v>44660</v>
      </c>
      <c r="C318">
        <v>2022</v>
      </c>
      <c r="D318">
        <v>4</v>
      </c>
      <c r="E318" t="str">
        <f t="shared" si="4"/>
        <v>April</v>
      </c>
      <c r="F318">
        <v>2</v>
      </c>
      <c r="G318" t="s">
        <v>1534</v>
      </c>
      <c r="H318" t="s">
        <v>1530</v>
      </c>
      <c r="I318" t="s">
        <v>1535</v>
      </c>
      <c r="J318" t="s">
        <v>1566</v>
      </c>
      <c r="K318" t="s">
        <v>1518</v>
      </c>
      <c r="L318" s="2">
        <v>3</v>
      </c>
      <c r="M318" s="10">
        <v>2625</v>
      </c>
      <c r="N318" s="7">
        <v>7875</v>
      </c>
    </row>
    <row r="319" spans="1:14" x14ac:dyDescent="0.3">
      <c r="A319">
        <v>1113</v>
      </c>
      <c r="B319" s="1">
        <v>45512</v>
      </c>
      <c r="C319">
        <v>2024</v>
      </c>
      <c r="D319">
        <v>8</v>
      </c>
      <c r="E319" t="str">
        <f t="shared" si="4"/>
        <v>Agustus</v>
      </c>
      <c r="F319">
        <v>3</v>
      </c>
      <c r="G319" t="s">
        <v>1534</v>
      </c>
      <c r="H319" t="s">
        <v>1530</v>
      </c>
      <c r="I319" t="s">
        <v>1535</v>
      </c>
      <c r="J319" t="s">
        <v>1566</v>
      </c>
      <c r="K319" t="s">
        <v>1518</v>
      </c>
      <c r="L319" s="2">
        <v>3</v>
      </c>
      <c r="M319" s="10">
        <v>2625</v>
      </c>
      <c r="N319" s="7">
        <v>7875</v>
      </c>
    </row>
    <row r="320" spans="1:14" x14ac:dyDescent="0.3">
      <c r="A320">
        <v>1114</v>
      </c>
      <c r="B320" s="1">
        <v>45106</v>
      </c>
      <c r="C320">
        <v>2023</v>
      </c>
      <c r="D320">
        <v>6</v>
      </c>
      <c r="E320" t="str">
        <f t="shared" si="4"/>
        <v>Juni</v>
      </c>
      <c r="F320">
        <v>2</v>
      </c>
      <c r="G320" t="s">
        <v>1519</v>
      </c>
      <c r="H320" t="s">
        <v>1520</v>
      </c>
      <c r="I320" t="s">
        <v>1521</v>
      </c>
      <c r="J320" t="s">
        <v>1524</v>
      </c>
      <c r="K320" t="s">
        <v>1518</v>
      </c>
      <c r="L320" s="2">
        <v>2</v>
      </c>
      <c r="M320" s="10">
        <v>2573</v>
      </c>
      <c r="N320" s="7">
        <v>5146</v>
      </c>
    </row>
    <row r="321" spans="1:14" x14ac:dyDescent="0.3">
      <c r="A321">
        <v>1114</v>
      </c>
      <c r="B321" s="1">
        <v>44912</v>
      </c>
      <c r="C321">
        <v>2022</v>
      </c>
      <c r="D321">
        <v>12</v>
      </c>
      <c r="E321" t="str">
        <f t="shared" si="4"/>
        <v>Desember</v>
      </c>
      <c r="F321">
        <v>4</v>
      </c>
      <c r="G321" t="s">
        <v>1519</v>
      </c>
      <c r="H321" t="s">
        <v>1520</v>
      </c>
      <c r="I321" t="s">
        <v>1521</v>
      </c>
      <c r="J321" t="s">
        <v>1524</v>
      </c>
      <c r="K321" t="s">
        <v>1518</v>
      </c>
      <c r="L321" s="2">
        <v>2</v>
      </c>
      <c r="M321" s="10">
        <v>2573</v>
      </c>
      <c r="N321" s="7">
        <v>5146</v>
      </c>
    </row>
    <row r="322" spans="1:14" x14ac:dyDescent="0.3">
      <c r="A322">
        <v>1114</v>
      </c>
      <c r="B322" s="1">
        <v>45094</v>
      </c>
      <c r="C322">
        <v>2023</v>
      </c>
      <c r="D322">
        <v>6</v>
      </c>
      <c r="E322" t="str">
        <f t="shared" si="4"/>
        <v>Juni</v>
      </c>
      <c r="F322">
        <v>2</v>
      </c>
      <c r="G322" t="s">
        <v>1519</v>
      </c>
      <c r="H322" t="s">
        <v>1520</v>
      </c>
      <c r="I322" t="s">
        <v>1521</v>
      </c>
      <c r="J322" t="s">
        <v>1524</v>
      </c>
      <c r="K322" t="s">
        <v>1518</v>
      </c>
      <c r="L322" s="2">
        <v>2</v>
      </c>
      <c r="M322" s="10">
        <v>2573</v>
      </c>
      <c r="N322" s="7">
        <v>5146</v>
      </c>
    </row>
    <row r="323" spans="1:14" x14ac:dyDescent="0.3">
      <c r="A323">
        <v>1114</v>
      </c>
      <c r="B323" s="1">
        <v>44707</v>
      </c>
      <c r="C323">
        <v>2022</v>
      </c>
      <c r="D323">
        <v>5</v>
      </c>
      <c r="E323" t="str">
        <f t="shared" ref="E323:E386" si="5">TEXT(DATE(2026, D323, 1), "[$-id-ID]mmmm")</f>
        <v>Mei</v>
      </c>
      <c r="F323">
        <v>2</v>
      </c>
      <c r="G323" t="s">
        <v>1519</v>
      </c>
      <c r="H323" t="s">
        <v>1520</v>
      </c>
      <c r="I323" t="s">
        <v>1521</v>
      </c>
      <c r="J323" t="s">
        <v>1524</v>
      </c>
      <c r="K323" t="s">
        <v>1518</v>
      </c>
      <c r="L323" s="2">
        <v>2</v>
      </c>
      <c r="M323" s="10">
        <v>2573</v>
      </c>
      <c r="N323" s="7">
        <v>5146</v>
      </c>
    </row>
    <row r="324" spans="1:14" x14ac:dyDescent="0.3">
      <c r="A324">
        <v>1115</v>
      </c>
      <c r="B324" s="1">
        <v>45596</v>
      </c>
      <c r="C324">
        <v>2024</v>
      </c>
      <c r="D324">
        <v>10</v>
      </c>
      <c r="E324" t="str">
        <f t="shared" si="5"/>
        <v>Oktober</v>
      </c>
      <c r="F324">
        <v>4</v>
      </c>
      <c r="G324" t="s">
        <v>1522</v>
      </c>
      <c r="H324" t="s">
        <v>1520</v>
      </c>
      <c r="I324" t="s">
        <v>1516</v>
      </c>
      <c r="J324" t="s">
        <v>1566</v>
      </c>
      <c r="K324" t="s">
        <v>1525</v>
      </c>
      <c r="L324" s="2">
        <v>2</v>
      </c>
      <c r="M324" s="10">
        <v>798</v>
      </c>
      <c r="N324" s="7">
        <v>1596</v>
      </c>
    </row>
    <row r="325" spans="1:14" x14ac:dyDescent="0.3">
      <c r="A325">
        <v>1116</v>
      </c>
      <c r="B325" s="1">
        <v>45214</v>
      </c>
      <c r="C325">
        <v>2023</v>
      </c>
      <c r="D325">
        <v>10</v>
      </c>
      <c r="E325" t="str">
        <f t="shared" si="5"/>
        <v>Oktober</v>
      </c>
      <c r="F325">
        <v>4</v>
      </c>
      <c r="G325" t="s">
        <v>1523</v>
      </c>
      <c r="H325" t="s">
        <v>1512</v>
      </c>
      <c r="I325" t="s">
        <v>1535</v>
      </c>
      <c r="J325" t="s">
        <v>1566</v>
      </c>
      <c r="K325" t="s">
        <v>1514</v>
      </c>
      <c r="L325" s="2">
        <v>2</v>
      </c>
      <c r="M325" s="10">
        <v>31517</v>
      </c>
      <c r="N325" s="7">
        <v>63034</v>
      </c>
    </row>
    <row r="326" spans="1:14" x14ac:dyDescent="0.3">
      <c r="A326">
        <v>1117</v>
      </c>
      <c r="B326" s="1">
        <v>44616</v>
      </c>
      <c r="C326">
        <v>2022</v>
      </c>
      <c r="D326">
        <v>2</v>
      </c>
      <c r="E326" t="str">
        <f t="shared" si="5"/>
        <v>Februari</v>
      </c>
      <c r="F326">
        <v>1</v>
      </c>
      <c r="G326" t="s">
        <v>1526</v>
      </c>
      <c r="H326" t="s">
        <v>1527</v>
      </c>
      <c r="I326" t="s">
        <v>1513</v>
      </c>
      <c r="J326" t="s">
        <v>1524</v>
      </c>
      <c r="K326" t="s">
        <v>1518</v>
      </c>
      <c r="L326" s="2">
        <v>1</v>
      </c>
      <c r="M326" s="10">
        <v>343</v>
      </c>
      <c r="N326" s="7">
        <v>343</v>
      </c>
    </row>
    <row r="327" spans="1:14" x14ac:dyDescent="0.3">
      <c r="A327">
        <v>1117</v>
      </c>
      <c r="B327" s="1">
        <v>44668</v>
      </c>
      <c r="C327">
        <v>2022</v>
      </c>
      <c r="D327">
        <v>4</v>
      </c>
      <c r="E327" t="str">
        <f t="shared" si="5"/>
        <v>April</v>
      </c>
      <c r="F327">
        <v>2</v>
      </c>
      <c r="G327" t="s">
        <v>1526</v>
      </c>
      <c r="H327" t="s">
        <v>1527</v>
      </c>
      <c r="I327" t="s">
        <v>1513</v>
      </c>
      <c r="J327" t="s">
        <v>1524</v>
      </c>
      <c r="K327" t="s">
        <v>1518</v>
      </c>
      <c r="L327" s="2">
        <v>1</v>
      </c>
      <c r="M327" s="10">
        <v>343</v>
      </c>
      <c r="N327" s="7">
        <v>343</v>
      </c>
    </row>
    <row r="328" spans="1:14" x14ac:dyDescent="0.3">
      <c r="A328">
        <v>1117</v>
      </c>
      <c r="B328" s="1">
        <v>44642</v>
      </c>
      <c r="C328">
        <v>2022</v>
      </c>
      <c r="D328">
        <v>3</v>
      </c>
      <c r="E328" t="str">
        <f t="shared" si="5"/>
        <v>Maret</v>
      </c>
      <c r="F328">
        <v>1</v>
      </c>
      <c r="G328" t="s">
        <v>1526</v>
      </c>
      <c r="H328" t="s">
        <v>1527</v>
      </c>
      <c r="I328" t="s">
        <v>1513</v>
      </c>
      <c r="J328" t="s">
        <v>1524</v>
      </c>
      <c r="K328" t="s">
        <v>1518</v>
      </c>
      <c r="L328" s="2">
        <v>1</v>
      </c>
      <c r="M328" s="10">
        <v>343</v>
      </c>
      <c r="N328" s="7">
        <v>343</v>
      </c>
    </row>
    <row r="329" spans="1:14" x14ac:dyDescent="0.3">
      <c r="A329">
        <v>1118</v>
      </c>
      <c r="B329" s="1">
        <v>44682</v>
      </c>
      <c r="C329">
        <v>2022</v>
      </c>
      <c r="D329">
        <v>5</v>
      </c>
      <c r="E329" t="str">
        <f t="shared" si="5"/>
        <v>Mei</v>
      </c>
      <c r="F329">
        <v>2</v>
      </c>
      <c r="G329" t="s">
        <v>1529</v>
      </c>
      <c r="H329" t="s">
        <v>1530</v>
      </c>
      <c r="I329" t="s">
        <v>1513</v>
      </c>
      <c r="J329" t="s">
        <v>1524</v>
      </c>
      <c r="K329" t="s">
        <v>1525</v>
      </c>
      <c r="L329" s="2">
        <v>3</v>
      </c>
      <c r="M329" s="10">
        <v>1021</v>
      </c>
      <c r="N329" s="7">
        <v>3063</v>
      </c>
    </row>
    <row r="330" spans="1:14" x14ac:dyDescent="0.3">
      <c r="A330">
        <v>1119</v>
      </c>
      <c r="B330" s="1">
        <v>45142</v>
      </c>
      <c r="C330">
        <v>2023</v>
      </c>
      <c r="D330">
        <v>8</v>
      </c>
      <c r="E330" t="str">
        <f t="shared" si="5"/>
        <v>Agustus</v>
      </c>
      <c r="F330">
        <v>3</v>
      </c>
      <c r="G330" t="s">
        <v>1532</v>
      </c>
      <c r="H330" t="s">
        <v>1512</v>
      </c>
      <c r="I330" t="s">
        <v>1535</v>
      </c>
      <c r="J330" t="s">
        <v>1566</v>
      </c>
      <c r="K330" t="s">
        <v>1514</v>
      </c>
      <c r="L330" s="2">
        <v>1</v>
      </c>
      <c r="M330" s="10">
        <v>8543</v>
      </c>
      <c r="N330" s="7">
        <v>8543</v>
      </c>
    </row>
    <row r="331" spans="1:14" x14ac:dyDescent="0.3">
      <c r="A331">
        <v>1119</v>
      </c>
      <c r="B331" s="1">
        <v>45404</v>
      </c>
      <c r="C331">
        <v>2024</v>
      </c>
      <c r="D331">
        <v>4</v>
      </c>
      <c r="E331" t="str">
        <f t="shared" si="5"/>
        <v>April</v>
      </c>
      <c r="F331">
        <v>2</v>
      </c>
      <c r="G331" t="s">
        <v>1532</v>
      </c>
      <c r="H331" t="s">
        <v>1512</v>
      </c>
      <c r="I331" t="s">
        <v>1535</v>
      </c>
      <c r="J331" t="s">
        <v>1566</v>
      </c>
      <c r="K331" t="s">
        <v>1514</v>
      </c>
      <c r="L331" s="2">
        <v>1</v>
      </c>
      <c r="M331" s="10">
        <v>8543</v>
      </c>
      <c r="N331" s="7">
        <v>8543</v>
      </c>
    </row>
    <row r="332" spans="1:14" x14ac:dyDescent="0.3">
      <c r="A332">
        <v>1119</v>
      </c>
      <c r="B332" s="1">
        <v>45220</v>
      </c>
      <c r="C332">
        <v>2023</v>
      </c>
      <c r="D332">
        <v>10</v>
      </c>
      <c r="E332" t="str">
        <f t="shared" si="5"/>
        <v>Oktober</v>
      </c>
      <c r="F332">
        <v>4</v>
      </c>
      <c r="G332" t="s">
        <v>1532</v>
      </c>
      <c r="H332" t="s">
        <v>1512</v>
      </c>
      <c r="I332" t="s">
        <v>1535</v>
      </c>
      <c r="J332" t="s">
        <v>1566</v>
      </c>
      <c r="K332" t="s">
        <v>1514</v>
      </c>
      <c r="L332" s="2">
        <v>1</v>
      </c>
      <c r="M332" s="10">
        <v>8543</v>
      </c>
      <c r="N332" s="7">
        <v>8543</v>
      </c>
    </row>
    <row r="333" spans="1:14" x14ac:dyDescent="0.3">
      <c r="A333">
        <v>1119</v>
      </c>
      <c r="B333" s="1">
        <v>44716</v>
      </c>
      <c r="C333">
        <v>2022</v>
      </c>
      <c r="D333">
        <v>6</v>
      </c>
      <c r="E333" t="str">
        <f t="shared" si="5"/>
        <v>Juni</v>
      </c>
      <c r="F333">
        <v>2</v>
      </c>
      <c r="G333" t="s">
        <v>1532</v>
      </c>
      <c r="H333" t="s">
        <v>1512</v>
      </c>
      <c r="I333" t="s">
        <v>1535</v>
      </c>
      <c r="J333" t="s">
        <v>1566</v>
      </c>
      <c r="K333" t="s">
        <v>1514</v>
      </c>
      <c r="L333" s="2">
        <v>1</v>
      </c>
      <c r="M333" s="10">
        <v>8543</v>
      </c>
      <c r="N333" s="7">
        <v>8543</v>
      </c>
    </row>
    <row r="334" spans="1:14" x14ac:dyDescent="0.3">
      <c r="A334">
        <v>1121</v>
      </c>
      <c r="B334" s="1">
        <v>44641</v>
      </c>
      <c r="C334">
        <v>2022</v>
      </c>
      <c r="D334">
        <v>3</v>
      </c>
      <c r="E334" t="str">
        <f t="shared" si="5"/>
        <v>Maret</v>
      </c>
      <c r="F334">
        <v>1</v>
      </c>
      <c r="G334" t="s">
        <v>1511</v>
      </c>
      <c r="H334" t="s">
        <v>1512</v>
      </c>
      <c r="I334" t="s">
        <v>1516</v>
      </c>
      <c r="J334" t="s">
        <v>1566</v>
      </c>
      <c r="K334" t="s">
        <v>1525</v>
      </c>
      <c r="L334" s="2">
        <v>1</v>
      </c>
      <c r="M334" s="10">
        <v>51840</v>
      </c>
      <c r="N334" s="7">
        <v>51840</v>
      </c>
    </row>
    <row r="335" spans="1:14" x14ac:dyDescent="0.3">
      <c r="A335">
        <v>1121</v>
      </c>
      <c r="B335" s="1">
        <v>45612</v>
      </c>
      <c r="C335">
        <v>2024</v>
      </c>
      <c r="D335">
        <v>11</v>
      </c>
      <c r="E335" t="str">
        <f t="shared" si="5"/>
        <v>November</v>
      </c>
      <c r="F335">
        <v>4</v>
      </c>
      <c r="G335" t="s">
        <v>1511</v>
      </c>
      <c r="H335" t="s">
        <v>1512</v>
      </c>
      <c r="I335" t="s">
        <v>1516</v>
      </c>
      <c r="J335" t="s">
        <v>1566</v>
      </c>
      <c r="K335" t="s">
        <v>1525</v>
      </c>
      <c r="L335" s="2">
        <v>1</v>
      </c>
      <c r="M335" s="10">
        <v>51840</v>
      </c>
      <c r="N335" s="7">
        <v>51840</v>
      </c>
    </row>
    <row r="336" spans="1:14" x14ac:dyDescent="0.3">
      <c r="A336">
        <v>1122</v>
      </c>
      <c r="B336" s="1">
        <v>44928</v>
      </c>
      <c r="C336">
        <v>2023</v>
      </c>
      <c r="D336">
        <v>1</v>
      </c>
      <c r="E336" t="str">
        <f t="shared" si="5"/>
        <v>Januari</v>
      </c>
      <c r="F336">
        <v>1</v>
      </c>
      <c r="G336" t="s">
        <v>1515</v>
      </c>
      <c r="H336" t="s">
        <v>1512</v>
      </c>
      <c r="I336" t="s">
        <v>1513</v>
      </c>
      <c r="J336" t="s">
        <v>1566</v>
      </c>
      <c r="K336" t="s">
        <v>1525</v>
      </c>
      <c r="L336" s="2">
        <v>2</v>
      </c>
      <c r="M336" s="10">
        <v>4435</v>
      </c>
      <c r="N336" s="7">
        <v>8870</v>
      </c>
    </row>
    <row r="337" spans="1:14" x14ac:dyDescent="0.3">
      <c r="A337">
        <v>1122</v>
      </c>
      <c r="B337" s="1">
        <v>45309</v>
      </c>
      <c r="C337">
        <v>2024</v>
      </c>
      <c r="D337">
        <v>1</v>
      </c>
      <c r="E337" t="str">
        <f t="shared" si="5"/>
        <v>Januari</v>
      </c>
      <c r="F337">
        <v>1</v>
      </c>
      <c r="G337" t="s">
        <v>1515</v>
      </c>
      <c r="H337" t="s">
        <v>1512</v>
      </c>
      <c r="I337" t="s">
        <v>1513</v>
      </c>
      <c r="J337" t="s">
        <v>1566</v>
      </c>
      <c r="K337" t="s">
        <v>1525</v>
      </c>
      <c r="L337" s="2">
        <v>2</v>
      </c>
      <c r="M337" s="10">
        <v>4435</v>
      </c>
      <c r="N337" s="7">
        <v>8870</v>
      </c>
    </row>
    <row r="338" spans="1:14" x14ac:dyDescent="0.3">
      <c r="A338">
        <v>1122</v>
      </c>
      <c r="B338" s="1">
        <v>44671</v>
      </c>
      <c r="C338">
        <v>2022</v>
      </c>
      <c r="D338">
        <v>4</v>
      </c>
      <c r="E338" t="str">
        <f t="shared" si="5"/>
        <v>April</v>
      </c>
      <c r="F338">
        <v>2</v>
      </c>
      <c r="G338" t="s">
        <v>1515</v>
      </c>
      <c r="H338" t="s">
        <v>1512</v>
      </c>
      <c r="I338" t="s">
        <v>1513</v>
      </c>
      <c r="J338" t="s">
        <v>1566</v>
      </c>
      <c r="K338" t="s">
        <v>1525</v>
      </c>
      <c r="L338" s="2">
        <v>2</v>
      </c>
      <c r="M338" s="10">
        <v>4435</v>
      </c>
      <c r="N338" s="7">
        <v>8870</v>
      </c>
    </row>
    <row r="339" spans="1:14" x14ac:dyDescent="0.3">
      <c r="A339">
        <v>1122</v>
      </c>
      <c r="B339" s="1">
        <v>44697</v>
      </c>
      <c r="C339">
        <v>2022</v>
      </c>
      <c r="D339">
        <v>5</v>
      </c>
      <c r="E339" t="str">
        <f t="shared" si="5"/>
        <v>Mei</v>
      </c>
      <c r="F339">
        <v>2</v>
      </c>
      <c r="G339" t="s">
        <v>1515</v>
      </c>
      <c r="H339" t="s">
        <v>1512</v>
      </c>
      <c r="I339" t="s">
        <v>1513</v>
      </c>
      <c r="J339" t="s">
        <v>1566</v>
      </c>
      <c r="K339" t="s">
        <v>1525</v>
      </c>
      <c r="L339" s="2">
        <v>2</v>
      </c>
      <c r="M339" s="10">
        <v>4435</v>
      </c>
      <c r="N339" s="7">
        <v>8870</v>
      </c>
    </row>
    <row r="340" spans="1:14" x14ac:dyDescent="0.3">
      <c r="A340">
        <v>1122</v>
      </c>
      <c r="B340" s="1">
        <v>45207</v>
      </c>
      <c r="C340">
        <v>2023</v>
      </c>
      <c r="D340">
        <v>10</v>
      </c>
      <c r="E340" t="str">
        <f t="shared" si="5"/>
        <v>Oktober</v>
      </c>
      <c r="F340">
        <v>4</v>
      </c>
      <c r="G340" t="s">
        <v>1515</v>
      </c>
      <c r="H340" t="s">
        <v>1512</v>
      </c>
      <c r="I340" t="s">
        <v>1513</v>
      </c>
      <c r="J340" t="s">
        <v>1566</v>
      </c>
      <c r="K340" t="s">
        <v>1525</v>
      </c>
      <c r="L340" s="2">
        <v>2</v>
      </c>
      <c r="M340" s="10">
        <v>4435</v>
      </c>
      <c r="N340" s="7">
        <v>8870</v>
      </c>
    </row>
    <row r="341" spans="1:14" x14ac:dyDescent="0.3">
      <c r="A341">
        <v>1123</v>
      </c>
      <c r="B341" s="1">
        <v>45214</v>
      </c>
      <c r="C341">
        <v>2023</v>
      </c>
      <c r="D341">
        <v>10</v>
      </c>
      <c r="E341" t="str">
        <f t="shared" si="5"/>
        <v>Oktober</v>
      </c>
      <c r="F341">
        <v>4</v>
      </c>
      <c r="G341" t="s">
        <v>1534</v>
      </c>
      <c r="H341" t="s">
        <v>1530</v>
      </c>
      <c r="I341" t="s">
        <v>1513</v>
      </c>
      <c r="J341" t="s">
        <v>1566</v>
      </c>
      <c r="K341" t="s">
        <v>1514</v>
      </c>
      <c r="L341" s="2">
        <v>3</v>
      </c>
      <c r="M341" s="10">
        <v>2138</v>
      </c>
      <c r="N341" s="7">
        <v>6414</v>
      </c>
    </row>
    <row r="342" spans="1:14" x14ac:dyDescent="0.3">
      <c r="A342">
        <v>1123</v>
      </c>
      <c r="B342" s="1">
        <v>44870</v>
      </c>
      <c r="C342">
        <v>2022</v>
      </c>
      <c r="D342">
        <v>11</v>
      </c>
      <c r="E342" t="str">
        <f t="shared" si="5"/>
        <v>November</v>
      </c>
      <c r="F342">
        <v>4</v>
      </c>
      <c r="G342" t="s">
        <v>1534</v>
      </c>
      <c r="H342" t="s">
        <v>1530</v>
      </c>
      <c r="I342" t="s">
        <v>1513</v>
      </c>
      <c r="J342" t="s">
        <v>1566</v>
      </c>
      <c r="K342" t="s">
        <v>1514</v>
      </c>
      <c r="L342" s="2">
        <v>3</v>
      </c>
      <c r="M342" s="10">
        <v>2138</v>
      </c>
      <c r="N342" s="7">
        <v>6414</v>
      </c>
    </row>
    <row r="343" spans="1:14" x14ac:dyDescent="0.3">
      <c r="A343">
        <v>1124</v>
      </c>
      <c r="B343" s="1">
        <v>45121</v>
      </c>
      <c r="C343">
        <v>2023</v>
      </c>
      <c r="D343">
        <v>7</v>
      </c>
      <c r="E343" t="str">
        <f t="shared" si="5"/>
        <v>Juli</v>
      </c>
      <c r="F343">
        <v>3</v>
      </c>
      <c r="G343" t="s">
        <v>1519</v>
      </c>
      <c r="H343" t="s">
        <v>1520</v>
      </c>
      <c r="I343" t="s">
        <v>1528</v>
      </c>
      <c r="J343" t="s">
        <v>1566</v>
      </c>
      <c r="K343" t="s">
        <v>1514</v>
      </c>
      <c r="L343" s="2">
        <v>5</v>
      </c>
      <c r="M343" s="10">
        <v>5434</v>
      </c>
      <c r="N343" s="7">
        <v>27170</v>
      </c>
    </row>
    <row r="344" spans="1:14" x14ac:dyDescent="0.3">
      <c r="A344">
        <v>1124</v>
      </c>
      <c r="B344" s="1">
        <v>45261</v>
      </c>
      <c r="C344">
        <v>2023</v>
      </c>
      <c r="D344">
        <v>12</v>
      </c>
      <c r="E344" t="str">
        <f t="shared" si="5"/>
        <v>Desember</v>
      </c>
      <c r="F344">
        <v>4</v>
      </c>
      <c r="G344" t="s">
        <v>1519</v>
      </c>
      <c r="H344" t="s">
        <v>1520</v>
      </c>
      <c r="I344" t="s">
        <v>1528</v>
      </c>
      <c r="J344" t="s">
        <v>1566</v>
      </c>
      <c r="K344" t="s">
        <v>1514</v>
      </c>
      <c r="L344" s="2">
        <v>5</v>
      </c>
      <c r="M344" s="10">
        <v>5434</v>
      </c>
      <c r="N344" s="7">
        <v>27170</v>
      </c>
    </row>
    <row r="345" spans="1:14" x14ac:dyDescent="0.3">
      <c r="A345">
        <v>1125</v>
      </c>
      <c r="B345" s="1">
        <v>45264</v>
      </c>
      <c r="C345">
        <v>2023</v>
      </c>
      <c r="D345">
        <v>12</v>
      </c>
      <c r="E345" t="str">
        <f t="shared" si="5"/>
        <v>Desember</v>
      </c>
      <c r="F345">
        <v>4</v>
      </c>
      <c r="G345" t="s">
        <v>1522</v>
      </c>
      <c r="H345" t="s">
        <v>1520</v>
      </c>
      <c r="I345" t="s">
        <v>1513</v>
      </c>
      <c r="J345" t="s">
        <v>1566</v>
      </c>
      <c r="K345" t="s">
        <v>1518</v>
      </c>
      <c r="L345" s="2">
        <v>1</v>
      </c>
      <c r="M345" s="10">
        <v>961</v>
      </c>
      <c r="N345" s="7">
        <v>961</v>
      </c>
    </row>
    <row r="346" spans="1:14" x14ac:dyDescent="0.3">
      <c r="A346">
        <v>1125</v>
      </c>
      <c r="B346" s="1">
        <v>44749</v>
      </c>
      <c r="C346">
        <v>2022</v>
      </c>
      <c r="D346">
        <v>7</v>
      </c>
      <c r="E346" t="str">
        <f t="shared" si="5"/>
        <v>Juli</v>
      </c>
      <c r="F346">
        <v>3</v>
      </c>
      <c r="G346" t="s">
        <v>1522</v>
      </c>
      <c r="H346" t="s">
        <v>1520</v>
      </c>
      <c r="I346" t="s">
        <v>1513</v>
      </c>
      <c r="J346" t="s">
        <v>1566</v>
      </c>
      <c r="K346" t="s">
        <v>1518</v>
      </c>
      <c r="L346" s="2">
        <v>1</v>
      </c>
      <c r="M346" s="10">
        <v>961</v>
      </c>
      <c r="N346" s="7">
        <v>961</v>
      </c>
    </row>
    <row r="347" spans="1:14" x14ac:dyDescent="0.3">
      <c r="A347">
        <v>1125</v>
      </c>
      <c r="B347" s="1">
        <v>45160</v>
      </c>
      <c r="C347">
        <v>2023</v>
      </c>
      <c r="D347">
        <v>8</v>
      </c>
      <c r="E347" t="str">
        <f t="shared" si="5"/>
        <v>Agustus</v>
      </c>
      <c r="F347">
        <v>3</v>
      </c>
      <c r="G347" t="s">
        <v>1522</v>
      </c>
      <c r="H347" t="s">
        <v>1520</v>
      </c>
      <c r="I347" t="s">
        <v>1513</v>
      </c>
      <c r="J347" t="s">
        <v>1566</v>
      </c>
      <c r="K347" t="s">
        <v>1518</v>
      </c>
      <c r="L347" s="2">
        <v>1</v>
      </c>
      <c r="M347" s="10">
        <v>961</v>
      </c>
      <c r="N347" s="7">
        <v>961</v>
      </c>
    </row>
    <row r="348" spans="1:14" x14ac:dyDescent="0.3">
      <c r="A348">
        <v>1125</v>
      </c>
      <c r="B348" s="1">
        <v>44819</v>
      </c>
      <c r="C348">
        <v>2022</v>
      </c>
      <c r="D348">
        <v>9</v>
      </c>
      <c r="E348" t="str">
        <f t="shared" si="5"/>
        <v>September</v>
      </c>
      <c r="F348">
        <v>3</v>
      </c>
      <c r="G348" t="s">
        <v>1522</v>
      </c>
      <c r="H348" t="s">
        <v>1520</v>
      </c>
      <c r="I348" t="s">
        <v>1513</v>
      </c>
      <c r="J348" t="s">
        <v>1566</v>
      </c>
      <c r="K348" t="s">
        <v>1518</v>
      </c>
      <c r="L348" s="2">
        <v>1</v>
      </c>
      <c r="M348" s="10">
        <v>961</v>
      </c>
      <c r="N348" s="7">
        <v>961</v>
      </c>
    </row>
    <row r="349" spans="1:14" x14ac:dyDescent="0.3">
      <c r="A349">
        <v>1126</v>
      </c>
      <c r="B349" s="1">
        <v>44831</v>
      </c>
      <c r="C349">
        <v>2022</v>
      </c>
      <c r="D349">
        <v>9</v>
      </c>
      <c r="E349" t="str">
        <f t="shared" si="5"/>
        <v>September</v>
      </c>
      <c r="F349">
        <v>3</v>
      </c>
      <c r="G349" t="s">
        <v>1523</v>
      </c>
      <c r="H349" t="s">
        <v>1512</v>
      </c>
      <c r="I349" t="s">
        <v>1521</v>
      </c>
      <c r="J349" t="s">
        <v>1517</v>
      </c>
      <c r="K349" t="s">
        <v>1514</v>
      </c>
      <c r="L349" s="2">
        <v>2</v>
      </c>
      <c r="M349" s="10">
        <v>28891</v>
      </c>
      <c r="N349" s="7">
        <v>57782</v>
      </c>
    </row>
    <row r="350" spans="1:14" x14ac:dyDescent="0.3">
      <c r="A350">
        <v>1126</v>
      </c>
      <c r="B350" s="1">
        <v>45118</v>
      </c>
      <c r="C350">
        <v>2023</v>
      </c>
      <c r="D350">
        <v>7</v>
      </c>
      <c r="E350" t="str">
        <f t="shared" si="5"/>
        <v>Juli</v>
      </c>
      <c r="F350">
        <v>3</v>
      </c>
      <c r="G350" t="s">
        <v>1523</v>
      </c>
      <c r="H350" t="s">
        <v>1512</v>
      </c>
      <c r="I350" t="s">
        <v>1521</v>
      </c>
      <c r="J350" t="s">
        <v>1517</v>
      </c>
      <c r="K350" t="s">
        <v>1514</v>
      </c>
      <c r="L350" s="2">
        <v>2</v>
      </c>
      <c r="M350" s="10">
        <v>28891</v>
      </c>
      <c r="N350" s="7">
        <v>57782</v>
      </c>
    </row>
    <row r="351" spans="1:14" x14ac:dyDescent="0.3">
      <c r="A351">
        <v>1126</v>
      </c>
      <c r="B351" s="1">
        <v>45439</v>
      </c>
      <c r="C351">
        <v>2024</v>
      </c>
      <c r="D351">
        <v>5</v>
      </c>
      <c r="E351" t="str">
        <f t="shared" si="5"/>
        <v>Mei</v>
      </c>
      <c r="F351">
        <v>2</v>
      </c>
      <c r="G351" t="s">
        <v>1523</v>
      </c>
      <c r="H351" t="s">
        <v>1512</v>
      </c>
      <c r="I351" t="s">
        <v>1521</v>
      </c>
      <c r="J351" t="s">
        <v>1517</v>
      </c>
      <c r="K351" t="s">
        <v>1514</v>
      </c>
      <c r="L351" s="2">
        <v>2</v>
      </c>
      <c r="M351" s="10">
        <v>28891</v>
      </c>
      <c r="N351" s="7">
        <v>57782</v>
      </c>
    </row>
    <row r="352" spans="1:14" x14ac:dyDescent="0.3">
      <c r="A352">
        <v>1126</v>
      </c>
      <c r="B352" s="1">
        <v>44614</v>
      </c>
      <c r="C352">
        <v>2022</v>
      </c>
      <c r="D352">
        <v>2</v>
      </c>
      <c r="E352" t="str">
        <f t="shared" si="5"/>
        <v>Februari</v>
      </c>
      <c r="F352">
        <v>1</v>
      </c>
      <c r="G352" t="s">
        <v>1523</v>
      </c>
      <c r="H352" t="s">
        <v>1512</v>
      </c>
      <c r="I352" t="s">
        <v>1521</v>
      </c>
      <c r="J352" t="s">
        <v>1517</v>
      </c>
      <c r="K352" t="s">
        <v>1514</v>
      </c>
      <c r="L352" s="2">
        <v>2</v>
      </c>
      <c r="M352" s="10">
        <v>28891</v>
      </c>
      <c r="N352" s="7">
        <v>57782</v>
      </c>
    </row>
    <row r="353" spans="1:14" x14ac:dyDescent="0.3">
      <c r="A353">
        <v>1127</v>
      </c>
      <c r="B353" s="1">
        <v>45284</v>
      </c>
      <c r="C353">
        <v>2023</v>
      </c>
      <c r="D353">
        <v>12</v>
      </c>
      <c r="E353" t="str">
        <f t="shared" si="5"/>
        <v>Desember</v>
      </c>
      <c r="F353">
        <v>4</v>
      </c>
      <c r="G353" t="s">
        <v>1526</v>
      </c>
      <c r="H353" t="s">
        <v>1527</v>
      </c>
      <c r="I353" t="s">
        <v>1535</v>
      </c>
      <c r="J353" t="s">
        <v>1566</v>
      </c>
      <c r="K353" t="s">
        <v>1525</v>
      </c>
      <c r="L353" s="2">
        <v>3</v>
      </c>
      <c r="M353" s="10">
        <v>433</v>
      </c>
      <c r="N353" s="7">
        <v>1299</v>
      </c>
    </row>
    <row r="354" spans="1:14" x14ac:dyDescent="0.3">
      <c r="A354">
        <v>1127</v>
      </c>
      <c r="B354" s="1">
        <v>45178</v>
      </c>
      <c r="C354">
        <v>2023</v>
      </c>
      <c r="D354">
        <v>9</v>
      </c>
      <c r="E354" t="str">
        <f t="shared" si="5"/>
        <v>September</v>
      </c>
      <c r="F354">
        <v>3</v>
      </c>
      <c r="G354" t="s">
        <v>1526</v>
      </c>
      <c r="H354" t="s">
        <v>1527</v>
      </c>
      <c r="I354" t="s">
        <v>1535</v>
      </c>
      <c r="J354" t="s">
        <v>1566</v>
      </c>
      <c r="K354" t="s">
        <v>1525</v>
      </c>
      <c r="L354" s="2">
        <v>3</v>
      </c>
      <c r="M354" s="10">
        <v>433</v>
      </c>
      <c r="N354" s="7">
        <v>1299</v>
      </c>
    </row>
    <row r="355" spans="1:14" x14ac:dyDescent="0.3">
      <c r="A355">
        <v>1127</v>
      </c>
      <c r="B355" s="1">
        <v>45215</v>
      </c>
      <c r="C355">
        <v>2023</v>
      </c>
      <c r="D355">
        <v>10</v>
      </c>
      <c r="E355" t="str">
        <f t="shared" si="5"/>
        <v>Oktober</v>
      </c>
      <c r="F355">
        <v>4</v>
      </c>
      <c r="G355" t="s">
        <v>1526</v>
      </c>
      <c r="H355" t="s">
        <v>1527</v>
      </c>
      <c r="I355" t="s">
        <v>1535</v>
      </c>
      <c r="J355" t="s">
        <v>1566</v>
      </c>
      <c r="K355" t="s">
        <v>1525</v>
      </c>
      <c r="L355" s="2">
        <v>3</v>
      </c>
      <c r="M355" s="10">
        <v>433</v>
      </c>
      <c r="N355" s="7">
        <v>1299</v>
      </c>
    </row>
    <row r="356" spans="1:14" x14ac:dyDescent="0.3">
      <c r="A356">
        <v>1127</v>
      </c>
      <c r="B356" s="1">
        <v>45194</v>
      </c>
      <c r="C356">
        <v>2023</v>
      </c>
      <c r="D356">
        <v>9</v>
      </c>
      <c r="E356" t="str">
        <f t="shared" si="5"/>
        <v>September</v>
      </c>
      <c r="F356">
        <v>3</v>
      </c>
      <c r="G356" t="s">
        <v>1526</v>
      </c>
      <c r="H356" t="s">
        <v>1527</v>
      </c>
      <c r="I356" t="s">
        <v>1535</v>
      </c>
      <c r="J356" t="s">
        <v>1566</v>
      </c>
      <c r="K356" t="s">
        <v>1525</v>
      </c>
      <c r="L356" s="2">
        <v>3</v>
      </c>
      <c r="M356" s="10">
        <v>433</v>
      </c>
      <c r="N356" s="7">
        <v>1299</v>
      </c>
    </row>
    <row r="357" spans="1:14" x14ac:dyDescent="0.3">
      <c r="A357">
        <v>1128</v>
      </c>
      <c r="B357" s="1">
        <v>44916</v>
      </c>
      <c r="C357">
        <v>2022</v>
      </c>
      <c r="D357">
        <v>12</v>
      </c>
      <c r="E357" t="str">
        <f t="shared" si="5"/>
        <v>Desember</v>
      </c>
      <c r="F357">
        <v>4</v>
      </c>
      <c r="G357" t="s">
        <v>1529</v>
      </c>
      <c r="H357" t="s">
        <v>1530</v>
      </c>
      <c r="I357" t="s">
        <v>1535</v>
      </c>
      <c r="J357" t="s">
        <v>1566</v>
      </c>
      <c r="K357" t="s">
        <v>1525</v>
      </c>
      <c r="L357" s="2">
        <v>2</v>
      </c>
      <c r="M357" s="10">
        <v>912</v>
      </c>
      <c r="N357" s="7">
        <v>1824</v>
      </c>
    </row>
    <row r="358" spans="1:14" x14ac:dyDescent="0.3">
      <c r="A358">
        <v>1128</v>
      </c>
      <c r="B358" s="1">
        <v>45015</v>
      </c>
      <c r="C358">
        <v>2023</v>
      </c>
      <c r="D358">
        <v>3</v>
      </c>
      <c r="E358" t="str">
        <f t="shared" si="5"/>
        <v>Maret</v>
      </c>
      <c r="F358">
        <v>1</v>
      </c>
      <c r="G358" t="s">
        <v>1529</v>
      </c>
      <c r="H358" t="s">
        <v>1530</v>
      </c>
      <c r="I358" t="s">
        <v>1535</v>
      </c>
      <c r="J358" t="s">
        <v>1566</v>
      </c>
      <c r="K358" t="s">
        <v>1525</v>
      </c>
      <c r="L358" s="2">
        <v>2</v>
      </c>
      <c r="M358" s="10">
        <v>912</v>
      </c>
      <c r="N358" s="7">
        <v>1824</v>
      </c>
    </row>
    <row r="359" spans="1:14" x14ac:dyDescent="0.3">
      <c r="A359">
        <v>1129</v>
      </c>
      <c r="B359" s="1">
        <v>45288</v>
      </c>
      <c r="C359">
        <v>2023</v>
      </c>
      <c r="D359">
        <v>12</v>
      </c>
      <c r="E359" t="str">
        <f t="shared" si="5"/>
        <v>Desember</v>
      </c>
      <c r="F359">
        <v>4</v>
      </c>
      <c r="G359" t="s">
        <v>1532</v>
      </c>
      <c r="H359" t="s">
        <v>1512</v>
      </c>
      <c r="I359" t="s">
        <v>1513</v>
      </c>
      <c r="J359" t="s">
        <v>1517</v>
      </c>
      <c r="K359" t="s">
        <v>1514</v>
      </c>
      <c r="L359" s="2">
        <v>2</v>
      </c>
      <c r="M359" s="10">
        <v>12792</v>
      </c>
      <c r="N359" s="7">
        <v>25584</v>
      </c>
    </row>
    <row r="360" spans="1:14" x14ac:dyDescent="0.3">
      <c r="A360">
        <v>1130</v>
      </c>
      <c r="B360" s="1">
        <v>45111</v>
      </c>
      <c r="C360">
        <v>2023</v>
      </c>
      <c r="D360">
        <v>7</v>
      </c>
      <c r="E360" t="str">
        <f t="shared" si="5"/>
        <v>Juli</v>
      </c>
      <c r="F360">
        <v>3</v>
      </c>
      <c r="G360" t="s">
        <v>1533</v>
      </c>
      <c r="H360" t="s">
        <v>1520</v>
      </c>
      <c r="I360" t="s">
        <v>1531</v>
      </c>
      <c r="J360" t="s">
        <v>1517</v>
      </c>
      <c r="K360" t="s">
        <v>1525</v>
      </c>
      <c r="L360" s="2">
        <v>3</v>
      </c>
      <c r="M360" s="10">
        <v>150</v>
      </c>
      <c r="N360" s="7">
        <v>450</v>
      </c>
    </row>
    <row r="361" spans="1:14" x14ac:dyDescent="0.3">
      <c r="A361">
        <v>1130</v>
      </c>
      <c r="B361" s="1">
        <v>44821</v>
      </c>
      <c r="C361">
        <v>2022</v>
      </c>
      <c r="D361">
        <v>9</v>
      </c>
      <c r="E361" t="str">
        <f t="shared" si="5"/>
        <v>September</v>
      </c>
      <c r="F361">
        <v>3</v>
      </c>
      <c r="G361" t="s">
        <v>1533</v>
      </c>
      <c r="H361" t="s">
        <v>1520</v>
      </c>
      <c r="I361" t="s">
        <v>1531</v>
      </c>
      <c r="J361" t="s">
        <v>1517</v>
      </c>
      <c r="K361" t="s">
        <v>1525</v>
      </c>
      <c r="L361" s="2">
        <v>3</v>
      </c>
      <c r="M361" s="10">
        <v>150</v>
      </c>
      <c r="N361" s="7">
        <v>450</v>
      </c>
    </row>
    <row r="362" spans="1:14" x14ac:dyDescent="0.3">
      <c r="A362">
        <v>1131</v>
      </c>
      <c r="B362" s="1">
        <v>45627</v>
      </c>
      <c r="C362">
        <v>2024</v>
      </c>
      <c r="D362">
        <v>12</v>
      </c>
      <c r="E362" t="str">
        <f t="shared" si="5"/>
        <v>Desember</v>
      </c>
      <c r="F362">
        <v>4</v>
      </c>
      <c r="G362" t="s">
        <v>1511</v>
      </c>
      <c r="H362" t="s">
        <v>1512</v>
      </c>
      <c r="I362" t="s">
        <v>1528</v>
      </c>
      <c r="J362" t="s">
        <v>1517</v>
      </c>
      <c r="K362" t="s">
        <v>1514</v>
      </c>
      <c r="L362" s="2">
        <v>1</v>
      </c>
      <c r="M362" s="10">
        <v>61259</v>
      </c>
      <c r="N362" s="7">
        <v>61259</v>
      </c>
    </row>
    <row r="363" spans="1:14" x14ac:dyDescent="0.3">
      <c r="A363">
        <v>1132</v>
      </c>
      <c r="B363" s="1">
        <v>45011</v>
      </c>
      <c r="C363">
        <v>2023</v>
      </c>
      <c r="D363">
        <v>3</v>
      </c>
      <c r="E363" t="str">
        <f t="shared" si="5"/>
        <v>Maret</v>
      </c>
      <c r="F363">
        <v>1</v>
      </c>
      <c r="G363" t="s">
        <v>1515</v>
      </c>
      <c r="H363" t="s">
        <v>1512</v>
      </c>
      <c r="I363" t="s">
        <v>1513</v>
      </c>
      <c r="J363" t="s">
        <v>1566</v>
      </c>
      <c r="K363" t="s">
        <v>1514</v>
      </c>
      <c r="L363" s="2">
        <v>1</v>
      </c>
      <c r="M363" s="10">
        <v>2998</v>
      </c>
      <c r="N363" s="7">
        <v>2998</v>
      </c>
    </row>
    <row r="364" spans="1:14" x14ac:dyDescent="0.3">
      <c r="A364">
        <v>1132</v>
      </c>
      <c r="B364" s="1">
        <v>44978</v>
      </c>
      <c r="C364">
        <v>2023</v>
      </c>
      <c r="D364">
        <v>2</v>
      </c>
      <c r="E364" t="str">
        <f t="shared" si="5"/>
        <v>Februari</v>
      </c>
      <c r="F364">
        <v>1</v>
      </c>
      <c r="G364" t="s">
        <v>1515</v>
      </c>
      <c r="H364" t="s">
        <v>1512</v>
      </c>
      <c r="I364" t="s">
        <v>1513</v>
      </c>
      <c r="J364" t="s">
        <v>1566</v>
      </c>
      <c r="K364" t="s">
        <v>1514</v>
      </c>
      <c r="L364" s="2">
        <v>1</v>
      </c>
      <c r="M364" s="10">
        <v>2998</v>
      </c>
      <c r="N364" s="7">
        <v>2998</v>
      </c>
    </row>
    <row r="365" spans="1:14" x14ac:dyDescent="0.3">
      <c r="A365">
        <v>1133</v>
      </c>
      <c r="B365" s="1">
        <v>45246</v>
      </c>
      <c r="C365">
        <v>2023</v>
      </c>
      <c r="D365">
        <v>11</v>
      </c>
      <c r="E365" t="str">
        <f t="shared" si="5"/>
        <v>November</v>
      </c>
      <c r="F365">
        <v>4</v>
      </c>
      <c r="G365" t="s">
        <v>1534</v>
      </c>
      <c r="H365" t="s">
        <v>1530</v>
      </c>
      <c r="I365" t="s">
        <v>1528</v>
      </c>
      <c r="J365" t="s">
        <v>1517</v>
      </c>
      <c r="K365" t="s">
        <v>1518</v>
      </c>
      <c r="L365" s="2">
        <v>3</v>
      </c>
      <c r="M365" s="10">
        <v>1682</v>
      </c>
      <c r="N365" s="7">
        <v>5046</v>
      </c>
    </row>
    <row r="366" spans="1:14" x14ac:dyDescent="0.3">
      <c r="A366">
        <v>1133</v>
      </c>
      <c r="B366" s="1">
        <v>45416</v>
      </c>
      <c r="C366">
        <v>2024</v>
      </c>
      <c r="D366">
        <v>5</v>
      </c>
      <c r="E366" t="str">
        <f t="shared" si="5"/>
        <v>Mei</v>
      </c>
      <c r="F366">
        <v>2</v>
      </c>
      <c r="G366" t="s">
        <v>1534</v>
      </c>
      <c r="H366" t="s">
        <v>1530</v>
      </c>
      <c r="I366" t="s">
        <v>1528</v>
      </c>
      <c r="J366" t="s">
        <v>1517</v>
      </c>
      <c r="K366" t="s">
        <v>1518</v>
      </c>
      <c r="L366" s="2">
        <v>3</v>
      </c>
      <c r="M366" s="10">
        <v>1682</v>
      </c>
      <c r="N366" s="7">
        <v>5046</v>
      </c>
    </row>
    <row r="367" spans="1:14" x14ac:dyDescent="0.3">
      <c r="A367">
        <v>1133</v>
      </c>
      <c r="B367" s="1">
        <v>45442</v>
      </c>
      <c r="C367">
        <v>2024</v>
      </c>
      <c r="D367">
        <v>5</v>
      </c>
      <c r="E367" t="str">
        <f t="shared" si="5"/>
        <v>Mei</v>
      </c>
      <c r="F367">
        <v>2</v>
      </c>
      <c r="G367" t="s">
        <v>1534</v>
      </c>
      <c r="H367" t="s">
        <v>1530</v>
      </c>
      <c r="I367" t="s">
        <v>1528</v>
      </c>
      <c r="J367" t="s">
        <v>1517</v>
      </c>
      <c r="K367" t="s">
        <v>1518</v>
      </c>
      <c r="L367" s="2">
        <v>3</v>
      </c>
      <c r="M367" s="10">
        <v>1682</v>
      </c>
      <c r="N367" s="7">
        <v>5046</v>
      </c>
    </row>
    <row r="368" spans="1:14" x14ac:dyDescent="0.3">
      <c r="A368">
        <v>1134</v>
      </c>
      <c r="B368" s="1">
        <v>44907</v>
      </c>
      <c r="C368">
        <v>2022</v>
      </c>
      <c r="D368">
        <v>12</v>
      </c>
      <c r="E368" t="str">
        <f t="shared" si="5"/>
        <v>Desember</v>
      </c>
      <c r="F368">
        <v>4</v>
      </c>
      <c r="G368" t="s">
        <v>1519</v>
      </c>
      <c r="H368" t="s">
        <v>1520</v>
      </c>
      <c r="I368" t="s">
        <v>1513</v>
      </c>
      <c r="J368" t="s">
        <v>1566</v>
      </c>
      <c r="K368" t="s">
        <v>1518</v>
      </c>
      <c r="L368" s="2">
        <v>1</v>
      </c>
      <c r="M368" s="10">
        <v>12576</v>
      </c>
      <c r="N368" s="7">
        <v>12576</v>
      </c>
    </row>
    <row r="369" spans="1:14" x14ac:dyDescent="0.3">
      <c r="A369">
        <v>1134</v>
      </c>
      <c r="B369" s="1">
        <v>44591</v>
      </c>
      <c r="C369">
        <v>2022</v>
      </c>
      <c r="D369">
        <v>1</v>
      </c>
      <c r="E369" t="str">
        <f t="shared" si="5"/>
        <v>Januari</v>
      </c>
      <c r="F369">
        <v>1</v>
      </c>
      <c r="G369" t="s">
        <v>1519</v>
      </c>
      <c r="H369" t="s">
        <v>1520</v>
      </c>
      <c r="I369" t="s">
        <v>1513</v>
      </c>
      <c r="J369" t="s">
        <v>1566</v>
      </c>
      <c r="K369" t="s">
        <v>1518</v>
      </c>
      <c r="L369" s="2">
        <v>1</v>
      </c>
      <c r="M369" s="10">
        <v>12576</v>
      </c>
      <c r="N369" s="7">
        <v>12576</v>
      </c>
    </row>
    <row r="370" spans="1:14" x14ac:dyDescent="0.3">
      <c r="A370">
        <v>1134</v>
      </c>
      <c r="B370" s="1">
        <v>45045</v>
      </c>
      <c r="C370">
        <v>2023</v>
      </c>
      <c r="D370">
        <v>4</v>
      </c>
      <c r="E370" t="str">
        <f t="shared" si="5"/>
        <v>April</v>
      </c>
      <c r="F370">
        <v>2</v>
      </c>
      <c r="G370" t="s">
        <v>1519</v>
      </c>
      <c r="H370" t="s">
        <v>1520</v>
      </c>
      <c r="I370" t="s">
        <v>1513</v>
      </c>
      <c r="J370" t="s">
        <v>1566</v>
      </c>
      <c r="K370" t="s">
        <v>1518</v>
      </c>
      <c r="L370" s="2">
        <v>1</v>
      </c>
      <c r="M370" s="10">
        <v>12576</v>
      </c>
      <c r="N370" s="7">
        <v>12576</v>
      </c>
    </row>
    <row r="371" spans="1:14" x14ac:dyDescent="0.3">
      <c r="A371">
        <v>1135</v>
      </c>
      <c r="B371" s="1">
        <v>45144</v>
      </c>
      <c r="C371">
        <v>2023</v>
      </c>
      <c r="D371">
        <v>8</v>
      </c>
      <c r="E371" t="str">
        <f t="shared" si="5"/>
        <v>Agustus</v>
      </c>
      <c r="F371">
        <v>3</v>
      </c>
      <c r="G371" t="s">
        <v>1522</v>
      </c>
      <c r="H371" t="s">
        <v>1520</v>
      </c>
      <c r="I371" t="s">
        <v>1535</v>
      </c>
      <c r="J371" t="s">
        <v>1524</v>
      </c>
      <c r="K371" t="s">
        <v>1525</v>
      </c>
      <c r="L371" s="2">
        <v>1</v>
      </c>
      <c r="M371" s="10">
        <v>740</v>
      </c>
      <c r="N371" s="7">
        <v>740</v>
      </c>
    </row>
    <row r="372" spans="1:14" x14ac:dyDescent="0.3">
      <c r="A372">
        <v>1135</v>
      </c>
      <c r="B372" s="1">
        <v>45267</v>
      </c>
      <c r="C372">
        <v>2023</v>
      </c>
      <c r="D372">
        <v>12</v>
      </c>
      <c r="E372" t="str">
        <f t="shared" si="5"/>
        <v>Desember</v>
      </c>
      <c r="F372">
        <v>4</v>
      </c>
      <c r="G372" t="s">
        <v>1522</v>
      </c>
      <c r="H372" t="s">
        <v>1520</v>
      </c>
      <c r="I372" t="s">
        <v>1535</v>
      </c>
      <c r="J372" t="s">
        <v>1524</v>
      </c>
      <c r="K372" t="s">
        <v>1525</v>
      </c>
      <c r="L372" s="2">
        <v>1</v>
      </c>
      <c r="M372" s="10">
        <v>740</v>
      </c>
      <c r="N372" s="7">
        <v>740</v>
      </c>
    </row>
    <row r="373" spans="1:14" x14ac:dyDescent="0.3">
      <c r="A373">
        <v>1135</v>
      </c>
      <c r="B373" s="1">
        <v>44590</v>
      </c>
      <c r="C373">
        <v>2022</v>
      </c>
      <c r="D373">
        <v>1</v>
      </c>
      <c r="E373" t="str">
        <f t="shared" si="5"/>
        <v>Januari</v>
      </c>
      <c r="F373">
        <v>1</v>
      </c>
      <c r="G373" t="s">
        <v>1522</v>
      </c>
      <c r="H373" t="s">
        <v>1520</v>
      </c>
      <c r="I373" t="s">
        <v>1535</v>
      </c>
      <c r="J373" t="s">
        <v>1524</v>
      </c>
      <c r="K373" t="s">
        <v>1525</v>
      </c>
      <c r="L373" s="2">
        <v>1</v>
      </c>
      <c r="M373" s="10">
        <v>740</v>
      </c>
      <c r="N373" s="7">
        <v>740</v>
      </c>
    </row>
    <row r="374" spans="1:14" x14ac:dyDescent="0.3">
      <c r="A374">
        <v>1135</v>
      </c>
      <c r="B374" s="1">
        <v>45432</v>
      </c>
      <c r="C374">
        <v>2024</v>
      </c>
      <c r="D374">
        <v>5</v>
      </c>
      <c r="E374" t="str">
        <f t="shared" si="5"/>
        <v>Mei</v>
      </c>
      <c r="F374">
        <v>2</v>
      </c>
      <c r="G374" t="s">
        <v>1522</v>
      </c>
      <c r="H374" t="s">
        <v>1520</v>
      </c>
      <c r="I374" t="s">
        <v>1535</v>
      </c>
      <c r="J374" t="s">
        <v>1524</v>
      </c>
      <c r="K374" t="s">
        <v>1525</v>
      </c>
      <c r="L374" s="2">
        <v>1</v>
      </c>
      <c r="M374" s="10">
        <v>740</v>
      </c>
      <c r="N374" s="7">
        <v>740</v>
      </c>
    </row>
    <row r="375" spans="1:14" x14ac:dyDescent="0.3">
      <c r="A375">
        <v>1136</v>
      </c>
      <c r="B375" s="1">
        <v>45277</v>
      </c>
      <c r="C375">
        <v>2023</v>
      </c>
      <c r="D375">
        <v>12</v>
      </c>
      <c r="E375" t="str">
        <f t="shared" si="5"/>
        <v>Desember</v>
      </c>
      <c r="F375">
        <v>4</v>
      </c>
      <c r="G375" t="s">
        <v>1523</v>
      </c>
      <c r="H375" t="s">
        <v>1512</v>
      </c>
      <c r="I375" t="s">
        <v>1528</v>
      </c>
      <c r="J375" t="s">
        <v>1517</v>
      </c>
      <c r="K375" t="s">
        <v>1518</v>
      </c>
      <c r="L375" s="2">
        <v>2</v>
      </c>
      <c r="M375" s="10">
        <v>38690</v>
      </c>
      <c r="N375" s="7">
        <v>77380</v>
      </c>
    </row>
    <row r="376" spans="1:14" x14ac:dyDescent="0.3">
      <c r="A376">
        <v>1136</v>
      </c>
      <c r="B376" s="1">
        <v>45647</v>
      </c>
      <c r="C376">
        <v>2024</v>
      </c>
      <c r="D376">
        <v>12</v>
      </c>
      <c r="E376" t="str">
        <f t="shared" si="5"/>
        <v>Desember</v>
      </c>
      <c r="F376">
        <v>4</v>
      </c>
      <c r="G376" t="s">
        <v>1523</v>
      </c>
      <c r="H376" t="s">
        <v>1512</v>
      </c>
      <c r="I376" t="s">
        <v>1528</v>
      </c>
      <c r="J376" t="s">
        <v>1517</v>
      </c>
      <c r="K376" t="s">
        <v>1518</v>
      </c>
      <c r="L376" s="2">
        <v>2</v>
      </c>
      <c r="M376" s="10">
        <v>38690</v>
      </c>
      <c r="N376" s="7">
        <v>77380</v>
      </c>
    </row>
    <row r="377" spans="1:14" x14ac:dyDescent="0.3">
      <c r="A377">
        <v>1136</v>
      </c>
      <c r="B377" s="1">
        <v>44618</v>
      </c>
      <c r="C377">
        <v>2022</v>
      </c>
      <c r="D377">
        <v>2</v>
      </c>
      <c r="E377" t="str">
        <f t="shared" si="5"/>
        <v>Februari</v>
      </c>
      <c r="F377">
        <v>1</v>
      </c>
      <c r="G377" t="s">
        <v>1523</v>
      </c>
      <c r="H377" t="s">
        <v>1512</v>
      </c>
      <c r="I377" t="s">
        <v>1528</v>
      </c>
      <c r="J377" t="s">
        <v>1517</v>
      </c>
      <c r="K377" t="s">
        <v>1518</v>
      </c>
      <c r="L377" s="2">
        <v>2</v>
      </c>
      <c r="M377" s="10">
        <v>38690</v>
      </c>
      <c r="N377" s="7">
        <v>77380</v>
      </c>
    </row>
    <row r="378" spans="1:14" x14ac:dyDescent="0.3">
      <c r="A378">
        <v>1137</v>
      </c>
      <c r="B378" s="1">
        <v>44862</v>
      </c>
      <c r="C378">
        <v>2022</v>
      </c>
      <c r="D378">
        <v>10</v>
      </c>
      <c r="E378" t="str">
        <f t="shared" si="5"/>
        <v>Oktober</v>
      </c>
      <c r="F378">
        <v>4</v>
      </c>
      <c r="G378" t="s">
        <v>1526</v>
      </c>
      <c r="H378" t="s">
        <v>1527</v>
      </c>
      <c r="I378" t="s">
        <v>1535</v>
      </c>
      <c r="J378" t="s">
        <v>1524</v>
      </c>
      <c r="K378" t="s">
        <v>1514</v>
      </c>
      <c r="L378" s="2">
        <v>1</v>
      </c>
      <c r="M378" s="10">
        <v>309</v>
      </c>
      <c r="N378" s="7">
        <v>309</v>
      </c>
    </row>
    <row r="379" spans="1:14" x14ac:dyDescent="0.3">
      <c r="A379">
        <v>1137</v>
      </c>
      <c r="B379" s="1">
        <v>44572</v>
      </c>
      <c r="C379">
        <v>2022</v>
      </c>
      <c r="D379">
        <v>1</v>
      </c>
      <c r="E379" t="str">
        <f t="shared" si="5"/>
        <v>Januari</v>
      </c>
      <c r="F379">
        <v>1</v>
      </c>
      <c r="G379" t="s">
        <v>1526</v>
      </c>
      <c r="H379" t="s">
        <v>1527</v>
      </c>
      <c r="I379" t="s">
        <v>1535</v>
      </c>
      <c r="J379" t="s">
        <v>1524</v>
      </c>
      <c r="K379" t="s">
        <v>1514</v>
      </c>
      <c r="L379" s="2">
        <v>1</v>
      </c>
      <c r="M379" s="10">
        <v>309</v>
      </c>
      <c r="N379" s="7">
        <v>309</v>
      </c>
    </row>
    <row r="380" spans="1:14" x14ac:dyDescent="0.3">
      <c r="A380">
        <v>1137</v>
      </c>
      <c r="B380" s="1">
        <v>45192</v>
      </c>
      <c r="C380">
        <v>2023</v>
      </c>
      <c r="D380">
        <v>9</v>
      </c>
      <c r="E380" t="str">
        <f t="shared" si="5"/>
        <v>September</v>
      </c>
      <c r="F380">
        <v>3</v>
      </c>
      <c r="G380" t="s">
        <v>1526</v>
      </c>
      <c r="H380" t="s">
        <v>1527</v>
      </c>
      <c r="I380" t="s">
        <v>1535</v>
      </c>
      <c r="J380" t="s">
        <v>1524</v>
      </c>
      <c r="K380" t="s">
        <v>1514</v>
      </c>
      <c r="L380" s="2">
        <v>1</v>
      </c>
      <c r="M380" s="10">
        <v>309</v>
      </c>
      <c r="N380" s="7">
        <v>309</v>
      </c>
    </row>
    <row r="381" spans="1:14" x14ac:dyDescent="0.3">
      <c r="A381">
        <v>1138</v>
      </c>
      <c r="B381" s="1">
        <v>45404</v>
      </c>
      <c r="C381">
        <v>2024</v>
      </c>
      <c r="D381">
        <v>4</v>
      </c>
      <c r="E381" t="str">
        <f t="shared" si="5"/>
        <v>April</v>
      </c>
      <c r="F381">
        <v>2</v>
      </c>
      <c r="G381" t="s">
        <v>1529</v>
      </c>
      <c r="H381" t="s">
        <v>1530</v>
      </c>
      <c r="I381" t="s">
        <v>1528</v>
      </c>
      <c r="J381" t="s">
        <v>1524</v>
      </c>
      <c r="K381" t="s">
        <v>1518</v>
      </c>
      <c r="L381" s="2">
        <v>3</v>
      </c>
      <c r="M381" s="10">
        <v>1670</v>
      </c>
      <c r="N381" s="7">
        <v>5010</v>
      </c>
    </row>
    <row r="382" spans="1:14" x14ac:dyDescent="0.3">
      <c r="A382">
        <v>1138</v>
      </c>
      <c r="B382" s="1">
        <v>45057</v>
      </c>
      <c r="C382">
        <v>2023</v>
      </c>
      <c r="D382">
        <v>5</v>
      </c>
      <c r="E382" t="str">
        <f t="shared" si="5"/>
        <v>Mei</v>
      </c>
      <c r="F382">
        <v>2</v>
      </c>
      <c r="G382" t="s">
        <v>1529</v>
      </c>
      <c r="H382" t="s">
        <v>1530</v>
      </c>
      <c r="I382" t="s">
        <v>1528</v>
      </c>
      <c r="J382" t="s">
        <v>1524</v>
      </c>
      <c r="K382" t="s">
        <v>1518</v>
      </c>
      <c r="L382" s="2">
        <v>3</v>
      </c>
      <c r="M382" s="10">
        <v>1670</v>
      </c>
      <c r="N382" s="7">
        <v>5010</v>
      </c>
    </row>
    <row r="383" spans="1:14" x14ac:dyDescent="0.3">
      <c r="A383">
        <v>1138</v>
      </c>
      <c r="B383" s="1">
        <v>45166</v>
      </c>
      <c r="C383">
        <v>2023</v>
      </c>
      <c r="D383">
        <v>8</v>
      </c>
      <c r="E383" t="str">
        <f t="shared" si="5"/>
        <v>Agustus</v>
      </c>
      <c r="F383">
        <v>3</v>
      </c>
      <c r="G383" t="s">
        <v>1529</v>
      </c>
      <c r="H383" t="s">
        <v>1530</v>
      </c>
      <c r="I383" t="s">
        <v>1528</v>
      </c>
      <c r="J383" t="s">
        <v>1524</v>
      </c>
      <c r="K383" t="s">
        <v>1518</v>
      </c>
      <c r="L383" s="2">
        <v>3</v>
      </c>
      <c r="M383" s="10">
        <v>1670</v>
      </c>
      <c r="N383" s="7">
        <v>5010</v>
      </c>
    </row>
    <row r="384" spans="1:14" x14ac:dyDescent="0.3">
      <c r="A384">
        <v>1139</v>
      </c>
      <c r="B384" s="1">
        <v>44600</v>
      </c>
      <c r="C384">
        <v>2022</v>
      </c>
      <c r="D384">
        <v>2</v>
      </c>
      <c r="E384" t="str">
        <f t="shared" si="5"/>
        <v>Februari</v>
      </c>
      <c r="F384">
        <v>1</v>
      </c>
      <c r="G384" t="s">
        <v>1532</v>
      </c>
      <c r="H384" t="s">
        <v>1512</v>
      </c>
      <c r="I384" t="s">
        <v>1521</v>
      </c>
      <c r="J384" t="s">
        <v>1566</v>
      </c>
      <c r="K384" t="s">
        <v>1514</v>
      </c>
      <c r="L384" s="2">
        <v>1</v>
      </c>
      <c r="M384" s="10">
        <v>13908</v>
      </c>
      <c r="N384" s="7">
        <v>13908</v>
      </c>
    </row>
    <row r="385" spans="1:14" x14ac:dyDescent="0.3">
      <c r="A385">
        <v>1139</v>
      </c>
      <c r="B385" s="1">
        <v>44701</v>
      </c>
      <c r="C385">
        <v>2022</v>
      </c>
      <c r="D385">
        <v>5</v>
      </c>
      <c r="E385" t="str">
        <f t="shared" si="5"/>
        <v>Mei</v>
      </c>
      <c r="F385">
        <v>2</v>
      </c>
      <c r="G385" t="s">
        <v>1532</v>
      </c>
      <c r="H385" t="s">
        <v>1512</v>
      </c>
      <c r="I385" t="s">
        <v>1521</v>
      </c>
      <c r="J385" t="s">
        <v>1566</v>
      </c>
      <c r="K385" t="s">
        <v>1514</v>
      </c>
      <c r="L385" s="2">
        <v>1</v>
      </c>
      <c r="M385" s="10">
        <v>13908</v>
      </c>
      <c r="N385" s="7">
        <v>13908</v>
      </c>
    </row>
    <row r="386" spans="1:14" x14ac:dyDescent="0.3">
      <c r="A386">
        <v>1139</v>
      </c>
      <c r="B386" s="1">
        <v>44585</v>
      </c>
      <c r="C386">
        <v>2022</v>
      </c>
      <c r="D386">
        <v>1</v>
      </c>
      <c r="E386" t="str">
        <f t="shared" si="5"/>
        <v>Januari</v>
      </c>
      <c r="F386">
        <v>1</v>
      </c>
      <c r="G386" t="s">
        <v>1532</v>
      </c>
      <c r="H386" t="s">
        <v>1512</v>
      </c>
      <c r="I386" t="s">
        <v>1521</v>
      </c>
      <c r="J386" t="s">
        <v>1566</v>
      </c>
      <c r="K386" t="s">
        <v>1514</v>
      </c>
      <c r="L386" s="2">
        <v>1</v>
      </c>
      <c r="M386" s="10">
        <v>13908</v>
      </c>
      <c r="N386" s="7">
        <v>13908</v>
      </c>
    </row>
    <row r="387" spans="1:14" x14ac:dyDescent="0.3">
      <c r="A387">
        <v>1140</v>
      </c>
      <c r="B387" s="1">
        <v>45207</v>
      </c>
      <c r="C387">
        <v>2023</v>
      </c>
      <c r="D387">
        <v>10</v>
      </c>
      <c r="E387" t="str">
        <f t="shared" ref="E387:E450" si="6">TEXT(DATE(2026, D387, 1), "[$-id-ID]mmmm")</f>
        <v>Oktober</v>
      </c>
      <c r="F387">
        <v>4</v>
      </c>
      <c r="G387" t="s">
        <v>1533</v>
      </c>
      <c r="H387" t="s">
        <v>1520</v>
      </c>
      <c r="I387" t="s">
        <v>1521</v>
      </c>
      <c r="J387" t="s">
        <v>1517</v>
      </c>
      <c r="K387" t="s">
        <v>1525</v>
      </c>
      <c r="L387" s="2">
        <v>1</v>
      </c>
      <c r="M387" s="10">
        <v>619</v>
      </c>
      <c r="N387" s="7">
        <v>619</v>
      </c>
    </row>
    <row r="388" spans="1:14" x14ac:dyDescent="0.3">
      <c r="A388">
        <v>1140</v>
      </c>
      <c r="B388" s="1">
        <v>45191</v>
      </c>
      <c r="C388">
        <v>2023</v>
      </c>
      <c r="D388">
        <v>9</v>
      </c>
      <c r="E388" t="str">
        <f t="shared" si="6"/>
        <v>September</v>
      </c>
      <c r="F388">
        <v>3</v>
      </c>
      <c r="G388" t="s">
        <v>1533</v>
      </c>
      <c r="H388" t="s">
        <v>1520</v>
      </c>
      <c r="I388" t="s">
        <v>1521</v>
      </c>
      <c r="J388" t="s">
        <v>1517</v>
      </c>
      <c r="K388" t="s">
        <v>1525</v>
      </c>
      <c r="L388" s="2">
        <v>1</v>
      </c>
      <c r="M388" s="10">
        <v>619</v>
      </c>
      <c r="N388" s="7">
        <v>619</v>
      </c>
    </row>
    <row r="389" spans="1:14" x14ac:dyDescent="0.3">
      <c r="A389">
        <v>1140</v>
      </c>
      <c r="B389" s="1">
        <v>45207</v>
      </c>
      <c r="C389">
        <v>2023</v>
      </c>
      <c r="D389">
        <v>10</v>
      </c>
      <c r="E389" t="str">
        <f t="shared" si="6"/>
        <v>Oktober</v>
      </c>
      <c r="F389">
        <v>4</v>
      </c>
      <c r="G389" t="s">
        <v>1533</v>
      </c>
      <c r="H389" t="s">
        <v>1520</v>
      </c>
      <c r="I389" t="s">
        <v>1521</v>
      </c>
      <c r="J389" t="s">
        <v>1517</v>
      </c>
      <c r="K389" t="s">
        <v>1525</v>
      </c>
      <c r="L389" s="2">
        <v>1</v>
      </c>
      <c r="M389" s="10">
        <v>619</v>
      </c>
      <c r="N389" s="7">
        <v>619</v>
      </c>
    </row>
    <row r="390" spans="1:14" x14ac:dyDescent="0.3">
      <c r="A390">
        <v>1141</v>
      </c>
      <c r="B390" s="1">
        <v>44570</v>
      </c>
      <c r="C390">
        <v>2022</v>
      </c>
      <c r="D390">
        <v>1</v>
      </c>
      <c r="E390" t="str">
        <f t="shared" si="6"/>
        <v>Januari</v>
      </c>
      <c r="F390">
        <v>1</v>
      </c>
      <c r="G390" t="s">
        <v>1511</v>
      </c>
      <c r="H390" t="s">
        <v>1512</v>
      </c>
      <c r="I390" t="s">
        <v>1516</v>
      </c>
      <c r="J390" t="s">
        <v>1566</v>
      </c>
      <c r="K390" t="s">
        <v>1525</v>
      </c>
      <c r="L390" s="2">
        <v>1</v>
      </c>
      <c r="M390" s="10">
        <v>58661</v>
      </c>
      <c r="N390" s="7">
        <v>58661</v>
      </c>
    </row>
    <row r="391" spans="1:14" x14ac:dyDescent="0.3">
      <c r="A391">
        <v>1142</v>
      </c>
      <c r="B391" s="1">
        <v>44698</v>
      </c>
      <c r="C391">
        <v>2022</v>
      </c>
      <c r="D391">
        <v>5</v>
      </c>
      <c r="E391" t="str">
        <f t="shared" si="6"/>
        <v>Mei</v>
      </c>
      <c r="F391">
        <v>2</v>
      </c>
      <c r="G391" t="s">
        <v>1515</v>
      </c>
      <c r="H391" t="s">
        <v>1512</v>
      </c>
      <c r="I391" t="s">
        <v>1521</v>
      </c>
      <c r="J391" t="s">
        <v>1517</v>
      </c>
      <c r="K391" t="s">
        <v>1525</v>
      </c>
      <c r="L391" s="2">
        <v>3</v>
      </c>
      <c r="M391" s="10">
        <v>3441</v>
      </c>
      <c r="N391" s="7">
        <v>10323</v>
      </c>
    </row>
    <row r="392" spans="1:14" x14ac:dyDescent="0.3">
      <c r="A392">
        <v>1142</v>
      </c>
      <c r="B392" s="1">
        <v>44917</v>
      </c>
      <c r="C392">
        <v>2022</v>
      </c>
      <c r="D392">
        <v>12</v>
      </c>
      <c r="E392" t="str">
        <f t="shared" si="6"/>
        <v>Desember</v>
      </c>
      <c r="F392">
        <v>4</v>
      </c>
      <c r="G392" t="s">
        <v>1515</v>
      </c>
      <c r="H392" t="s">
        <v>1512</v>
      </c>
      <c r="I392" t="s">
        <v>1521</v>
      </c>
      <c r="J392" t="s">
        <v>1517</v>
      </c>
      <c r="K392" t="s">
        <v>1525</v>
      </c>
      <c r="L392" s="2">
        <v>3</v>
      </c>
      <c r="M392" s="10">
        <v>3441</v>
      </c>
      <c r="N392" s="7">
        <v>10323</v>
      </c>
    </row>
    <row r="393" spans="1:14" x14ac:dyDescent="0.3">
      <c r="A393">
        <v>1142</v>
      </c>
      <c r="B393" s="1">
        <v>44732</v>
      </c>
      <c r="C393">
        <v>2022</v>
      </c>
      <c r="D393">
        <v>6</v>
      </c>
      <c r="E393" t="str">
        <f t="shared" si="6"/>
        <v>Juni</v>
      </c>
      <c r="F393">
        <v>2</v>
      </c>
      <c r="G393" t="s">
        <v>1515</v>
      </c>
      <c r="H393" t="s">
        <v>1512</v>
      </c>
      <c r="I393" t="s">
        <v>1521</v>
      </c>
      <c r="J393" t="s">
        <v>1517</v>
      </c>
      <c r="K393" t="s">
        <v>1525</v>
      </c>
      <c r="L393" s="2">
        <v>3</v>
      </c>
      <c r="M393" s="10">
        <v>3441</v>
      </c>
      <c r="N393" s="7">
        <v>10323</v>
      </c>
    </row>
    <row r="394" spans="1:14" x14ac:dyDescent="0.3">
      <c r="A394">
        <v>1142</v>
      </c>
      <c r="B394" s="1">
        <v>45484</v>
      </c>
      <c r="C394">
        <v>2024</v>
      </c>
      <c r="D394">
        <v>7</v>
      </c>
      <c r="E394" t="str">
        <f t="shared" si="6"/>
        <v>Juli</v>
      </c>
      <c r="F394">
        <v>3</v>
      </c>
      <c r="G394" t="s">
        <v>1515</v>
      </c>
      <c r="H394" t="s">
        <v>1512</v>
      </c>
      <c r="I394" t="s">
        <v>1521</v>
      </c>
      <c r="J394" t="s">
        <v>1517</v>
      </c>
      <c r="K394" t="s">
        <v>1525</v>
      </c>
      <c r="L394" s="2">
        <v>3</v>
      </c>
      <c r="M394" s="10">
        <v>3441</v>
      </c>
      <c r="N394" s="7">
        <v>10323</v>
      </c>
    </row>
    <row r="395" spans="1:14" x14ac:dyDescent="0.3">
      <c r="A395">
        <v>1143</v>
      </c>
      <c r="B395" s="1">
        <v>45059</v>
      </c>
      <c r="C395">
        <v>2023</v>
      </c>
      <c r="D395">
        <v>5</v>
      </c>
      <c r="E395" t="str">
        <f t="shared" si="6"/>
        <v>Mei</v>
      </c>
      <c r="F395">
        <v>2</v>
      </c>
      <c r="G395" t="s">
        <v>1534</v>
      </c>
      <c r="H395" t="s">
        <v>1530</v>
      </c>
      <c r="I395" t="s">
        <v>1516</v>
      </c>
      <c r="J395" t="s">
        <v>1517</v>
      </c>
      <c r="K395" t="s">
        <v>1514</v>
      </c>
      <c r="L395" s="2">
        <v>2</v>
      </c>
      <c r="M395" s="10">
        <v>4503</v>
      </c>
      <c r="N395" s="7">
        <v>9006</v>
      </c>
    </row>
    <row r="396" spans="1:14" x14ac:dyDescent="0.3">
      <c r="A396">
        <v>1143</v>
      </c>
      <c r="B396" s="1">
        <v>45640</v>
      </c>
      <c r="C396">
        <v>2024</v>
      </c>
      <c r="D396">
        <v>12</v>
      </c>
      <c r="E396" t="str">
        <f t="shared" si="6"/>
        <v>Desember</v>
      </c>
      <c r="F396">
        <v>4</v>
      </c>
      <c r="G396" t="s">
        <v>1534</v>
      </c>
      <c r="H396" t="s">
        <v>1530</v>
      </c>
      <c r="I396" t="s">
        <v>1516</v>
      </c>
      <c r="J396" t="s">
        <v>1517</v>
      </c>
      <c r="K396" t="s">
        <v>1514</v>
      </c>
      <c r="L396" s="2">
        <v>2</v>
      </c>
      <c r="M396" s="10">
        <v>4503</v>
      </c>
      <c r="N396" s="7">
        <v>9006</v>
      </c>
    </row>
    <row r="397" spans="1:14" x14ac:dyDescent="0.3">
      <c r="A397">
        <v>1143</v>
      </c>
      <c r="B397" s="1">
        <v>45050</v>
      </c>
      <c r="C397">
        <v>2023</v>
      </c>
      <c r="D397">
        <v>5</v>
      </c>
      <c r="E397" t="str">
        <f t="shared" si="6"/>
        <v>Mei</v>
      </c>
      <c r="F397">
        <v>2</v>
      </c>
      <c r="G397" t="s">
        <v>1534</v>
      </c>
      <c r="H397" t="s">
        <v>1530</v>
      </c>
      <c r="I397" t="s">
        <v>1516</v>
      </c>
      <c r="J397" t="s">
        <v>1517</v>
      </c>
      <c r="K397" t="s">
        <v>1514</v>
      </c>
      <c r="L397" s="2">
        <v>2</v>
      </c>
      <c r="M397" s="10">
        <v>4503</v>
      </c>
      <c r="N397" s="7">
        <v>9006</v>
      </c>
    </row>
    <row r="398" spans="1:14" x14ac:dyDescent="0.3">
      <c r="A398">
        <v>1143</v>
      </c>
      <c r="B398" s="1">
        <v>45384</v>
      </c>
      <c r="C398">
        <v>2024</v>
      </c>
      <c r="D398">
        <v>4</v>
      </c>
      <c r="E398" t="str">
        <f t="shared" si="6"/>
        <v>April</v>
      </c>
      <c r="F398">
        <v>2</v>
      </c>
      <c r="G398" t="s">
        <v>1534</v>
      </c>
      <c r="H398" t="s">
        <v>1530</v>
      </c>
      <c r="I398" t="s">
        <v>1516</v>
      </c>
      <c r="J398" t="s">
        <v>1517</v>
      </c>
      <c r="K398" t="s">
        <v>1514</v>
      </c>
      <c r="L398" s="2">
        <v>2</v>
      </c>
      <c r="M398" s="10">
        <v>4503</v>
      </c>
      <c r="N398" s="7">
        <v>9006</v>
      </c>
    </row>
    <row r="399" spans="1:14" x14ac:dyDescent="0.3">
      <c r="A399">
        <v>1144</v>
      </c>
      <c r="B399" s="1">
        <v>44968</v>
      </c>
      <c r="C399">
        <v>2023</v>
      </c>
      <c r="D399">
        <v>2</v>
      </c>
      <c r="E399" t="str">
        <f t="shared" si="6"/>
        <v>Februari</v>
      </c>
      <c r="F399">
        <v>1</v>
      </c>
      <c r="G399" t="s">
        <v>1519</v>
      </c>
      <c r="H399" t="s">
        <v>1520</v>
      </c>
      <c r="I399" t="s">
        <v>1513</v>
      </c>
      <c r="J399" t="s">
        <v>1524</v>
      </c>
      <c r="K399" t="s">
        <v>1518</v>
      </c>
      <c r="L399" s="2">
        <v>5</v>
      </c>
      <c r="M399" s="10">
        <v>10835</v>
      </c>
      <c r="N399" s="7">
        <v>54175</v>
      </c>
    </row>
    <row r="400" spans="1:14" x14ac:dyDescent="0.3">
      <c r="A400">
        <v>1145</v>
      </c>
      <c r="B400" s="1">
        <v>45217</v>
      </c>
      <c r="C400">
        <v>2023</v>
      </c>
      <c r="D400">
        <v>10</v>
      </c>
      <c r="E400" t="str">
        <f t="shared" si="6"/>
        <v>Oktober</v>
      </c>
      <c r="F400">
        <v>4</v>
      </c>
      <c r="G400" t="s">
        <v>1522</v>
      </c>
      <c r="H400" t="s">
        <v>1520</v>
      </c>
      <c r="I400" t="s">
        <v>1521</v>
      </c>
      <c r="J400" t="s">
        <v>1524</v>
      </c>
      <c r="K400" t="s">
        <v>1518</v>
      </c>
      <c r="L400" s="2">
        <v>2</v>
      </c>
      <c r="M400" s="10">
        <v>334</v>
      </c>
      <c r="N400" s="7">
        <v>668</v>
      </c>
    </row>
    <row r="401" spans="1:14" x14ac:dyDescent="0.3">
      <c r="A401">
        <v>1145</v>
      </c>
      <c r="B401" s="1">
        <v>45579</v>
      </c>
      <c r="C401">
        <v>2024</v>
      </c>
      <c r="D401">
        <v>10</v>
      </c>
      <c r="E401" t="str">
        <f t="shared" si="6"/>
        <v>Oktober</v>
      </c>
      <c r="F401">
        <v>4</v>
      </c>
      <c r="G401" t="s">
        <v>1522</v>
      </c>
      <c r="H401" t="s">
        <v>1520</v>
      </c>
      <c r="I401" t="s">
        <v>1521</v>
      </c>
      <c r="J401" t="s">
        <v>1524</v>
      </c>
      <c r="K401" t="s">
        <v>1518</v>
      </c>
      <c r="L401" s="2">
        <v>2</v>
      </c>
      <c r="M401" s="10">
        <v>334</v>
      </c>
      <c r="N401" s="7">
        <v>668</v>
      </c>
    </row>
    <row r="402" spans="1:14" x14ac:dyDescent="0.3">
      <c r="A402">
        <v>1145</v>
      </c>
      <c r="B402" s="1">
        <v>45276</v>
      </c>
      <c r="C402">
        <v>2023</v>
      </c>
      <c r="D402">
        <v>12</v>
      </c>
      <c r="E402" t="str">
        <f t="shared" si="6"/>
        <v>Desember</v>
      </c>
      <c r="F402">
        <v>4</v>
      </c>
      <c r="G402" t="s">
        <v>1522</v>
      </c>
      <c r="H402" t="s">
        <v>1520</v>
      </c>
      <c r="I402" t="s">
        <v>1521</v>
      </c>
      <c r="J402" t="s">
        <v>1524</v>
      </c>
      <c r="K402" t="s">
        <v>1518</v>
      </c>
      <c r="L402" s="2">
        <v>2</v>
      </c>
      <c r="M402" s="10">
        <v>334</v>
      </c>
      <c r="N402" s="7">
        <v>668</v>
      </c>
    </row>
    <row r="403" spans="1:14" x14ac:dyDescent="0.3">
      <c r="A403">
        <v>1146</v>
      </c>
      <c r="B403" s="1">
        <v>45104</v>
      </c>
      <c r="C403">
        <v>2023</v>
      </c>
      <c r="D403">
        <v>6</v>
      </c>
      <c r="E403" t="str">
        <f t="shared" si="6"/>
        <v>Juni</v>
      </c>
      <c r="F403">
        <v>2</v>
      </c>
      <c r="G403" t="s">
        <v>1523</v>
      </c>
      <c r="H403" t="s">
        <v>1512</v>
      </c>
      <c r="I403" t="s">
        <v>1516</v>
      </c>
      <c r="J403" t="s">
        <v>1566</v>
      </c>
      <c r="K403" t="s">
        <v>1525</v>
      </c>
      <c r="L403" s="2">
        <v>2</v>
      </c>
      <c r="M403" s="10">
        <v>14992</v>
      </c>
      <c r="N403" s="7">
        <v>29984</v>
      </c>
    </row>
    <row r="404" spans="1:14" x14ac:dyDescent="0.3">
      <c r="A404">
        <v>1146</v>
      </c>
      <c r="B404" s="1">
        <v>45018</v>
      </c>
      <c r="C404">
        <v>2023</v>
      </c>
      <c r="D404">
        <v>4</v>
      </c>
      <c r="E404" t="str">
        <f t="shared" si="6"/>
        <v>April</v>
      </c>
      <c r="F404">
        <v>2</v>
      </c>
      <c r="G404" t="s">
        <v>1523</v>
      </c>
      <c r="H404" t="s">
        <v>1512</v>
      </c>
      <c r="I404" t="s">
        <v>1516</v>
      </c>
      <c r="J404" t="s">
        <v>1566</v>
      </c>
      <c r="K404" t="s">
        <v>1525</v>
      </c>
      <c r="L404" s="2">
        <v>2</v>
      </c>
      <c r="M404" s="10">
        <v>14992</v>
      </c>
      <c r="N404" s="7">
        <v>29984</v>
      </c>
    </row>
    <row r="405" spans="1:14" x14ac:dyDescent="0.3">
      <c r="A405">
        <v>1147</v>
      </c>
      <c r="B405" s="1">
        <v>45051</v>
      </c>
      <c r="C405">
        <v>2023</v>
      </c>
      <c r="D405">
        <v>5</v>
      </c>
      <c r="E405" t="str">
        <f t="shared" si="6"/>
        <v>Mei</v>
      </c>
      <c r="F405">
        <v>2</v>
      </c>
      <c r="G405" t="s">
        <v>1526</v>
      </c>
      <c r="H405" t="s">
        <v>1527</v>
      </c>
      <c r="I405" t="s">
        <v>1516</v>
      </c>
      <c r="J405" t="s">
        <v>1517</v>
      </c>
      <c r="K405" t="s">
        <v>1514</v>
      </c>
      <c r="L405" s="2">
        <v>3</v>
      </c>
      <c r="M405" s="10">
        <v>385</v>
      </c>
      <c r="N405" s="7">
        <v>1155</v>
      </c>
    </row>
    <row r="406" spans="1:14" x14ac:dyDescent="0.3">
      <c r="A406">
        <v>1147</v>
      </c>
      <c r="B406" s="1">
        <v>44658</v>
      </c>
      <c r="C406">
        <v>2022</v>
      </c>
      <c r="D406">
        <v>4</v>
      </c>
      <c r="E406" t="str">
        <f t="shared" si="6"/>
        <v>April</v>
      </c>
      <c r="F406">
        <v>2</v>
      </c>
      <c r="G406" t="s">
        <v>1526</v>
      </c>
      <c r="H406" t="s">
        <v>1527</v>
      </c>
      <c r="I406" t="s">
        <v>1516</v>
      </c>
      <c r="J406" t="s">
        <v>1517</v>
      </c>
      <c r="K406" t="s">
        <v>1514</v>
      </c>
      <c r="L406" s="2">
        <v>3</v>
      </c>
      <c r="M406" s="10">
        <v>385</v>
      </c>
      <c r="N406" s="7">
        <v>1155</v>
      </c>
    </row>
    <row r="407" spans="1:14" x14ac:dyDescent="0.3">
      <c r="A407">
        <v>1147</v>
      </c>
      <c r="B407" s="1">
        <v>45564</v>
      </c>
      <c r="C407">
        <v>2024</v>
      </c>
      <c r="D407">
        <v>9</v>
      </c>
      <c r="E407" t="str">
        <f t="shared" si="6"/>
        <v>September</v>
      </c>
      <c r="F407">
        <v>3</v>
      </c>
      <c r="G407" t="s">
        <v>1526</v>
      </c>
      <c r="H407" t="s">
        <v>1527</v>
      </c>
      <c r="I407" t="s">
        <v>1516</v>
      </c>
      <c r="J407" t="s">
        <v>1517</v>
      </c>
      <c r="K407" t="s">
        <v>1514</v>
      </c>
      <c r="L407" s="2">
        <v>3</v>
      </c>
      <c r="M407" s="10">
        <v>385</v>
      </c>
      <c r="N407" s="7">
        <v>1155</v>
      </c>
    </row>
    <row r="408" spans="1:14" x14ac:dyDescent="0.3">
      <c r="A408">
        <v>1147</v>
      </c>
      <c r="B408" s="1">
        <v>44851</v>
      </c>
      <c r="C408">
        <v>2022</v>
      </c>
      <c r="D408">
        <v>10</v>
      </c>
      <c r="E408" t="str">
        <f t="shared" si="6"/>
        <v>Oktober</v>
      </c>
      <c r="F408">
        <v>4</v>
      </c>
      <c r="G408" t="s">
        <v>1526</v>
      </c>
      <c r="H408" t="s">
        <v>1527</v>
      </c>
      <c r="I408" t="s">
        <v>1516</v>
      </c>
      <c r="J408" t="s">
        <v>1517</v>
      </c>
      <c r="K408" t="s">
        <v>1514</v>
      </c>
      <c r="L408" s="2">
        <v>3</v>
      </c>
      <c r="M408" s="10">
        <v>385</v>
      </c>
      <c r="N408" s="7">
        <v>1155</v>
      </c>
    </row>
    <row r="409" spans="1:14" x14ac:dyDescent="0.3">
      <c r="A409">
        <v>1147</v>
      </c>
      <c r="B409" s="1">
        <v>44577</v>
      </c>
      <c r="C409">
        <v>2022</v>
      </c>
      <c r="D409">
        <v>1</v>
      </c>
      <c r="E409" t="str">
        <f t="shared" si="6"/>
        <v>Januari</v>
      </c>
      <c r="F409">
        <v>1</v>
      </c>
      <c r="G409" t="s">
        <v>1526</v>
      </c>
      <c r="H409" t="s">
        <v>1527</v>
      </c>
      <c r="I409" t="s">
        <v>1516</v>
      </c>
      <c r="J409" t="s">
        <v>1517</v>
      </c>
      <c r="K409" t="s">
        <v>1514</v>
      </c>
      <c r="L409" s="2">
        <v>3</v>
      </c>
      <c r="M409" s="10">
        <v>385</v>
      </c>
      <c r="N409" s="7">
        <v>1155</v>
      </c>
    </row>
    <row r="410" spans="1:14" x14ac:dyDescent="0.3">
      <c r="A410">
        <v>1148</v>
      </c>
      <c r="B410" s="1">
        <v>45285</v>
      </c>
      <c r="C410">
        <v>2023</v>
      </c>
      <c r="D410">
        <v>12</v>
      </c>
      <c r="E410" t="str">
        <f t="shared" si="6"/>
        <v>Desember</v>
      </c>
      <c r="F410">
        <v>4</v>
      </c>
      <c r="G410" t="s">
        <v>1529</v>
      </c>
      <c r="H410" t="s">
        <v>1530</v>
      </c>
      <c r="I410" t="s">
        <v>1535</v>
      </c>
      <c r="J410" t="s">
        <v>1524</v>
      </c>
      <c r="K410" t="s">
        <v>1518</v>
      </c>
      <c r="L410" s="2">
        <v>1</v>
      </c>
      <c r="M410" s="10">
        <v>1196</v>
      </c>
      <c r="N410" s="7">
        <v>1196</v>
      </c>
    </row>
    <row r="411" spans="1:14" x14ac:dyDescent="0.3">
      <c r="A411">
        <v>1149</v>
      </c>
      <c r="B411" s="1">
        <v>45553</v>
      </c>
      <c r="C411">
        <v>2024</v>
      </c>
      <c r="D411">
        <v>9</v>
      </c>
      <c r="E411" t="str">
        <f t="shared" si="6"/>
        <v>September</v>
      </c>
      <c r="F411">
        <v>3</v>
      </c>
      <c r="G411" t="s">
        <v>1532</v>
      </c>
      <c r="H411" t="s">
        <v>1512</v>
      </c>
      <c r="I411" t="s">
        <v>1531</v>
      </c>
      <c r="J411" t="s">
        <v>1524</v>
      </c>
      <c r="K411" t="s">
        <v>1514</v>
      </c>
      <c r="L411" s="2">
        <v>2</v>
      </c>
      <c r="M411" s="10">
        <v>4766</v>
      </c>
      <c r="N411" s="7">
        <v>9532</v>
      </c>
    </row>
    <row r="412" spans="1:14" x14ac:dyDescent="0.3">
      <c r="A412">
        <v>1149</v>
      </c>
      <c r="B412" s="1">
        <v>45190</v>
      </c>
      <c r="C412">
        <v>2023</v>
      </c>
      <c r="D412">
        <v>9</v>
      </c>
      <c r="E412" t="str">
        <f t="shared" si="6"/>
        <v>September</v>
      </c>
      <c r="F412">
        <v>3</v>
      </c>
      <c r="G412" t="s">
        <v>1532</v>
      </c>
      <c r="H412" t="s">
        <v>1512</v>
      </c>
      <c r="I412" t="s">
        <v>1531</v>
      </c>
      <c r="J412" t="s">
        <v>1524</v>
      </c>
      <c r="K412" t="s">
        <v>1514</v>
      </c>
      <c r="L412" s="2">
        <v>2</v>
      </c>
      <c r="M412" s="10">
        <v>4766</v>
      </c>
      <c r="N412" s="7">
        <v>9532</v>
      </c>
    </row>
    <row r="413" spans="1:14" x14ac:dyDescent="0.3">
      <c r="A413">
        <v>1150</v>
      </c>
      <c r="B413" s="1">
        <v>44627</v>
      </c>
      <c r="C413">
        <v>2022</v>
      </c>
      <c r="D413">
        <v>3</v>
      </c>
      <c r="E413" t="str">
        <f t="shared" si="6"/>
        <v>Maret</v>
      </c>
      <c r="F413">
        <v>1</v>
      </c>
      <c r="G413" t="s">
        <v>1533</v>
      </c>
      <c r="H413" t="s">
        <v>1520</v>
      </c>
      <c r="I413" t="s">
        <v>1513</v>
      </c>
      <c r="J413" t="s">
        <v>1566</v>
      </c>
      <c r="K413" t="s">
        <v>1525</v>
      </c>
      <c r="L413" s="2">
        <v>4</v>
      </c>
      <c r="M413" s="10">
        <v>317</v>
      </c>
      <c r="N413" s="7">
        <v>1268</v>
      </c>
    </row>
    <row r="414" spans="1:14" x14ac:dyDescent="0.3">
      <c r="A414">
        <v>1150</v>
      </c>
      <c r="B414" s="1">
        <v>45047</v>
      </c>
      <c r="C414">
        <v>2023</v>
      </c>
      <c r="D414">
        <v>5</v>
      </c>
      <c r="E414" t="str">
        <f t="shared" si="6"/>
        <v>Mei</v>
      </c>
      <c r="F414">
        <v>2</v>
      </c>
      <c r="G414" t="s">
        <v>1533</v>
      </c>
      <c r="H414" t="s">
        <v>1520</v>
      </c>
      <c r="I414" t="s">
        <v>1513</v>
      </c>
      <c r="J414" t="s">
        <v>1566</v>
      </c>
      <c r="K414" t="s">
        <v>1525</v>
      </c>
      <c r="L414" s="2">
        <v>4</v>
      </c>
      <c r="M414" s="10">
        <v>317</v>
      </c>
      <c r="N414" s="7">
        <v>1268</v>
      </c>
    </row>
    <row r="415" spans="1:14" x14ac:dyDescent="0.3">
      <c r="A415">
        <v>1150</v>
      </c>
      <c r="B415" s="1">
        <v>44687</v>
      </c>
      <c r="C415">
        <v>2022</v>
      </c>
      <c r="D415">
        <v>5</v>
      </c>
      <c r="E415" t="str">
        <f t="shared" si="6"/>
        <v>Mei</v>
      </c>
      <c r="F415">
        <v>2</v>
      </c>
      <c r="G415" t="s">
        <v>1533</v>
      </c>
      <c r="H415" t="s">
        <v>1520</v>
      </c>
      <c r="I415" t="s">
        <v>1513</v>
      </c>
      <c r="J415" t="s">
        <v>1566</v>
      </c>
      <c r="K415" t="s">
        <v>1525</v>
      </c>
      <c r="L415" s="2">
        <v>4</v>
      </c>
      <c r="M415" s="10">
        <v>317</v>
      </c>
      <c r="N415" s="7">
        <v>1268</v>
      </c>
    </row>
    <row r="416" spans="1:14" x14ac:dyDescent="0.3">
      <c r="A416">
        <v>1150</v>
      </c>
      <c r="B416" s="1">
        <v>45111</v>
      </c>
      <c r="C416">
        <v>2023</v>
      </c>
      <c r="D416">
        <v>7</v>
      </c>
      <c r="E416" t="str">
        <f t="shared" si="6"/>
        <v>Juli</v>
      </c>
      <c r="F416">
        <v>3</v>
      </c>
      <c r="G416" t="s">
        <v>1533</v>
      </c>
      <c r="H416" t="s">
        <v>1520</v>
      </c>
      <c r="I416" t="s">
        <v>1513</v>
      </c>
      <c r="J416" t="s">
        <v>1566</v>
      </c>
      <c r="K416" t="s">
        <v>1525</v>
      </c>
      <c r="L416" s="2">
        <v>4</v>
      </c>
      <c r="M416" s="10">
        <v>317</v>
      </c>
      <c r="N416" s="7">
        <v>1268</v>
      </c>
    </row>
    <row r="417" spans="1:14" x14ac:dyDescent="0.3">
      <c r="A417">
        <v>1150</v>
      </c>
      <c r="B417" s="1">
        <v>44983</v>
      </c>
      <c r="C417">
        <v>2023</v>
      </c>
      <c r="D417">
        <v>2</v>
      </c>
      <c r="E417" t="str">
        <f t="shared" si="6"/>
        <v>Februari</v>
      </c>
      <c r="F417">
        <v>1</v>
      </c>
      <c r="G417" t="s">
        <v>1533</v>
      </c>
      <c r="H417" t="s">
        <v>1520</v>
      </c>
      <c r="I417" t="s">
        <v>1513</v>
      </c>
      <c r="J417" t="s">
        <v>1566</v>
      </c>
      <c r="K417" t="s">
        <v>1525</v>
      </c>
      <c r="L417" s="2">
        <v>4</v>
      </c>
      <c r="M417" s="10">
        <v>317</v>
      </c>
      <c r="N417" s="7">
        <v>1268</v>
      </c>
    </row>
    <row r="418" spans="1:14" x14ac:dyDescent="0.3">
      <c r="A418">
        <v>1150</v>
      </c>
      <c r="B418" s="1">
        <v>44909</v>
      </c>
      <c r="C418">
        <v>2022</v>
      </c>
      <c r="D418">
        <v>12</v>
      </c>
      <c r="E418" t="str">
        <f t="shared" si="6"/>
        <v>Desember</v>
      </c>
      <c r="F418">
        <v>4</v>
      </c>
      <c r="G418" t="s">
        <v>1533</v>
      </c>
      <c r="H418" t="s">
        <v>1520</v>
      </c>
      <c r="I418" t="s">
        <v>1513</v>
      </c>
      <c r="J418" t="s">
        <v>1566</v>
      </c>
      <c r="K418" t="s">
        <v>1525</v>
      </c>
      <c r="L418" s="2">
        <v>4</v>
      </c>
      <c r="M418" s="10">
        <v>317</v>
      </c>
      <c r="N418" s="7">
        <v>1268</v>
      </c>
    </row>
    <row r="419" spans="1:14" x14ac:dyDescent="0.3">
      <c r="A419">
        <v>1151</v>
      </c>
      <c r="B419" s="1">
        <v>45019</v>
      </c>
      <c r="C419">
        <v>2023</v>
      </c>
      <c r="D419">
        <v>4</v>
      </c>
      <c r="E419" t="str">
        <f t="shared" si="6"/>
        <v>April</v>
      </c>
      <c r="F419">
        <v>2</v>
      </c>
      <c r="G419" t="s">
        <v>1511</v>
      </c>
      <c r="H419" t="s">
        <v>1512</v>
      </c>
      <c r="I419" t="s">
        <v>1516</v>
      </c>
      <c r="J419" t="s">
        <v>1524</v>
      </c>
      <c r="K419" t="s">
        <v>1518</v>
      </c>
      <c r="L419" s="2">
        <v>2</v>
      </c>
      <c r="M419" s="10">
        <v>59735</v>
      </c>
      <c r="N419" s="7">
        <v>119470</v>
      </c>
    </row>
    <row r="420" spans="1:14" x14ac:dyDescent="0.3">
      <c r="A420">
        <v>1151</v>
      </c>
      <c r="B420" s="1">
        <v>45233</v>
      </c>
      <c r="C420">
        <v>2023</v>
      </c>
      <c r="D420">
        <v>11</v>
      </c>
      <c r="E420" t="str">
        <f t="shared" si="6"/>
        <v>November</v>
      </c>
      <c r="F420">
        <v>4</v>
      </c>
      <c r="G420" t="s">
        <v>1511</v>
      </c>
      <c r="H420" t="s">
        <v>1512</v>
      </c>
      <c r="I420" t="s">
        <v>1516</v>
      </c>
      <c r="J420" t="s">
        <v>1524</v>
      </c>
      <c r="K420" t="s">
        <v>1518</v>
      </c>
      <c r="L420" s="2">
        <v>2</v>
      </c>
      <c r="M420" s="10">
        <v>59735</v>
      </c>
      <c r="N420" s="7">
        <v>119470</v>
      </c>
    </row>
    <row r="421" spans="1:14" x14ac:dyDescent="0.3">
      <c r="A421">
        <v>1151</v>
      </c>
      <c r="B421" s="1">
        <v>45241</v>
      </c>
      <c r="C421">
        <v>2023</v>
      </c>
      <c r="D421">
        <v>11</v>
      </c>
      <c r="E421" t="str">
        <f t="shared" si="6"/>
        <v>November</v>
      </c>
      <c r="F421">
        <v>4</v>
      </c>
      <c r="G421" t="s">
        <v>1511</v>
      </c>
      <c r="H421" t="s">
        <v>1512</v>
      </c>
      <c r="I421" t="s">
        <v>1516</v>
      </c>
      <c r="J421" t="s">
        <v>1524</v>
      </c>
      <c r="K421" t="s">
        <v>1518</v>
      </c>
      <c r="L421" s="2">
        <v>2</v>
      </c>
      <c r="M421" s="10">
        <v>59735</v>
      </c>
      <c r="N421" s="7">
        <v>119470</v>
      </c>
    </row>
    <row r="422" spans="1:14" x14ac:dyDescent="0.3">
      <c r="A422">
        <v>1151</v>
      </c>
      <c r="B422" s="1">
        <v>44884</v>
      </c>
      <c r="C422">
        <v>2022</v>
      </c>
      <c r="D422">
        <v>11</v>
      </c>
      <c r="E422" t="str">
        <f t="shared" si="6"/>
        <v>November</v>
      </c>
      <c r="F422">
        <v>4</v>
      </c>
      <c r="G422" t="s">
        <v>1511</v>
      </c>
      <c r="H422" t="s">
        <v>1512</v>
      </c>
      <c r="I422" t="s">
        <v>1516</v>
      </c>
      <c r="J422" t="s">
        <v>1524</v>
      </c>
      <c r="K422" t="s">
        <v>1518</v>
      </c>
      <c r="L422" s="2">
        <v>2</v>
      </c>
      <c r="M422" s="10">
        <v>59735</v>
      </c>
      <c r="N422" s="7">
        <v>119470</v>
      </c>
    </row>
    <row r="423" spans="1:14" x14ac:dyDescent="0.3">
      <c r="A423">
        <v>1152</v>
      </c>
      <c r="B423" s="1">
        <v>45478</v>
      </c>
      <c r="C423">
        <v>2024</v>
      </c>
      <c r="D423">
        <v>7</v>
      </c>
      <c r="E423" t="str">
        <f t="shared" si="6"/>
        <v>Juli</v>
      </c>
      <c r="F423">
        <v>3</v>
      </c>
      <c r="G423" t="s">
        <v>1515</v>
      </c>
      <c r="H423" t="s">
        <v>1512</v>
      </c>
      <c r="I423" t="s">
        <v>1521</v>
      </c>
      <c r="J423" t="s">
        <v>1517</v>
      </c>
      <c r="K423" t="s">
        <v>1518</v>
      </c>
      <c r="L423" s="2">
        <v>2</v>
      </c>
      <c r="M423" s="10">
        <v>3950</v>
      </c>
      <c r="N423" s="7">
        <v>7900</v>
      </c>
    </row>
    <row r="424" spans="1:14" x14ac:dyDescent="0.3">
      <c r="A424">
        <v>1152</v>
      </c>
      <c r="B424" s="1">
        <v>44772</v>
      </c>
      <c r="C424">
        <v>2022</v>
      </c>
      <c r="D424">
        <v>7</v>
      </c>
      <c r="E424" t="str">
        <f t="shared" si="6"/>
        <v>Juli</v>
      </c>
      <c r="F424">
        <v>3</v>
      </c>
      <c r="G424" t="s">
        <v>1515</v>
      </c>
      <c r="H424" t="s">
        <v>1512</v>
      </c>
      <c r="I424" t="s">
        <v>1521</v>
      </c>
      <c r="J424" t="s">
        <v>1517</v>
      </c>
      <c r="K424" t="s">
        <v>1518</v>
      </c>
      <c r="L424" s="2">
        <v>2</v>
      </c>
      <c r="M424" s="10">
        <v>3950</v>
      </c>
      <c r="N424" s="7">
        <v>7900</v>
      </c>
    </row>
    <row r="425" spans="1:14" x14ac:dyDescent="0.3">
      <c r="A425">
        <v>1152</v>
      </c>
      <c r="B425" s="1">
        <v>45517</v>
      </c>
      <c r="C425">
        <v>2024</v>
      </c>
      <c r="D425">
        <v>8</v>
      </c>
      <c r="E425" t="str">
        <f t="shared" si="6"/>
        <v>Agustus</v>
      </c>
      <c r="F425">
        <v>3</v>
      </c>
      <c r="G425" t="s">
        <v>1515</v>
      </c>
      <c r="H425" t="s">
        <v>1512</v>
      </c>
      <c r="I425" t="s">
        <v>1521</v>
      </c>
      <c r="J425" t="s">
        <v>1517</v>
      </c>
      <c r="K425" t="s">
        <v>1518</v>
      </c>
      <c r="L425" s="2">
        <v>2</v>
      </c>
      <c r="M425" s="10">
        <v>3950</v>
      </c>
      <c r="N425" s="7">
        <v>7900</v>
      </c>
    </row>
    <row r="426" spans="1:14" x14ac:dyDescent="0.3">
      <c r="A426">
        <v>1152</v>
      </c>
      <c r="B426" s="1">
        <v>44699</v>
      </c>
      <c r="C426">
        <v>2022</v>
      </c>
      <c r="D426">
        <v>5</v>
      </c>
      <c r="E426" t="str">
        <f t="shared" si="6"/>
        <v>Mei</v>
      </c>
      <c r="F426">
        <v>2</v>
      </c>
      <c r="G426" t="s">
        <v>1515</v>
      </c>
      <c r="H426" t="s">
        <v>1512</v>
      </c>
      <c r="I426" t="s">
        <v>1521</v>
      </c>
      <c r="J426" t="s">
        <v>1517</v>
      </c>
      <c r="K426" t="s">
        <v>1518</v>
      </c>
      <c r="L426" s="2">
        <v>2</v>
      </c>
      <c r="M426" s="10">
        <v>3950</v>
      </c>
      <c r="N426" s="7">
        <v>7900</v>
      </c>
    </row>
    <row r="427" spans="1:14" x14ac:dyDescent="0.3">
      <c r="A427">
        <v>1153</v>
      </c>
      <c r="B427" s="1">
        <v>45262</v>
      </c>
      <c r="C427">
        <v>2023</v>
      </c>
      <c r="D427">
        <v>12</v>
      </c>
      <c r="E427" t="str">
        <f t="shared" si="6"/>
        <v>Desember</v>
      </c>
      <c r="F427">
        <v>4</v>
      </c>
      <c r="G427" t="s">
        <v>1534</v>
      </c>
      <c r="H427" t="s">
        <v>1530</v>
      </c>
      <c r="I427" t="s">
        <v>1513</v>
      </c>
      <c r="J427" t="s">
        <v>1517</v>
      </c>
      <c r="K427" t="s">
        <v>1518</v>
      </c>
      <c r="L427" s="2">
        <v>2</v>
      </c>
      <c r="M427" s="10">
        <v>3263</v>
      </c>
      <c r="N427" s="7">
        <v>6526</v>
      </c>
    </row>
    <row r="428" spans="1:14" x14ac:dyDescent="0.3">
      <c r="A428">
        <v>1154</v>
      </c>
      <c r="B428" s="1">
        <v>45155</v>
      </c>
      <c r="C428">
        <v>2023</v>
      </c>
      <c r="D428">
        <v>8</v>
      </c>
      <c r="E428" t="str">
        <f t="shared" si="6"/>
        <v>Agustus</v>
      </c>
      <c r="F428">
        <v>3</v>
      </c>
      <c r="G428" t="s">
        <v>1519</v>
      </c>
      <c r="H428" t="s">
        <v>1520</v>
      </c>
      <c r="I428" t="s">
        <v>1516</v>
      </c>
      <c r="J428" t="s">
        <v>1517</v>
      </c>
      <c r="K428" t="s">
        <v>1525</v>
      </c>
      <c r="L428" s="2">
        <v>4</v>
      </c>
      <c r="M428" s="10">
        <v>8514</v>
      </c>
      <c r="N428" s="7">
        <v>34056</v>
      </c>
    </row>
    <row r="429" spans="1:14" x14ac:dyDescent="0.3">
      <c r="A429">
        <v>1154</v>
      </c>
      <c r="B429" s="1">
        <v>45095</v>
      </c>
      <c r="C429">
        <v>2023</v>
      </c>
      <c r="D429">
        <v>6</v>
      </c>
      <c r="E429" t="str">
        <f t="shared" si="6"/>
        <v>Juni</v>
      </c>
      <c r="F429">
        <v>2</v>
      </c>
      <c r="G429" t="s">
        <v>1519</v>
      </c>
      <c r="H429" t="s">
        <v>1520</v>
      </c>
      <c r="I429" t="s">
        <v>1516</v>
      </c>
      <c r="J429" t="s">
        <v>1517</v>
      </c>
      <c r="K429" t="s">
        <v>1525</v>
      </c>
      <c r="L429" s="2">
        <v>4</v>
      </c>
      <c r="M429" s="10">
        <v>8514</v>
      </c>
      <c r="N429" s="7">
        <v>34056</v>
      </c>
    </row>
    <row r="430" spans="1:14" x14ac:dyDescent="0.3">
      <c r="A430">
        <v>1154</v>
      </c>
      <c r="B430" s="1">
        <v>45052</v>
      </c>
      <c r="C430">
        <v>2023</v>
      </c>
      <c r="D430">
        <v>5</v>
      </c>
      <c r="E430" t="str">
        <f t="shared" si="6"/>
        <v>Mei</v>
      </c>
      <c r="F430">
        <v>2</v>
      </c>
      <c r="G430" t="s">
        <v>1519</v>
      </c>
      <c r="H430" t="s">
        <v>1520</v>
      </c>
      <c r="I430" t="s">
        <v>1516</v>
      </c>
      <c r="J430" t="s">
        <v>1517</v>
      </c>
      <c r="K430" t="s">
        <v>1525</v>
      </c>
      <c r="L430" s="2">
        <v>4</v>
      </c>
      <c r="M430" s="10">
        <v>8514</v>
      </c>
      <c r="N430" s="7">
        <v>34056</v>
      </c>
    </row>
    <row r="431" spans="1:14" x14ac:dyDescent="0.3">
      <c r="A431">
        <v>1154</v>
      </c>
      <c r="B431" s="1">
        <v>45003</v>
      </c>
      <c r="C431">
        <v>2023</v>
      </c>
      <c r="D431">
        <v>3</v>
      </c>
      <c r="E431" t="str">
        <f t="shared" si="6"/>
        <v>Maret</v>
      </c>
      <c r="F431">
        <v>1</v>
      </c>
      <c r="G431" t="s">
        <v>1519</v>
      </c>
      <c r="H431" t="s">
        <v>1520</v>
      </c>
      <c r="I431" t="s">
        <v>1516</v>
      </c>
      <c r="J431" t="s">
        <v>1517</v>
      </c>
      <c r="K431" t="s">
        <v>1525</v>
      </c>
      <c r="L431" s="2">
        <v>4</v>
      </c>
      <c r="M431" s="10">
        <v>8514</v>
      </c>
      <c r="N431" s="7">
        <v>34056</v>
      </c>
    </row>
    <row r="432" spans="1:14" x14ac:dyDescent="0.3">
      <c r="A432">
        <v>1155</v>
      </c>
      <c r="B432" s="1">
        <v>45262</v>
      </c>
      <c r="C432">
        <v>2023</v>
      </c>
      <c r="D432">
        <v>12</v>
      </c>
      <c r="E432" t="str">
        <f t="shared" si="6"/>
        <v>Desember</v>
      </c>
      <c r="F432">
        <v>4</v>
      </c>
      <c r="G432" t="s">
        <v>1522</v>
      </c>
      <c r="H432" t="s">
        <v>1520</v>
      </c>
      <c r="I432" t="s">
        <v>1531</v>
      </c>
      <c r="J432" t="s">
        <v>1566</v>
      </c>
      <c r="K432" t="s">
        <v>1525</v>
      </c>
      <c r="L432" s="2">
        <v>2</v>
      </c>
      <c r="M432" s="10">
        <v>172</v>
      </c>
      <c r="N432" s="7">
        <v>344</v>
      </c>
    </row>
    <row r="433" spans="1:14" x14ac:dyDescent="0.3">
      <c r="A433">
        <v>1155</v>
      </c>
      <c r="B433" s="1">
        <v>44707</v>
      </c>
      <c r="C433">
        <v>2022</v>
      </c>
      <c r="D433">
        <v>5</v>
      </c>
      <c r="E433" t="str">
        <f t="shared" si="6"/>
        <v>Mei</v>
      </c>
      <c r="F433">
        <v>2</v>
      </c>
      <c r="G433" t="s">
        <v>1522</v>
      </c>
      <c r="H433" t="s">
        <v>1520</v>
      </c>
      <c r="I433" t="s">
        <v>1531</v>
      </c>
      <c r="J433" t="s">
        <v>1566</v>
      </c>
      <c r="K433" t="s">
        <v>1525</v>
      </c>
      <c r="L433" s="2">
        <v>2</v>
      </c>
      <c r="M433" s="10">
        <v>172</v>
      </c>
      <c r="N433" s="7">
        <v>344</v>
      </c>
    </row>
    <row r="434" spans="1:14" x14ac:dyDescent="0.3">
      <c r="A434">
        <v>1155</v>
      </c>
      <c r="B434" s="1">
        <v>45204</v>
      </c>
      <c r="C434">
        <v>2023</v>
      </c>
      <c r="D434">
        <v>10</v>
      </c>
      <c r="E434" t="str">
        <f t="shared" si="6"/>
        <v>Oktober</v>
      </c>
      <c r="F434">
        <v>4</v>
      </c>
      <c r="G434" t="s">
        <v>1522</v>
      </c>
      <c r="H434" t="s">
        <v>1520</v>
      </c>
      <c r="I434" t="s">
        <v>1531</v>
      </c>
      <c r="J434" t="s">
        <v>1566</v>
      </c>
      <c r="K434" t="s">
        <v>1525</v>
      </c>
      <c r="L434" s="2">
        <v>2</v>
      </c>
      <c r="M434" s="10">
        <v>172</v>
      </c>
      <c r="N434" s="7">
        <v>344</v>
      </c>
    </row>
    <row r="435" spans="1:14" x14ac:dyDescent="0.3">
      <c r="A435">
        <v>1155</v>
      </c>
      <c r="B435" s="1">
        <v>44699</v>
      </c>
      <c r="C435">
        <v>2022</v>
      </c>
      <c r="D435">
        <v>5</v>
      </c>
      <c r="E435" t="str">
        <f t="shared" si="6"/>
        <v>Mei</v>
      </c>
      <c r="F435">
        <v>2</v>
      </c>
      <c r="G435" t="s">
        <v>1522</v>
      </c>
      <c r="H435" t="s">
        <v>1520</v>
      </c>
      <c r="I435" t="s">
        <v>1531</v>
      </c>
      <c r="J435" t="s">
        <v>1566</v>
      </c>
      <c r="K435" t="s">
        <v>1525</v>
      </c>
      <c r="L435" s="2">
        <v>2</v>
      </c>
      <c r="M435" s="10">
        <v>172</v>
      </c>
      <c r="N435" s="7">
        <v>344</v>
      </c>
    </row>
    <row r="436" spans="1:14" x14ac:dyDescent="0.3">
      <c r="A436">
        <v>1156</v>
      </c>
      <c r="B436" s="1">
        <v>45100</v>
      </c>
      <c r="C436">
        <v>2023</v>
      </c>
      <c r="D436">
        <v>6</v>
      </c>
      <c r="E436" t="str">
        <f t="shared" si="6"/>
        <v>Juni</v>
      </c>
      <c r="F436">
        <v>2</v>
      </c>
      <c r="G436" t="s">
        <v>1523</v>
      </c>
      <c r="H436" t="s">
        <v>1512</v>
      </c>
      <c r="I436" t="s">
        <v>1531</v>
      </c>
      <c r="J436" t="s">
        <v>1517</v>
      </c>
      <c r="K436" t="s">
        <v>1518</v>
      </c>
      <c r="L436" s="2">
        <v>1</v>
      </c>
      <c r="M436" s="10">
        <v>21077</v>
      </c>
      <c r="N436" s="7">
        <v>21077</v>
      </c>
    </row>
    <row r="437" spans="1:14" x14ac:dyDescent="0.3">
      <c r="A437">
        <v>1156</v>
      </c>
      <c r="B437" s="1">
        <v>45543</v>
      </c>
      <c r="C437">
        <v>2024</v>
      </c>
      <c r="D437">
        <v>9</v>
      </c>
      <c r="E437" t="str">
        <f t="shared" si="6"/>
        <v>September</v>
      </c>
      <c r="F437">
        <v>3</v>
      </c>
      <c r="G437" t="s">
        <v>1523</v>
      </c>
      <c r="H437" t="s">
        <v>1512</v>
      </c>
      <c r="I437" t="s">
        <v>1531</v>
      </c>
      <c r="J437" t="s">
        <v>1517</v>
      </c>
      <c r="K437" t="s">
        <v>1518</v>
      </c>
      <c r="L437" s="2">
        <v>1</v>
      </c>
      <c r="M437" s="10">
        <v>21077</v>
      </c>
      <c r="N437" s="7">
        <v>21077</v>
      </c>
    </row>
    <row r="438" spans="1:14" x14ac:dyDescent="0.3">
      <c r="A438">
        <v>1156</v>
      </c>
      <c r="B438" s="1">
        <v>44590</v>
      </c>
      <c r="C438">
        <v>2022</v>
      </c>
      <c r="D438">
        <v>1</v>
      </c>
      <c r="E438" t="str">
        <f t="shared" si="6"/>
        <v>Januari</v>
      </c>
      <c r="F438">
        <v>1</v>
      </c>
      <c r="G438" t="s">
        <v>1523</v>
      </c>
      <c r="H438" t="s">
        <v>1512</v>
      </c>
      <c r="I438" t="s">
        <v>1531</v>
      </c>
      <c r="J438" t="s">
        <v>1517</v>
      </c>
      <c r="K438" t="s">
        <v>1518</v>
      </c>
      <c r="L438" s="2">
        <v>1</v>
      </c>
      <c r="M438" s="10">
        <v>21077</v>
      </c>
      <c r="N438" s="7">
        <v>21077</v>
      </c>
    </row>
    <row r="439" spans="1:14" x14ac:dyDescent="0.3">
      <c r="A439">
        <v>1157</v>
      </c>
      <c r="B439" s="1">
        <v>45535</v>
      </c>
      <c r="C439">
        <v>2024</v>
      </c>
      <c r="D439">
        <v>8</v>
      </c>
      <c r="E439" t="str">
        <f t="shared" si="6"/>
        <v>Agustus</v>
      </c>
      <c r="F439">
        <v>3</v>
      </c>
      <c r="G439" t="s">
        <v>1526</v>
      </c>
      <c r="H439" t="s">
        <v>1527</v>
      </c>
      <c r="I439" t="s">
        <v>1531</v>
      </c>
      <c r="J439" t="s">
        <v>1524</v>
      </c>
      <c r="K439" t="s">
        <v>1525</v>
      </c>
      <c r="L439" s="2">
        <v>5</v>
      </c>
      <c r="M439" s="10">
        <v>747</v>
      </c>
      <c r="N439" s="7">
        <v>3735</v>
      </c>
    </row>
    <row r="440" spans="1:14" x14ac:dyDescent="0.3">
      <c r="A440">
        <v>1157</v>
      </c>
      <c r="B440" s="1">
        <v>45431</v>
      </c>
      <c r="C440">
        <v>2024</v>
      </c>
      <c r="D440">
        <v>5</v>
      </c>
      <c r="E440" t="str">
        <f t="shared" si="6"/>
        <v>Mei</v>
      </c>
      <c r="F440">
        <v>2</v>
      </c>
      <c r="G440" t="s">
        <v>1526</v>
      </c>
      <c r="H440" t="s">
        <v>1527</v>
      </c>
      <c r="I440" t="s">
        <v>1531</v>
      </c>
      <c r="J440" t="s">
        <v>1524</v>
      </c>
      <c r="K440" t="s">
        <v>1525</v>
      </c>
      <c r="L440" s="2">
        <v>5</v>
      </c>
      <c r="M440" s="10">
        <v>747</v>
      </c>
      <c r="N440" s="7">
        <v>3735</v>
      </c>
    </row>
    <row r="441" spans="1:14" x14ac:dyDescent="0.3">
      <c r="A441">
        <v>1157</v>
      </c>
      <c r="B441" s="1">
        <v>45322</v>
      </c>
      <c r="C441">
        <v>2024</v>
      </c>
      <c r="D441">
        <v>1</v>
      </c>
      <c r="E441" t="str">
        <f t="shared" si="6"/>
        <v>Januari</v>
      </c>
      <c r="F441">
        <v>1</v>
      </c>
      <c r="G441" t="s">
        <v>1526</v>
      </c>
      <c r="H441" t="s">
        <v>1527</v>
      </c>
      <c r="I441" t="s">
        <v>1531</v>
      </c>
      <c r="J441" t="s">
        <v>1524</v>
      </c>
      <c r="K441" t="s">
        <v>1525</v>
      </c>
      <c r="L441" s="2">
        <v>5</v>
      </c>
      <c r="M441" s="10">
        <v>747</v>
      </c>
      <c r="N441" s="7">
        <v>3735</v>
      </c>
    </row>
    <row r="442" spans="1:14" x14ac:dyDescent="0.3">
      <c r="A442">
        <v>1157</v>
      </c>
      <c r="B442" s="1">
        <v>45455</v>
      </c>
      <c r="C442">
        <v>2024</v>
      </c>
      <c r="D442">
        <v>6</v>
      </c>
      <c r="E442" t="str">
        <f t="shared" si="6"/>
        <v>Juni</v>
      </c>
      <c r="F442">
        <v>2</v>
      </c>
      <c r="G442" t="s">
        <v>1526</v>
      </c>
      <c r="H442" t="s">
        <v>1527</v>
      </c>
      <c r="I442" t="s">
        <v>1531</v>
      </c>
      <c r="J442" t="s">
        <v>1524</v>
      </c>
      <c r="K442" t="s">
        <v>1525</v>
      </c>
      <c r="L442" s="2">
        <v>5</v>
      </c>
      <c r="M442" s="10">
        <v>747</v>
      </c>
      <c r="N442" s="7">
        <v>3735</v>
      </c>
    </row>
    <row r="443" spans="1:14" x14ac:dyDescent="0.3">
      <c r="A443">
        <v>1158</v>
      </c>
      <c r="B443" s="1">
        <v>45106</v>
      </c>
      <c r="C443">
        <v>2023</v>
      </c>
      <c r="D443">
        <v>6</v>
      </c>
      <c r="E443" t="str">
        <f t="shared" si="6"/>
        <v>Juni</v>
      </c>
      <c r="F443">
        <v>2</v>
      </c>
      <c r="G443" t="s">
        <v>1529</v>
      </c>
      <c r="H443" t="s">
        <v>1530</v>
      </c>
      <c r="I443" t="s">
        <v>1521</v>
      </c>
      <c r="J443" t="s">
        <v>1566</v>
      </c>
      <c r="K443" t="s">
        <v>1514</v>
      </c>
      <c r="L443" s="2">
        <v>2</v>
      </c>
      <c r="M443" s="10">
        <v>850</v>
      </c>
      <c r="N443" s="7">
        <v>1700</v>
      </c>
    </row>
    <row r="444" spans="1:14" x14ac:dyDescent="0.3">
      <c r="A444">
        <v>1158</v>
      </c>
      <c r="B444" s="1">
        <v>44966</v>
      </c>
      <c r="C444">
        <v>2023</v>
      </c>
      <c r="D444">
        <v>2</v>
      </c>
      <c r="E444" t="str">
        <f t="shared" si="6"/>
        <v>Februari</v>
      </c>
      <c r="F444">
        <v>1</v>
      </c>
      <c r="G444" t="s">
        <v>1529</v>
      </c>
      <c r="H444" t="s">
        <v>1530</v>
      </c>
      <c r="I444" t="s">
        <v>1521</v>
      </c>
      <c r="J444" t="s">
        <v>1566</v>
      </c>
      <c r="K444" t="s">
        <v>1514</v>
      </c>
      <c r="L444" s="2">
        <v>2</v>
      </c>
      <c r="M444" s="10">
        <v>850</v>
      </c>
      <c r="N444" s="7">
        <v>1700</v>
      </c>
    </row>
    <row r="445" spans="1:14" x14ac:dyDescent="0.3">
      <c r="A445">
        <v>1158</v>
      </c>
      <c r="B445" s="1">
        <v>44760</v>
      </c>
      <c r="C445">
        <v>2022</v>
      </c>
      <c r="D445">
        <v>7</v>
      </c>
      <c r="E445" t="str">
        <f t="shared" si="6"/>
        <v>Juli</v>
      </c>
      <c r="F445">
        <v>3</v>
      </c>
      <c r="G445" t="s">
        <v>1529</v>
      </c>
      <c r="H445" t="s">
        <v>1530</v>
      </c>
      <c r="I445" t="s">
        <v>1521</v>
      </c>
      <c r="J445" t="s">
        <v>1566</v>
      </c>
      <c r="K445" t="s">
        <v>1514</v>
      </c>
      <c r="L445" s="2">
        <v>2</v>
      </c>
      <c r="M445" s="10">
        <v>850</v>
      </c>
      <c r="N445" s="7">
        <v>1700</v>
      </c>
    </row>
    <row r="446" spans="1:14" x14ac:dyDescent="0.3">
      <c r="A446">
        <v>1158</v>
      </c>
      <c r="B446" s="1">
        <v>44691</v>
      </c>
      <c r="C446">
        <v>2022</v>
      </c>
      <c r="D446">
        <v>5</v>
      </c>
      <c r="E446" t="str">
        <f t="shared" si="6"/>
        <v>Mei</v>
      </c>
      <c r="F446">
        <v>2</v>
      </c>
      <c r="G446" t="s">
        <v>1529</v>
      </c>
      <c r="H446" t="s">
        <v>1530</v>
      </c>
      <c r="I446" t="s">
        <v>1521</v>
      </c>
      <c r="J446" t="s">
        <v>1566</v>
      </c>
      <c r="K446" t="s">
        <v>1514</v>
      </c>
      <c r="L446" s="2">
        <v>2</v>
      </c>
      <c r="M446" s="10">
        <v>850</v>
      </c>
      <c r="N446" s="7">
        <v>1700</v>
      </c>
    </row>
    <row r="447" spans="1:14" x14ac:dyDescent="0.3">
      <c r="A447">
        <v>1158</v>
      </c>
      <c r="B447" s="1">
        <v>45547</v>
      </c>
      <c r="C447">
        <v>2024</v>
      </c>
      <c r="D447">
        <v>9</v>
      </c>
      <c r="E447" t="str">
        <f t="shared" si="6"/>
        <v>September</v>
      </c>
      <c r="F447">
        <v>3</v>
      </c>
      <c r="G447" t="s">
        <v>1529</v>
      </c>
      <c r="H447" t="s">
        <v>1530</v>
      </c>
      <c r="I447" t="s">
        <v>1521</v>
      </c>
      <c r="J447" t="s">
        <v>1566</v>
      </c>
      <c r="K447" t="s">
        <v>1514</v>
      </c>
      <c r="L447" s="2">
        <v>2</v>
      </c>
      <c r="M447" s="10">
        <v>850</v>
      </c>
      <c r="N447" s="7">
        <v>1700</v>
      </c>
    </row>
    <row r="448" spans="1:14" x14ac:dyDescent="0.3">
      <c r="A448">
        <v>1158</v>
      </c>
      <c r="B448" s="1">
        <v>44968</v>
      </c>
      <c r="C448">
        <v>2023</v>
      </c>
      <c r="D448">
        <v>2</v>
      </c>
      <c r="E448" t="str">
        <f t="shared" si="6"/>
        <v>Februari</v>
      </c>
      <c r="F448">
        <v>1</v>
      </c>
      <c r="G448" t="s">
        <v>1529</v>
      </c>
      <c r="H448" t="s">
        <v>1530</v>
      </c>
      <c r="I448" t="s">
        <v>1521</v>
      </c>
      <c r="J448" t="s">
        <v>1566</v>
      </c>
      <c r="K448" t="s">
        <v>1514</v>
      </c>
      <c r="L448" s="2">
        <v>2</v>
      </c>
      <c r="M448" s="10">
        <v>850</v>
      </c>
      <c r="N448" s="7">
        <v>1700</v>
      </c>
    </row>
    <row r="449" spans="1:14" x14ac:dyDescent="0.3">
      <c r="A449">
        <v>1158</v>
      </c>
      <c r="B449" s="1">
        <v>44629</v>
      </c>
      <c r="C449">
        <v>2022</v>
      </c>
      <c r="D449">
        <v>3</v>
      </c>
      <c r="E449" t="str">
        <f t="shared" si="6"/>
        <v>Maret</v>
      </c>
      <c r="F449">
        <v>1</v>
      </c>
      <c r="G449" t="s">
        <v>1529</v>
      </c>
      <c r="H449" t="s">
        <v>1530</v>
      </c>
      <c r="I449" t="s">
        <v>1521</v>
      </c>
      <c r="J449" t="s">
        <v>1566</v>
      </c>
      <c r="K449" t="s">
        <v>1514</v>
      </c>
      <c r="L449" s="2">
        <v>2</v>
      </c>
      <c r="M449" s="10">
        <v>850</v>
      </c>
      <c r="N449" s="7">
        <v>1700</v>
      </c>
    </row>
    <row r="450" spans="1:14" x14ac:dyDescent="0.3">
      <c r="A450">
        <v>1159</v>
      </c>
      <c r="B450" s="1">
        <v>45516</v>
      </c>
      <c r="C450">
        <v>2024</v>
      </c>
      <c r="D450">
        <v>8</v>
      </c>
      <c r="E450" t="str">
        <f t="shared" si="6"/>
        <v>Agustus</v>
      </c>
      <c r="F450">
        <v>3</v>
      </c>
      <c r="G450" t="s">
        <v>1532</v>
      </c>
      <c r="H450" t="s">
        <v>1512</v>
      </c>
      <c r="I450" t="s">
        <v>1513</v>
      </c>
      <c r="J450" t="s">
        <v>1566</v>
      </c>
      <c r="K450" t="s">
        <v>1514</v>
      </c>
      <c r="L450" s="2">
        <v>2</v>
      </c>
      <c r="M450" s="10">
        <v>13771</v>
      </c>
      <c r="N450" s="7">
        <v>27542</v>
      </c>
    </row>
    <row r="451" spans="1:14" x14ac:dyDescent="0.3">
      <c r="A451">
        <v>1159</v>
      </c>
      <c r="B451" s="1">
        <v>45460</v>
      </c>
      <c r="C451">
        <v>2024</v>
      </c>
      <c r="D451">
        <v>6</v>
      </c>
      <c r="E451" t="str">
        <f t="shared" ref="E451:E514" si="7">TEXT(DATE(2026, D451, 1), "[$-id-ID]mmmm")</f>
        <v>Juni</v>
      </c>
      <c r="F451">
        <v>2</v>
      </c>
      <c r="G451" t="s">
        <v>1532</v>
      </c>
      <c r="H451" t="s">
        <v>1512</v>
      </c>
      <c r="I451" t="s">
        <v>1513</v>
      </c>
      <c r="J451" t="s">
        <v>1566</v>
      </c>
      <c r="K451" t="s">
        <v>1514</v>
      </c>
      <c r="L451" s="2">
        <v>2</v>
      </c>
      <c r="M451" s="10">
        <v>13771</v>
      </c>
      <c r="N451" s="7">
        <v>27542</v>
      </c>
    </row>
    <row r="452" spans="1:14" x14ac:dyDescent="0.3">
      <c r="A452">
        <v>1159</v>
      </c>
      <c r="B452" s="1">
        <v>45126</v>
      </c>
      <c r="C452">
        <v>2023</v>
      </c>
      <c r="D452">
        <v>7</v>
      </c>
      <c r="E452" t="str">
        <f t="shared" si="7"/>
        <v>Juli</v>
      </c>
      <c r="F452">
        <v>3</v>
      </c>
      <c r="G452" t="s">
        <v>1532</v>
      </c>
      <c r="H452" t="s">
        <v>1512</v>
      </c>
      <c r="I452" t="s">
        <v>1513</v>
      </c>
      <c r="J452" t="s">
        <v>1566</v>
      </c>
      <c r="K452" t="s">
        <v>1514</v>
      </c>
      <c r="L452" s="2">
        <v>2</v>
      </c>
      <c r="M452" s="10">
        <v>13771</v>
      </c>
      <c r="N452" s="7">
        <v>27542</v>
      </c>
    </row>
    <row r="453" spans="1:14" x14ac:dyDescent="0.3">
      <c r="A453">
        <v>1159</v>
      </c>
      <c r="B453" s="1">
        <v>45200</v>
      </c>
      <c r="C453">
        <v>2023</v>
      </c>
      <c r="D453">
        <v>10</v>
      </c>
      <c r="E453" t="str">
        <f t="shared" si="7"/>
        <v>Oktober</v>
      </c>
      <c r="F453">
        <v>4</v>
      </c>
      <c r="G453" t="s">
        <v>1532</v>
      </c>
      <c r="H453" t="s">
        <v>1512</v>
      </c>
      <c r="I453" t="s">
        <v>1513</v>
      </c>
      <c r="J453" t="s">
        <v>1566</v>
      </c>
      <c r="K453" t="s">
        <v>1514</v>
      </c>
      <c r="L453" s="2">
        <v>2</v>
      </c>
      <c r="M453" s="10">
        <v>13771</v>
      </c>
      <c r="N453" s="7">
        <v>27542</v>
      </c>
    </row>
    <row r="454" spans="1:14" x14ac:dyDescent="0.3">
      <c r="A454">
        <v>1160</v>
      </c>
      <c r="B454" s="1">
        <v>44694</v>
      </c>
      <c r="C454">
        <v>2022</v>
      </c>
      <c r="D454">
        <v>5</v>
      </c>
      <c r="E454" t="str">
        <f t="shared" si="7"/>
        <v>Mei</v>
      </c>
      <c r="F454">
        <v>2</v>
      </c>
      <c r="G454" t="s">
        <v>1533</v>
      </c>
      <c r="H454" t="s">
        <v>1520</v>
      </c>
      <c r="I454" t="s">
        <v>1531</v>
      </c>
      <c r="J454" t="s">
        <v>1517</v>
      </c>
      <c r="K454" t="s">
        <v>1518</v>
      </c>
      <c r="L454" s="2">
        <v>4</v>
      </c>
      <c r="M454" s="10">
        <v>258</v>
      </c>
      <c r="N454" s="7">
        <v>1032</v>
      </c>
    </row>
    <row r="455" spans="1:14" x14ac:dyDescent="0.3">
      <c r="A455">
        <v>1160</v>
      </c>
      <c r="B455" s="1">
        <v>44861</v>
      </c>
      <c r="C455">
        <v>2022</v>
      </c>
      <c r="D455">
        <v>10</v>
      </c>
      <c r="E455" t="str">
        <f t="shared" si="7"/>
        <v>Oktober</v>
      </c>
      <c r="F455">
        <v>4</v>
      </c>
      <c r="G455" t="s">
        <v>1533</v>
      </c>
      <c r="H455" t="s">
        <v>1520</v>
      </c>
      <c r="I455" t="s">
        <v>1531</v>
      </c>
      <c r="J455" t="s">
        <v>1517</v>
      </c>
      <c r="K455" t="s">
        <v>1518</v>
      </c>
      <c r="L455" s="2">
        <v>4</v>
      </c>
      <c r="M455" s="10">
        <v>258</v>
      </c>
      <c r="N455" s="7">
        <v>1032</v>
      </c>
    </row>
    <row r="456" spans="1:14" x14ac:dyDescent="0.3">
      <c r="A456">
        <v>1160</v>
      </c>
      <c r="B456" s="1">
        <v>45624</v>
      </c>
      <c r="C456">
        <v>2024</v>
      </c>
      <c r="D456">
        <v>11</v>
      </c>
      <c r="E456" t="str">
        <f t="shared" si="7"/>
        <v>November</v>
      </c>
      <c r="F456">
        <v>4</v>
      </c>
      <c r="G456" t="s">
        <v>1533</v>
      </c>
      <c r="H456" t="s">
        <v>1520</v>
      </c>
      <c r="I456" t="s">
        <v>1531</v>
      </c>
      <c r="J456" t="s">
        <v>1517</v>
      </c>
      <c r="K456" t="s">
        <v>1518</v>
      </c>
      <c r="L456" s="2">
        <v>4</v>
      </c>
      <c r="M456" s="10">
        <v>258</v>
      </c>
      <c r="N456" s="7">
        <v>1032</v>
      </c>
    </row>
    <row r="457" spans="1:14" x14ac:dyDescent="0.3">
      <c r="A457">
        <v>1161</v>
      </c>
      <c r="B457" s="1">
        <v>45287</v>
      </c>
      <c r="C457">
        <v>2023</v>
      </c>
      <c r="D457">
        <v>12</v>
      </c>
      <c r="E457" t="str">
        <f t="shared" si="7"/>
        <v>Desember</v>
      </c>
      <c r="F457">
        <v>4</v>
      </c>
      <c r="G457" t="s">
        <v>1511</v>
      </c>
      <c r="H457" t="s">
        <v>1512</v>
      </c>
      <c r="I457" t="s">
        <v>1535</v>
      </c>
      <c r="J457" t="s">
        <v>1517</v>
      </c>
      <c r="K457" t="s">
        <v>1525</v>
      </c>
      <c r="L457" s="2">
        <v>2</v>
      </c>
      <c r="M457" s="10">
        <v>44856</v>
      </c>
      <c r="N457" s="7">
        <v>89712</v>
      </c>
    </row>
    <row r="458" spans="1:14" x14ac:dyDescent="0.3">
      <c r="A458">
        <v>1161</v>
      </c>
      <c r="B458" s="1">
        <v>45283</v>
      </c>
      <c r="C458">
        <v>2023</v>
      </c>
      <c r="D458">
        <v>12</v>
      </c>
      <c r="E458" t="str">
        <f t="shared" si="7"/>
        <v>Desember</v>
      </c>
      <c r="F458">
        <v>4</v>
      </c>
      <c r="G458" t="s">
        <v>1511</v>
      </c>
      <c r="H458" t="s">
        <v>1512</v>
      </c>
      <c r="I458" t="s">
        <v>1535</v>
      </c>
      <c r="J458" t="s">
        <v>1517</v>
      </c>
      <c r="K458" t="s">
        <v>1525</v>
      </c>
      <c r="L458" s="2">
        <v>2</v>
      </c>
      <c r="M458" s="10">
        <v>44856</v>
      </c>
      <c r="N458" s="7">
        <v>89712</v>
      </c>
    </row>
    <row r="459" spans="1:14" x14ac:dyDescent="0.3">
      <c r="A459">
        <v>1161</v>
      </c>
      <c r="B459" s="1">
        <v>44839</v>
      </c>
      <c r="C459">
        <v>2022</v>
      </c>
      <c r="D459">
        <v>10</v>
      </c>
      <c r="E459" t="str">
        <f t="shared" si="7"/>
        <v>Oktober</v>
      </c>
      <c r="F459">
        <v>4</v>
      </c>
      <c r="G459" t="s">
        <v>1511</v>
      </c>
      <c r="H459" t="s">
        <v>1512</v>
      </c>
      <c r="I459" t="s">
        <v>1535</v>
      </c>
      <c r="J459" t="s">
        <v>1517</v>
      </c>
      <c r="K459" t="s">
        <v>1525</v>
      </c>
      <c r="L459" s="2">
        <v>2</v>
      </c>
      <c r="M459" s="10">
        <v>44856</v>
      </c>
      <c r="N459" s="7">
        <v>89712</v>
      </c>
    </row>
    <row r="460" spans="1:14" x14ac:dyDescent="0.3">
      <c r="A460">
        <v>1162</v>
      </c>
      <c r="B460" s="1">
        <v>44938</v>
      </c>
      <c r="C460">
        <v>2023</v>
      </c>
      <c r="D460">
        <v>1</v>
      </c>
      <c r="E460" t="str">
        <f t="shared" si="7"/>
        <v>Januari</v>
      </c>
      <c r="F460">
        <v>1</v>
      </c>
      <c r="G460" t="s">
        <v>1515</v>
      </c>
      <c r="H460" t="s">
        <v>1512</v>
      </c>
      <c r="I460" t="s">
        <v>1513</v>
      </c>
      <c r="J460" t="s">
        <v>1517</v>
      </c>
      <c r="K460" t="s">
        <v>1525</v>
      </c>
      <c r="L460" s="2">
        <v>3</v>
      </c>
      <c r="M460" s="10">
        <v>3161</v>
      </c>
      <c r="N460" s="7">
        <v>9483</v>
      </c>
    </row>
    <row r="461" spans="1:14" x14ac:dyDescent="0.3">
      <c r="A461">
        <v>1162</v>
      </c>
      <c r="B461" s="1">
        <v>45109</v>
      </c>
      <c r="C461">
        <v>2023</v>
      </c>
      <c r="D461">
        <v>7</v>
      </c>
      <c r="E461" t="str">
        <f t="shared" si="7"/>
        <v>Juli</v>
      </c>
      <c r="F461">
        <v>3</v>
      </c>
      <c r="G461" t="s">
        <v>1515</v>
      </c>
      <c r="H461" t="s">
        <v>1512</v>
      </c>
      <c r="I461" t="s">
        <v>1513</v>
      </c>
      <c r="J461" t="s">
        <v>1517</v>
      </c>
      <c r="K461" t="s">
        <v>1525</v>
      </c>
      <c r="L461" s="2">
        <v>3</v>
      </c>
      <c r="M461" s="10">
        <v>3161</v>
      </c>
      <c r="N461" s="7">
        <v>9483</v>
      </c>
    </row>
    <row r="462" spans="1:14" x14ac:dyDescent="0.3">
      <c r="A462">
        <v>1162</v>
      </c>
      <c r="B462" s="1">
        <v>45580</v>
      </c>
      <c r="C462">
        <v>2024</v>
      </c>
      <c r="D462">
        <v>10</v>
      </c>
      <c r="E462" t="str">
        <f t="shared" si="7"/>
        <v>Oktober</v>
      </c>
      <c r="F462">
        <v>4</v>
      </c>
      <c r="G462" t="s">
        <v>1515</v>
      </c>
      <c r="H462" t="s">
        <v>1512</v>
      </c>
      <c r="I462" t="s">
        <v>1513</v>
      </c>
      <c r="J462" t="s">
        <v>1517</v>
      </c>
      <c r="K462" t="s">
        <v>1525</v>
      </c>
      <c r="L462" s="2">
        <v>3</v>
      </c>
      <c r="M462" s="10">
        <v>3161</v>
      </c>
      <c r="N462" s="7">
        <v>9483</v>
      </c>
    </row>
    <row r="463" spans="1:14" x14ac:dyDescent="0.3">
      <c r="A463">
        <v>1163</v>
      </c>
      <c r="B463" s="1">
        <v>45616</v>
      </c>
      <c r="C463">
        <v>2024</v>
      </c>
      <c r="D463">
        <v>11</v>
      </c>
      <c r="E463" t="str">
        <f t="shared" si="7"/>
        <v>November</v>
      </c>
      <c r="F463">
        <v>4</v>
      </c>
      <c r="G463" t="s">
        <v>1534</v>
      </c>
      <c r="H463" t="s">
        <v>1530</v>
      </c>
      <c r="I463" t="s">
        <v>1513</v>
      </c>
      <c r="J463" t="s">
        <v>1524</v>
      </c>
      <c r="K463" t="s">
        <v>1525</v>
      </c>
      <c r="L463" s="2">
        <v>1</v>
      </c>
      <c r="M463" s="10">
        <v>4464</v>
      </c>
      <c r="N463" s="7">
        <v>4464</v>
      </c>
    </row>
    <row r="464" spans="1:14" x14ac:dyDescent="0.3">
      <c r="A464">
        <v>1163</v>
      </c>
      <c r="B464" s="1">
        <v>45016</v>
      </c>
      <c r="C464">
        <v>2023</v>
      </c>
      <c r="D464">
        <v>3</v>
      </c>
      <c r="E464" t="str">
        <f t="shared" si="7"/>
        <v>Maret</v>
      </c>
      <c r="F464">
        <v>1</v>
      </c>
      <c r="G464" t="s">
        <v>1534</v>
      </c>
      <c r="H464" t="s">
        <v>1530</v>
      </c>
      <c r="I464" t="s">
        <v>1513</v>
      </c>
      <c r="J464" t="s">
        <v>1524</v>
      </c>
      <c r="K464" t="s">
        <v>1525</v>
      </c>
      <c r="L464" s="2">
        <v>1</v>
      </c>
      <c r="M464" s="10">
        <v>4464</v>
      </c>
      <c r="N464" s="7">
        <v>4464</v>
      </c>
    </row>
    <row r="465" spans="1:14" x14ac:dyDescent="0.3">
      <c r="A465">
        <v>1163</v>
      </c>
      <c r="B465" s="1">
        <v>45242</v>
      </c>
      <c r="C465">
        <v>2023</v>
      </c>
      <c r="D465">
        <v>11</v>
      </c>
      <c r="E465" t="str">
        <f t="shared" si="7"/>
        <v>November</v>
      </c>
      <c r="F465">
        <v>4</v>
      </c>
      <c r="G465" t="s">
        <v>1534</v>
      </c>
      <c r="H465" t="s">
        <v>1530</v>
      </c>
      <c r="I465" t="s">
        <v>1513</v>
      </c>
      <c r="J465" t="s">
        <v>1524</v>
      </c>
      <c r="K465" t="s">
        <v>1525</v>
      </c>
      <c r="L465" s="2">
        <v>1</v>
      </c>
      <c r="M465" s="10">
        <v>4464</v>
      </c>
      <c r="N465" s="7">
        <v>4464</v>
      </c>
    </row>
    <row r="466" spans="1:14" x14ac:dyDescent="0.3">
      <c r="A466">
        <v>1163</v>
      </c>
      <c r="B466" s="1">
        <v>45425</v>
      </c>
      <c r="C466">
        <v>2024</v>
      </c>
      <c r="D466">
        <v>5</v>
      </c>
      <c r="E466" t="str">
        <f t="shared" si="7"/>
        <v>Mei</v>
      </c>
      <c r="F466">
        <v>2</v>
      </c>
      <c r="G466" t="s">
        <v>1534</v>
      </c>
      <c r="H466" t="s">
        <v>1530</v>
      </c>
      <c r="I466" t="s">
        <v>1513</v>
      </c>
      <c r="J466" t="s">
        <v>1524</v>
      </c>
      <c r="K466" t="s">
        <v>1525</v>
      </c>
      <c r="L466" s="2">
        <v>1</v>
      </c>
      <c r="M466" s="10">
        <v>4464</v>
      </c>
      <c r="N466" s="7">
        <v>4464</v>
      </c>
    </row>
    <row r="467" spans="1:14" x14ac:dyDescent="0.3">
      <c r="A467">
        <v>1164</v>
      </c>
      <c r="B467" s="1">
        <v>44865</v>
      </c>
      <c r="C467">
        <v>2022</v>
      </c>
      <c r="D467">
        <v>10</v>
      </c>
      <c r="E467" t="str">
        <f t="shared" si="7"/>
        <v>Oktober</v>
      </c>
      <c r="F467">
        <v>4</v>
      </c>
      <c r="G467" t="s">
        <v>1519</v>
      </c>
      <c r="H467" t="s">
        <v>1520</v>
      </c>
      <c r="I467" t="s">
        <v>1516</v>
      </c>
      <c r="J467" t="s">
        <v>1524</v>
      </c>
      <c r="K467" t="s">
        <v>1525</v>
      </c>
      <c r="L467" s="2">
        <v>1</v>
      </c>
      <c r="M467" s="10">
        <v>4758</v>
      </c>
      <c r="N467" s="7">
        <v>4758</v>
      </c>
    </row>
    <row r="468" spans="1:14" x14ac:dyDescent="0.3">
      <c r="A468">
        <v>1164</v>
      </c>
      <c r="B468" s="1">
        <v>45105</v>
      </c>
      <c r="C468">
        <v>2023</v>
      </c>
      <c r="D468">
        <v>6</v>
      </c>
      <c r="E468" t="str">
        <f t="shared" si="7"/>
        <v>Juni</v>
      </c>
      <c r="F468">
        <v>2</v>
      </c>
      <c r="G468" t="s">
        <v>1519</v>
      </c>
      <c r="H468" t="s">
        <v>1520</v>
      </c>
      <c r="I468" t="s">
        <v>1516</v>
      </c>
      <c r="J468" t="s">
        <v>1524</v>
      </c>
      <c r="K468" t="s">
        <v>1525</v>
      </c>
      <c r="L468" s="2">
        <v>1</v>
      </c>
      <c r="M468" s="10">
        <v>4758</v>
      </c>
      <c r="N468" s="7">
        <v>4758</v>
      </c>
    </row>
    <row r="469" spans="1:14" x14ac:dyDescent="0.3">
      <c r="A469">
        <v>1164</v>
      </c>
      <c r="B469" s="1">
        <v>45020</v>
      </c>
      <c r="C469">
        <v>2023</v>
      </c>
      <c r="D469">
        <v>4</v>
      </c>
      <c r="E469" t="str">
        <f t="shared" si="7"/>
        <v>April</v>
      </c>
      <c r="F469">
        <v>2</v>
      </c>
      <c r="G469" t="s">
        <v>1519</v>
      </c>
      <c r="H469" t="s">
        <v>1520</v>
      </c>
      <c r="I469" t="s">
        <v>1516</v>
      </c>
      <c r="J469" t="s">
        <v>1524</v>
      </c>
      <c r="K469" t="s">
        <v>1525</v>
      </c>
      <c r="L469" s="2">
        <v>1</v>
      </c>
      <c r="M469" s="10">
        <v>4758</v>
      </c>
      <c r="N469" s="7">
        <v>4758</v>
      </c>
    </row>
    <row r="470" spans="1:14" x14ac:dyDescent="0.3">
      <c r="A470">
        <v>1164</v>
      </c>
      <c r="B470" s="1">
        <v>44585</v>
      </c>
      <c r="C470">
        <v>2022</v>
      </c>
      <c r="D470">
        <v>1</v>
      </c>
      <c r="E470" t="str">
        <f t="shared" si="7"/>
        <v>Januari</v>
      </c>
      <c r="F470">
        <v>1</v>
      </c>
      <c r="G470" t="s">
        <v>1519</v>
      </c>
      <c r="H470" t="s">
        <v>1520</v>
      </c>
      <c r="I470" t="s">
        <v>1516</v>
      </c>
      <c r="J470" t="s">
        <v>1524</v>
      </c>
      <c r="K470" t="s">
        <v>1525</v>
      </c>
      <c r="L470" s="2">
        <v>1</v>
      </c>
      <c r="M470" s="10">
        <v>4758</v>
      </c>
      <c r="N470" s="7">
        <v>4758</v>
      </c>
    </row>
    <row r="471" spans="1:14" x14ac:dyDescent="0.3">
      <c r="A471">
        <v>1164</v>
      </c>
      <c r="B471" s="1">
        <v>45048</v>
      </c>
      <c r="C471">
        <v>2023</v>
      </c>
      <c r="D471">
        <v>5</v>
      </c>
      <c r="E471" t="str">
        <f t="shared" si="7"/>
        <v>Mei</v>
      </c>
      <c r="F471">
        <v>2</v>
      </c>
      <c r="G471" t="s">
        <v>1519</v>
      </c>
      <c r="H471" t="s">
        <v>1520</v>
      </c>
      <c r="I471" t="s">
        <v>1516</v>
      </c>
      <c r="J471" t="s">
        <v>1524</v>
      </c>
      <c r="K471" t="s">
        <v>1525</v>
      </c>
      <c r="L471" s="2">
        <v>1</v>
      </c>
      <c r="M471" s="10">
        <v>4758</v>
      </c>
      <c r="N471" s="7">
        <v>4758</v>
      </c>
    </row>
    <row r="472" spans="1:14" x14ac:dyDescent="0.3">
      <c r="A472">
        <v>1165</v>
      </c>
      <c r="B472" s="1">
        <v>45442</v>
      </c>
      <c r="C472">
        <v>2024</v>
      </c>
      <c r="D472">
        <v>5</v>
      </c>
      <c r="E472" t="str">
        <f t="shared" si="7"/>
        <v>Mei</v>
      </c>
      <c r="F472">
        <v>2</v>
      </c>
      <c r="G472" t="s">
        <v>1522</v>
      </c>
      <c r="H472" t="s">
        <v>1520</v>
      </c>
      <c r="I472" t="s">
        <v>1513</v>
      </c>
      <c r="J472" t="s">
        <v>1524</v>
      </c>
      <c r="K472" t="s">
        <v>1518</v>
      </c>
      <c r="L472" s="2">
        <v>4</v>
      </c>
      <c r="M472" s="10">
        <v>490</v>
      </c>
      <c r="N472" s="7">
        <v>1960</v>
      </c>
    </row>
    <row r="473" spans="1:14" x14ac:dyDescent="0.3">
      <c r="A473">
        <v>1165</v>
      </c>
      <c r="B473" s="1">
        <v>44914</v>
      </c>
      <c r="C473">
        <v>2022</v>
      </c>
      <c r="D473">
        <v>12</v>
      </c>
      <c r="E473" t="str">
        <f t="shared" si="7"/>
        <v>Desember</v>
      </c>
      <c r="F473">
        <v>4</v>
      </c>
      <c r="G473" t="s">
        <v>1522</v>
      </c>
      <c r="H473" t="s">
        <v>1520</v>
      </c>
      <c r="I473" t="s">
        <v>1513</v>
      </c>
      <c r="J473" t="s">
        <v>1524</v>
      </c>
      <c r="K473" t="s">
        <v>1518</v>
      </c>
      <c r="L473" s="2">
        <v>4</v>
      </c>
      <c r="M473" s="10">
        <v>490</v>
      </c>
      <c r="N473" s="7">
        <v>1960</v>
      </c>
    </row>
    <row r="474" spans="1:14" x14ac:dyDescent="0.3">
      <c r="A474">
        <v>1165</v>
      </c>
      <c r="B474" s="1">
        <v>45315</v>
      </c>
      <c r="C474">
        <v>2024</v>
      </c>
      <c r="D474">
        <v>1</v>
      </c>
      <c r="E474" t="str">
        <f t="shared" si="7"/>
        <v>Januari</v>
      </c>
      <c r="F474">
        <v>1</v>
      </c>
      <c r="G474" t="s">
        <v>1522</v>
      </c>
      <c r="H474" t="s">
        <v>1520</v>
      </c>
      <c r="I474" t="s">
        <v>1513</v>
      </c>
      <c r="J474" t="s">
        <v>1524</v>
      </c>
      <c r="K474" t="s">
        <v>1518</v>
      </c>
      <c r="L474" s="2">
        <v>4</v>
      </c>
      <c r="M474" s="10">
        <v>490</v>
      </c>
      <c r="N474" s="7">
        <v>1960</v>
      </c>
    </row>
    <row r="475" spans="1:14" x14ac:dyDescent="0.3">
      <c r="A475">
        <v>1165</v>
      </c>
      <c r="B475" s="1">
        <v>44740</v>
      </c>
      <c r="C475">
        <v>2022</v>
      </c>
      <c r="D475">
        <v>6</v>
      </c>
      <c r="E475" t="str">
        <f t="shared" si="7"/>
        <v>Juni</v>
      </c>
      <c r="F475">
        <v>2</v>
      </c>
      <c r="G475" t="s">
        <v>1522</v>
      </c>
      <c r="H475" t="s">
        <v>1520</v>
      </c>
      <c r="I475" t="s">
        <v>1513</v>
      </c>
      <c r="J475" t="s">
        <v>1524</v>
      </c>
      <c r="K475" t="s">
        <v>1518</v>
      </c>
      <c r="L475" s="2">
        <v>4</v>
      </c>
      <c r="M475" s="10">
        <v>490</v>
      </c>
      <c r="N475" s="7">
        <v>1960</v>
      </c>
    </row>
    <row r="476" spans="1:14" x14ac:dyDescent="0.3">
      <c r="A476">
        <v>1165</v>
      </c>
      <c r="B476" s="1">
        <v>44902</v>
      </c>
      <c r="C476">
        <v>2022</v>
      </c>
      <c r="D476">
        <v>12</v>
      </c>
      <c r="E476" t="str">
        <f t="shared" si="7"/>
        <v>Desember</v>
      </c>
      <c r="F476">
        <v>4</v>
      </c>
      <c r="G476" t="s">
        <v>1522</v>
      </c>
      <c r="H476" t="s">
        <v>1520</v>
      </c>
      <c r="I476" t="s">
        <v>1513</v>
      </c>
      <c r="J476" t="s">
        <v>1524</v>
      </c>
      <c r="K476" t="s">
        <v>1518</v>
      </c>
      <c r="L476" s="2">
        <v>4</v>
      </c>
      <c r="M476" s="10">
        <v>490</v>
      </c>
      <c r="N476" s="7">
        <v>1960</v>
      </c>
    </row>
    <row r="477" spans="1:14" x14ac:dyDescent="0.3">
      <c r="A477">
        <v>1165</v>
      </c>
      <c r="B477" s="1">
        <v>45092</v>
      </c>
      <c r="C477">
        <v>2023</v>
      </c>
      <c r="D477">
        <v>6</v>
      </c>
      <c r="E477" t="str">
        <f t="shared" si="7"/>
        <v>Juni</v>
      </c>
      <c r="F477">
        <v>2</v>
      </c>
      <c r="G477" t="s">
        <v>1522</v>
      </c>
      <c r="H477" t="s">
        <v>1520</v>
      </c>
      <c r="I477" t="s">
        <v>1513</v>
      </c>
      <c r="J477" t="s">
        <v>1524</v>
      </c>
      <c r="K477" t="s">
        <v>1518</v>
      </c>
      <c r="L477" s="2">
        <v>4</v>
      </c>
      <c r="M477" s="10">
        <v>490</v>
      </c>
      <c r="N477" s="7">
        <v>1960</v>
      </c>
    </row>
    <row r="478" spans="1:14" x14ac:dyDescent="0.3">
      <c r="A478">
        <v>1165</v>
      </c>
      <c r="B478" s="1">
        <v>45401</v>
      </c>
      <c r="C478">
        <v>2024</v>
      </c>
      <c r="D478">
        <v>4</v>
      </c>
      <c r="E478" t="str">
        <f t="shared" si="7"/>
        <v>April</v>
      </c>
      <c r="F478">
        <v>2</v>
      </c>
      <c r="G478" t="s">
        <v>1522</v>
      </c>
      <c r="H478" t="s">
        <v>1520</v>
      </c>
      <c r="I478" t="s">
        <v>1513</v>
      </c>
      <c r="J478" t="s">
        <v>1524</v>
      </c>
      <c r="K478" t="s">
        <v>1518</v>
      </c>
      <c r="L478" s="2">
        <v>4</v>
      </c>
      <c r="M478" s="10">
        <v>490</v>
      </c>
      <c r="N478" s="7">
        <v>1960</v>
      </c>
    </row>
    <row r="479" spans="1:14" x14ac:dyDescent="0.3">
      <c r="A479">
        <v>1166</v>
      </c>
      <c r="B479" s="1">
        <v>45216</v>
      </c>
      <c r="C479">
        <v>2023</v>
      </c>
      <c r="D479">
        <v>10</v>
      </c>
      <c r="E479" t="str">
        <f t="shared" si="7"/>
        <v>Oktober</v>
      </c>
      <c r="F479">
        <v>4</v>
      </c>
      <c r="G479" t="s">
        <v>1523</v>
      </c>
      <c r="H479" t="s">
        <v>1512</v>
      </c>
      <c r="I479" t="s">
        <v>1531</v>
      </c>
      <c r="J479" t="s">
        <v>1566</v>
      </c>
      <c r="K479" t="s">
        <v>1518</v>
      </c>
      <c r="L479" s="2">
        <v>1</v>
      </c>
      <c r="M479" s="10">
        <v>38739</v>
      </c>
      <c r="N479" s="7">
        <v>38739</v>
      </c>
    </row>
    <row r="480" spans="1:14" x14ac:dyDescent="0.3">
      <c r="A480">
        <v>1166</v>
      </c>
      <c r="B480" s="1">
        <v>45335</v>
      </c>
      <c r="C480">
        <v>2024</v>
      </c>
      <c r="D480">
        <v>2</v>
      </c>
      <c r="E480" t="str">
        <f t="shared" si="7"/>
        <v>Februari</v>
      </c>
      <c r="F480">
        <v>1</v>
      </c>
      <c r="G480" t="s">
        <v>1523</v>
      </c>
      <c r="H480" t="s">
        <v>1512</v>
      </c>
      <c r="I480" t="s">
        <v>1531</v>
      </c>
      <c r="J480" t="s">
        <v>1566</v>
      </c>
      <c r="K480" t="s">
        <v>1518</v>
      </c>
      <c r="L480" s="2">
        <v>1</v>
      </c>
      <c r="M480" s="10">
        <v>38739</v>
      </c>
      <c r="N480" s="7">
        <v>38739</v>
      </c>
    </row>
    <row r="481" spans="1:14" x14ac:dyDescent="0.3">
      <c r="A481">
        <v>1166</v>
      </c>
      <c r="B481" s="1">
        <v>44894</v>
      </c>
      <c r="C481">
        <v>2022</v>
      </c>
      <c r="D481">
        <v>11</v>
      </c>
      <c r="E481" t="str">
        <f t="shared" si="7"/>
        <v>November</v>
      </c>
      <c r="F481">
        <v>4</v>
      </c>
      <c r="G481" t="s">
        <v>1523</v>
      </c>
      <c r="H481" t="s">
        <v>1512</v>
      </c>
      <c r="I481" t="s">
        <v>1531</v>
      </c>
      <c r="J481" t="s">
        <v>1566</v>
      </c>
      <c r="K481" t="s">
        <v>1518</v>
      </c>
      <c r="L481" s="2">
        <v>1</v>
      </c>
      <c r="M481" s="10">
        <v>38739</v>
      </c>
      <c r="N481" s="7">
        <v>38739</v>
      </c>
    </row>
    <row r="482" spans="1:14" x14ac:dyDescent="0.3">
      <c r="A482">
        <v>1167</v>
      </c>
      <c r="B482" s="1">
        <v>44901</v>
      </c>
      <c r="C482">
        <v>2022</v>
      </c>
      <c r="D482">
        <v>12</v>
      </c>
      <c r="E482" t="str">
        <f t="shared" si="7"/>
        <v>Desember</v>
      </c>
      <c r="F482">
        <v>4</v>
      </c>
      <c r="G482" t="s">
        <v>1526</v>
      </c>
      <c r="H482" t="s">
        <v>1527</v>
      </c>
      <c r="I482" t="s">
        <v>1513</v>
      </c>
      <c r="J482" t="s">
        <v>1517</v>
      </c>
      <c r="K482" t="s">
        <v>1525</v>
      </c>
      <c r="L482" s="2">
        <v>3</v>
      </c>
      <c r="M482" s="10">
        <v>368</v>
      </c>
      <c r="N482" s="7">
        <v>1104</v>
      </c>
    </row>
    <row r="483" spans="1:14" x14ac:dyDescent="0.3">
      <c r="A483">
        <v>1167</v>
      </c>
      <c r="B483" s="1">
        <v>44929</v>
      </c>
      <c r="C483">
        <v>2023</v>
      </c>
      <c r="D483">
        <v>1</v>
      </c>
      <c r="E483" t="str">
        <f t="shared" si="7"/>
        <v>Januari</v>
      </c>
      <c r="F483">
        <v>1</v>
      </c>
      <c r="G483" t="s">
        <v>1526</v>
      </c>
      <c r="H483" t="s">
        <v>1527</v>
      </c>
      <c r="I483" t="s">
        <v>1513</v>
      </c>
      <c r="J483" t="s">
        <v>1517</v>
      </c>
      <c r="K483" t="s">
        <v>1525</v>
      </c>
      <c r="L483" s="2">
        <v>3</v>
      </c>
      <c r="M483" s="10">
        <v>368</v>
      </c>
      <c r="N483" s="7">
        <v>1104</v>
      </c>
    </row>
    <row r="484" spans="1:14" x14ac:dyDescent="0.3">
      <c r="A484">
        <v>1167</v>
      </c>
      <c r="B484" s="1">
        <v>45357</v>
      </c>
      <c r="C484">
        <v>2024</v>
      </c>
      <c r="D484">
        <v>3</v>
      </c>
      <c r="E484" t="str">
        <f t="shared" si="7"/>
        <v>Maret</v>
      </c>
      <c r="F484">
        <v>1</v>
      </c>
      <c r="G484" t="s">
        <v>1526</v>
      </c>
      <c r="H484" t="s">
        <v>1527</v>
      </c>
      <c r="I484" t="s">
        <v>1513</v>
      </c>
      <c r="J484" t="s">
        <v>1517</v>
      </c>
      <c r="K484" t="s">
        <v>1525</v>
      </c>
      <c r="L484" s="2">
        <v>3</v>
      </c>
      <c r="M484" s="10">
        <v>368</v>
      </c>
      <c r="N484" s="7">
        <v>1104</v>
      </c>
    </row>
    <row r="485" spans="1:14" x14ac:dyDescent="0.3">
      <c r="A485">
        <v>1168</v>
      </c>
      <c r="B485" s="1">
        <v>44587</v>
      </c>
      <c r="C485">
        <v>2022</v>
      </c>
      <c r="D485">
        <v>1</v>
      </c>
      <c r="E485" t="str">
        <f t="shared" si="7"/>
        <v>Januari</v>
      </c>
      <c r="F485">
        <v>1</v>
      </c>
      <c r="G485" t="s">
        <v>1529</v>
      </c>
      <c r="H485" t="s">
        <v>1530</v>
      </c>
      <c r="I485" t="s">
        <v>1521</v>
      </c>
      <c r="J485" t="s">
        <v>1517</v>
      </c>
      <c r="K485" t="s">
        <v>1514</v>
      </c>
      <c r="L485" s="2">
        <v>1</v>
      </c>
      <c r="M485" s="10">
        <v>1931</v>
      </c>
      <c r="N485" s="7">
        <v>1931</v>
      </c>
    </row>
    <row r="486" spans="1:14" x14ac:dyDescent="0.3">
      <c r="A486">
        <v>1169</v>
      </c>
      <c r="B486" s="1">
        <v>44741</v>
      </c>
      <c r="C486">
        <v>2022</v>
      </c>
      <c r="D486">
        <v>6</v>
      </c>
      <c r="E486" t="str">
        <f t="shared" si="7"/>
        <v>Juni</v>
      </c>
      <c r="F486">
        <v>2</v>
      </c>
      <c r="G486" t="s">
        <v>1532</v>
      </c>
      <c r="H486" t="s">
        <v>1512</v>
      </c>
      <c r="I486" t="s">
        <v>1535</v>
      </c>
      <c r="J486" t="s">
        <v>1517</v>
      </c>
      <c r="K486" t="s">
        <v>1518</v>
      </c>
      <c r="L486" s="2">
        <v>2</v>
      </c>
      <c r="M486" s="10">
        <v>14370</v>
      </c>
      <c r="N486" s="7">
        <v>28740</v>
      </c>
    </row>
    <row r="487" spans="1:14" x14ac:dyDescent="0.3">
      <c r="A487">
        <v>1169</v>
      </c>
      <c r="B487" s="1">
        <v>45110</v>
      </c>
      <c r="C487">
        <v>2023</v>
      </c>
      <c r="D487">
        <v>7</v>
      </c>
      <c r="E487" t="str">
        <f t="shared" si="7"/>
        <v>Juli</v>
      </c>
      <c r="F487">
        <v>3</v>
      </c>
      <c r="G487" t="s">
        <v>1532</v>
      </c>
      <c r="H487" t="s">
        <v>1512</v>
      </c>
      <c r="I487" t="s">
        <v>1535</v>
      </c>
      <c r="J487" t="s">
        <v>1517</v>
      </c>
      <c r="K487" t="s">
        <v>1518</v>
      </c>
      <c r="L487" s="2">
        <v>2</v>
      </c>
      <c r="M487" s="10">
        <v>14370</v>
      </c>
      <c r="N487" s="7">
        <v>28740</v>
      </c>
    </row>
    <row r="488" spans="1:14" x14ac:dyDescent="0.3">
      <c r="A488">
        <v>1169</v>
      </c>
      <c r="B488" s="1">
        <v>44736</v>
      </c>
      <c r="C488">
        <v>2022</v>
      </c>
      <c r="D488">
        <v>6</v>
      </c>
      <c r="E488" t="str">
        <f t="shared" si="7"/>
        <v>Juni</v>
      </c>
      <c r="F488">
        <v>2</v>
      </c>
      <c r="G488" t="s">
        <v>1532</v>
      </c>
      <c r="H488" t="s">
        <v>1512</v>
      </c>
      <c r="I488" t="s">
        <v>1535</v>
      </c>
      <c r="J488" t="s">
        <v>1517</v>
      </c>
      <c r="K488" t="s">
        <v>1518</v>
      </c>
      <c r="L488" s="2">
        <v>2</v>
      </c>
      <c r="M488" s="10">
        <v>14370</v>
      </c>
      <c r="N488" s="7">
        <v>28740</v>
      </c>
    </row>
    <row r="489" spans="1:14" x14ac:dyDescent="0.3">
      <c r="A489">
        <v>1169</v>
      </c>
      <c r="B489" s="1">
        <v>45211</v>
      </c>
      <c r="C489">
        <v>2023</v>
      </c>
      <c r="D489">
        <v>10</v>
      </c>
      <c r="E489" t="str">
        <f t="shared" si="7"/>
        <v>Oktober</v>
      </c>
      <c r="F489">
        <v>4</v>
      </c>
      <c r="G489" t="s">
        <v>1532</v>
      </c>
      <c r="H489" t="s">
        <v>1512</v>
      </c>
      <c r="I489" t="s">
        <v>1535</v>
      </c>
      <c r="J489" t="s">
        <v>1517</v>
      </c>
      <c r="K489" t="s">
        <v>1518</v>
      </c>
      <c r="L489" s="2">
        <v>2</v>
      </c>
      <c r="M489" s="10">
        <v>14370</v>
      </c>
      <c r="N489" s="7">
        <v>28740</v>
      </c>
    </row>
    <row r="490" spans="1:14" x14ac:dyDescent="0.3">
      <c r="A490">
        <v>1169</v>
      </c>
      <c r="B490" s="1">
        <v>44817</v>
      </c>
      <c r="C490">
        <v>2022</v>
      </c>
      <c r="D490">
        <v>9</v>
      </c>
      <c r="E490" t="str">
        <f t="shared" si="7"/>
        <v>September</v>
      </c>
      <c r="F490">
        <v>3</v>
      </c>
      <c r="G490" t="s">
        <v>1532</v>
      </c>
      <c r="H490" t="s">
        <v>1512</v>
      </c>
      <c r="I490" t="s">
        <v>1535</v>
      </c>
      <c r="J490" t="s">
        <v>1517</v>
      </c>
      <c r="K490" t="s">
        <v>1518</v>
      </c>
      <c r="L490" s="2">
        <v>2</v>
      </c>
      <c r="M490" s="10">
        <v>14370</v>
      </c>
      <c r="N490" s="7">
        <v>28740</v>
      </c>
    </row>
    <row r="491" spans="1:14" x14ac:dyDescent="0.3">
      <c r="A491">
        <v>1170</v>
      </c>
      <c r="B491" s="1">
        <v>45164</v>
      </c>
      <c r="C491">
        <v>2023</v>
      </c>
      <c r="D491">
        <v>8</v>
      </c>
      <c r="E491" t="str">
        <f t="shared" si="7"/>
        <v>Agustus</v>
      </c>
      <c r="F491">
        <v>3</v>
      </c>
      <c r="G491" t="s">
        <v>1533</v>
      </c>
      <c r="H491" t="s">
        <v>1520</v>
      </c>
      <c r="I491" t="s">
        <v>1513</v>
      </c>
      <c r="J491" t="s">
        <v>1524</v>
      </c>
      <c r="K491" t="s">
        <v>1525</v>
      </c>
      <c r="L491" s="2">
        <v>2</v>
      </c>
      <c r="M491" s="10">
        <v>780</v>
      </c>
      <c r="N491" s="7">
        <v>1560</v>
      </c>
    </row>
    <row r="492" spans="1:14" x14ac:dyDescent="0.3">
      <c r="A492">
        <v>1170</v>
      </c>
      <c r="B492" s="1">
        <v>45240</v>
      </c>
      <c r="C492">
        <v>2023</v>
      </c>
      <c r="D492">
        <v>11</v>
      </c>
      <c r="E492" t="str">
        <f t="shared" si="7"/>
        <v>November</v>
      </c>
      <c r="F492">
        <v>4</v>
      </c>
      <c r="G492" t="s">
        <v>1533</v>
      </c>
      <c r="H492" t="s">
        <v>1520</v>
      </c>
      <c r="I492" t="s">
        <v>1513</v>
      </c>
      <c r="J492" t="s">
        <v>1524</v>
      </c>
      <c r="K492" t="s">
        <v>1525</v>
      </c>
      <c r="L492" s="2">
        <v>2</v>
      </c>
      <c r="M492" s="10">
        <v>780</v>
      </c>
      <c r="N492" s="7">
        <v>1560</v>
      </c>
    </row>
    <row r="493" spans="1:14" x14ac:dyDescent="0.3">
      <c r="A493">
        <v>1170</v>
      </c>
      <c r="B493" s="1">
        <v>45633</v>
      </c>
      <c r="C493">
        <v>2024</v>
      </c>
      <c r="D493">
        <v>12</v>
      </c>
      <c r="E493" t="str">
        <f t="shared" si="7"/>
        <v>Desember</v>
      </c>
      <c r="F493">
        <v>4</v>
      </c>
      <c r="G493" t="s">
        <v>1533</v>
      </c>
      <c r="H493" t="s">
        <v>1520</v>
      </c>
      <c r="I493" t="s">
        <v>1513</v>
      </c>
      <c r="J493" t="s">
        <v>1524</v>
      </c>
      <c r="K493" t="s">
        <v>1525</v>
      </c>
      <c r="L493" s="2">
        <v>2</v>
      </c>
      <c r="M493" s="10">
        <v>780</v>
      </c>
      <c r="N493" s="7">
        <v>1560</v>
      </c>
    </row>
    <row r="494" spans="1:14" x14ac:dyDescent="0.3">
      <c r="A494">
        <v>1171</v>
      </c>
      <c r="B494" s="1">
        <v>44613</v>
      </c>
      <c r="C494">
        <v>2022</v>
      </c>
      <c r="D494">
        <v>2</v>
      </c>
      <c r="E494" t="str">
        <f t="shared" si="7"/>
        <v>Februari</v>
      </c>
      <c r="F494">
        <v>1</v>
      </c>
      <c r="G494" t="s">
        <v>1511</v>
      </c>
      <c r="H494" t="s">
        <v>1512</v>
      </c>
      <c r="I494" t="s">
        <v>1531</v>
      </c>
      <c r="J494" t="s">
        <v>1566</v>
      </c>
      <c r="K494" t="s">
        <v>1518</v>
      </c>
      <c r="L494" s="2">
        <v>2</v>
      </c>
      <c r="M494" s="10">
        <v>54865</v>
      </c>
      <c r="N494" s="7">
        <v>109730</v>
      </c>
    </row>
    <row r="495" spans="1:14" x14ac:dyDescent="0.3">
      <c r="A495">
        <v>1172</v>
      </c>
      <c r="B495" s="1">
        <v>45641</v>
      </c>
      <c r="C495">
        <v>2024</v>
      </c>
      <c r="D495">
        <v>12</v>
      </c>
      <c r="E495" t="str">
        <f t="shared" si="7"/>
        <v>Desember</v>
      </c>
      <c r="F495">
        <v>4</v>
      </c>
      <c r="G495" t="s">
        <v>1515</v>
      </c>
      <c r="H495" t="s">
        <v>1512</v>
      </c>
      <c r="I495" t="s">
        <v>1528</v>
      </c>
      <c r="J495" t="s">
        <v>1566</v>
      </c>
      <c r="K495" t="s">
        <v>1518</v>
      </c>
      <c r="L495" s="2">
        <v>2</v>
      </c>
      <c r="M495" s="10">
        <v>4481</v>
      </c>
      <c r="N495" s="7">
        <v>8962</v>
      </c>
    </row>
    <row r="496" spans="1:14" x14ac:dyDescent="0.3">
      <c r="A496">
        <v>1172</v>
      </c>
      <c r="B496" s="1">
        <v>45567</v>
      </c>
      <c r="C496">
        <v>2024</v>
      </c>
      <c r="D496">
        <v>10</v>
      </c>
      <c r="E496" t="str">
        <f t="shared" si="7"/>
        <v>Oktober</v>
      </c>
      <c r="F496">
        <v>4</v>
      </c>
      <c r="G496" t="s">
        <v>1515</v>
      </c>
      <c r="H496" t="s">
        <v>1512</v>
      </c>
      <c r="I496" t="s">
        <v>1528</v>
      </c>
      <c r="J496" t="s">
        <v>1566</v>
      </c>
      <c r="K496" t="s">
        <v>1518</v>
      </c>
      <c r="L496" s="2">
        <v>2</v>
      </c>
      <c r="M496" s="10">
        <v>4481</v>
      </c>
      <c r="N496" s="7">
        <v>8962</v>
      </c>
    </row>
    <row r="497" spans="1:14" x14ac:dyDescent="0.3">
      <c r="A497">
        <v>1173</v>
      </c>
      <c r="B497" s="1">
        <v>45035</v>
      </c>
      <c r="C497">
        <v>2023</v>
      </c>
      <c r="D497">
        <v>4</v>
      </c>
      <c r="E497" t="str">
        <f t="shared" si="7"/>
        <v>April</v>
      </c>
      <c r="F497">
        <v>2</v>
      </c>
      <c r="G497" t="s">
        <v>1534</v>
      </c>
      <c r="H497" t="s">
        <v>1530</v>
      </c>
      <c r="I497" t="s">
        <v>1521</v>
      </c>
      <c r="J497" t="s">
        <v>1566</v>
      </c>
      <c r="K497" t="s">
        <v>1514</v>
      </c>
      <c r="L497" s="2">
        <v>2</v>
      </c>
      <c r="M497" s="10">
        <v>1972</v>
      </c>
      <c r="N497" s="7">
        <v>3944</v>
      </c>
    </row>
    <row r="498" spans="1:14" x14ac:dyDescent="0.3">
      <c r="A498">
        <v>1173</v>
      </c>
      <c r="B498" s="1">
        <v>44623</v>
      </c>
      <c r="C498">
        <v>2022</v>
      </c>
      <c r="D498">
        <v>3</v>
      </c>
      <c r="E498" t="str">
        <f t="shared" si="7"/>
        <v>Maret</v>
      </c>
      <c r="F498">
        <v>1</v>
      </c>
      <c r="G498" t="s">
        <v>1534</v>
      </c>
      <c r="H498" t="s">
        <v>1530</v>
      </c>
      <c r="I498" t="s">
        <v>1521</v>
      </c>
      <c r="J498" t="s">
        <v>1566</v>
      </c>
      <c r="K498" t="s">
        <v>1514</v>
      </c>
      <c r="L498" s="2">
        <v>2</v>
      </c>
      <c r="M498" s="10">
        <v>1972</v>
      </c>
      <c r="N498" s="7">
        <v>3944</v>
      </c>
    </row>
    <row r="499" spans="1:14" x14ac:dyDescent="0.3">
      <c r="A499">
        <v>1173</v>
      </c>
      <c r="B499" s="1">
        <v>45185</v>
      </c>
      <c r="C499">
        <v>2023</v>
      </c>
      <c r="D499">
        <v>9</v>
      </c>
      <c r="E499" t="str">
        <f t="shared" si="7"/>
        <v>September</v>
      </c>
      <c r="F499">
        <v>3</v>
      </c>
      <c r="G499" t="s">
        <v>1534</v>
      </c>
      <c r="H499" t="s">
        <v>1530</v>
      </c>
      <c r="I499" t="s">
        <v>1521</v>
      </c>
      <c r="J499" t="s">
        <v>1566</v>
      </c>
      <c r="K499" t="s">
        <v>1514</v>
      </c>
      <c r="L499" s="2">
        <v>2</v>
      </c>
      <c r="M499" s="10">
        <v>1972</v>
      </c>
      <c r="N499" s="7">
        <v>3944</v>
      </c>
    </row>
    <row r="500" spans="1:14" x14ac:dyDescent="0.3">
      <c r="A500">
        <v>1173</v>
      </c>
      <c r="B500" s="1">
        <v>44789</v>
      </c>
      <c r="C500">
        <v>2022</v>
      </c>
      <c r="D500">
        <v>8</v>
      </c>
      <c r="E500" t="str">
        <f t="shared" si="7"/>
        <v>Agustus</v>
      </c>
      <c r="F500">
        <v>3</v>
      </c>
      <c r="G500" t="s">
        <v>1534</v>
      </c>
      <c r="H500" t="s">
        <v>1530</v>
      </c>
      <c r="I500" t="s">
        <v>1521</v>
      </c>
      <c r="J500" t="s">
        <v>1566</v>
      </c>
      <c r="K500" t="s">
        <v>1514</v>
      </c>
      <c r="L500" s="2">
        <v>2</v>
      </c>
      <c r="M500" s="10">
        <v>1972</v>
      </c>
      <c r="N500" s="7">
        <v>3944</v>
      </c>
    </row>
    <row r="501" spans="1:14" x14ac:dyDescent="0.3">
      <c r="A501">
        <v>1174</v>
      </c>
      <c r="B501" s="1">
        <v>45399</v>
      </c>
      <c r="C501">
        <v>2024</v>
      </c>
      <c r="D501">
        <v>4</v>
      </c>
      <c r="E501" t="str">
        <f t="shared" si="7"/>
        <v>April</v>
      </c>
      <c r="F501">
        <v>2</v>
      </c>
      <c r="G501" t="s">
        <v>1519</v>
      </c>
      <c r="H501" t="s">
        <v>1520</v>
      </c>
      <c r="I501" t="s">
        <v>1531</v>
      </c>
      <c r="J501" t="s">
        <v>1566</v>
      </c>
      <c r="K501" t="s">
        <v>1514</v>
      </c>
      <c r="L501" s="2">
        <v>1</v>
      </c>
      <c r="M501" s="10">
        <v>9837</v>
      </c>
      <c r="N501" s="7">
        <v>9837</v>
      </c>
    </row>
    <row r="502" spans="1:14" x14ac:dyDescent="0.3">
      <c r="A502">
        <v>1174</v>
      </c>
      <c r="B502" s="1">
        <v>44655</v>
      </c>
      <c r="C502">
        <v>2022</v>
      </c>
      <c r="D502">
        <v>4</v>
      </c>
      <c r="E502" t="str">
        <f t="shared" si="7"/>
        <v>April</v>
      </c>
      <c r="F502">
        <v>2</v>
      </c>
      <c r="G502" t="s">
        <v>1519</v>
      </c>
      <c r="H502" t="s">
        <v>1520</v>
      </c>
      <c r="I502" t="s">
        <v>1531</v>
      </c>
      <c r="J502" t="s">
        <v>1566</v>
      </c>
      <c r="K502" t="s">
        <v>1514</v>
      </c>
      <c r="L502" s="2">
        <v>1</v>
      </c>
      <c r="M502" s="10">
        <v>9837</v>
      </c>
      <c r="N502" s="7">
        <v>9837</v>
      </c>
    </row>
    <row r="503" spans="1:14" x14ac:dyDescent="0.3">
      <c r="A503">
        <v>1174</v>
      </c>
      <c r="B503" s="1">
        <v>44639</v>
      </c>
      <c r="C503">
        <v>2022</v>
      </c>
      <c r="D503">
        <v>3</v>
      </c>
      <c r="E503" t="str">
        <f t="shared" si="7"/>
        <v>Maret</v>
      </c>
      <c r="F503">
        <v>1</v>
      </c>
      <c r="G503" t="s">
        <v>1519</v>
      </c>
      <c r="H503" t="s">
        <v>1520</v>
      </c>
      <c r="I503" t="s">
        <v>1531</v>
      </c>
      <c r="J503" t="s">
        <v>1566</v>
      </c>
      <c r="K503" t="s">
        <v>1514</v>
      </c>
      <c r="L503" s="2">
        <v>1</v>
      </c>
      <c r="M503" s="10">
        <v>9837</v>
      </c>
      <c r="N503" s="7">
        <v>9837</v>
      </c>
    </row>
    <row r="504" spans="1:14" x14ac:dyDescent="0.3">
      <c r="A504">
        <v>1175</v>
      </c>
      <c r="B504" s="1">
        <v>44824</v>
      </c>
      <c r="C504">
        <v>2022</v>
      </c>
      <c r="D504">
        <v>9</v>
      </c>
      <c r="E504" t="str">
        <f t="shared" si="7"/>
        <v>September</v>
      </c>
      <c r="F504">
        <v>3</v>
      </c>
      <c r="G504" t="s">
        <v>1522</v>
      </c>
      <c r="H504" t="s">
        <v>1520</v>
      </c>
      <c r="I504" t="s">
        <v>1513</v>
      </c>
      <c r="J504" t="s">
        <v>1517</v>
      </c>
      <c r="K504" t="s">
        <v>1514</v>
      </c>
      <c r="L504" s="2">
        <v>5</v>
      </c>
      <c r="M504" s="10">
        <v>857</v>
      </c>
      <c r="N504" s="7">
        <v>4285</v>
      </c>
    </row>
    <row r="505" spans="1:14" x14ac:dyDescent="0.3">
      <c r="A505">
        <v>1176</v>
      </c>
      <c r="B505" s="1">
        <v>45052</v>
      </c>
      <c r="C505">
        <v>2023</v>
      </c>
      <c r="D505">
        <v>5</v>
      </c>
      <c r="E505" t="str">
        <f t="shared" si="7"/>
        <v>Mei</v>
      </c>
      <c r="F505">
        <v>2</v>
      </c>
      <c r="G505" t="s">
        <v>1523</v>
      </c>
      <c r="H505" t="s">
        <v>1512</v>
      </c>
      <c r="I505" t="s">
        <v>1513</v>
      </c>
      <c r="J505" t="s">
        <v>1566</v>
      </c>
      <c r="K505" t="s">
        <v>1514</v>
      </c>
      <c r="L505" s="2">
        <v>1</v>
      </c>
      <c r="M505" s="10">
        <v>20323</v>
      </c>
      <c r="N505" s="7">
        <v>20323</v>
      </c>
    </row>
    <row r="506" spans="1:14" x14ac:dyDescent="0.3">
      <c r="A506">
        <v>1176</v>
      </c>
      <c r="B506" s="1">
        <v>44738</v>
      </c>
      <c r="C506">
        <v>2022</v>
      </c>
      <c r="D506">
        <v>6</v>
      </c>
      <c r="E506" t="str">
        <f t="shared" si="7"/>
        <v>Juni</v>
      </c>
      <c r="F506">
        <v>2</v>
      </c>
      <c r="G506" t="s">
        <v>1523</v>
      </c>
      <c r="H506" t="s">
        <v>1512</v>
      </c>
      <c r="I506" t="s">
        <v>1513</v>
      </c>
      <c r="J506" t="s">
        <v>1566</v>
      </c>
      <c r="K506" t="s">
        <v>1514</v>
      </c>
      <c r="L506" s="2">
        <v>1</v>
      </c>
      <c r="M506" s="10">
        <v>20323</v>
      </c>
      <c r="N506" s="7">
        <v>20323</v>
      </c>
    </row>
    <row r="507" spans="1:14" x14ac:dyDescent="0.3">
      <c r="A507">
        <v>1176</v>
      </c>
      <c r="B507" s="1">
        <v>44956</v>
      </c>
      <c r="C507">
        <v>2023</v>
      </c>
      <c r="D507">
        <v>1</v>
      </c>
      <c r="E507" t="str">
        <f t="shared" si="7"/>
        <v>Januari</v>
      </c>
      <c r="F507">
        <v>1</v>
      </c>
      <c r="G507" t="s">
        <v>1523</v>
      </c>
      <c r="H507" t="s">
        <v>1512</v>
      </c>
      <c r="I507" t="s">
        <v>1513</v>
      </c>
      <c r="J507" t="s">
        <v>1566</v>
      </c>
      <c r="K507" t="s">
        <v>1514</v>
      </c>
      <c r="L507" s="2">
        <v>1</v>
      </c>
      <c r="M507" s="10">
        <v>20323</v>
      </c>
      <c r="N507" s="7">
        <v>20323</v>
      </c>
    </row>
    <row r="508" spans="1:14" x14ac:dyDescent="0.3">
      <c r="A508">
        <v>1177</v>
      </c>
      <c r="B508" s="1">
        <v>45328</v>
      </c>
      <c r="C508">
        <v>2024</v>
      </c>
      <c r="D508">
        <v>2</v>
      </c>
      <c r="E508" t="str">
        <f t="shared" si="7"/>
        <v>Februari</v>
      </c>
      <c r="F508">
        <v>1</v>
      </c>
      <c r="G508" t="s">
        <v>1526</v>
      </c>
      <c r="H508" t="s">
        <v>1527</v>
      </c>
      <c r="I508" t="s">
        <v>1531</v>
      </c>
      <c r="J508" t="s">
        <v>1517</v>
      </c>
      <c r="K508" t="s">
        <v>1525</v>
      </c>
      <c r="L508" s="2">
        <v>5</v>
      </c>
      <c r="M508" s="10">
        <v>1000</v>
      </c>
      <c r="N508" s="7">
        <v>5000</v>
      </c>
    </row>
    <row r="509" spans="1:14" x14ac:dyDescent="0.3">
      <c r="A509">
        <v>1177</v>
      </c>
      <c r="B509" s="1">
        <v>45342</v>
      </c>
      <c r="C509">
        <v>2024</v>
      </c>
      <c r="D509">
        <v>2</v>
      </c>
      <c r="E509" t="str">
        <f t="shared" si="7"/>
        <v>Februari</v>
      </c>
      <c r="F509">
        <v>1</v>
      </c>
      <c r="G509" t="s">
        <v>1526</v>
      </c>
      <c r="H509" t="s">
        <v>1527</v>
      </c>
      <c r="I509" t="s">
        <v>1531</v>
      </c>
      <c r="J509" t="s">
        <v>1517</v>
      </c>
      <c r="K509" t="s">
        <v>1525</v>
      </c>
      <c r="L509" s="2">
        <v>5</v>
      </c>
      <c r="M509" s="10">
        <v>1000</v>
      </c>
      <c r="N509" s="7">
        <v>5000</v>
      </c>
    </row>
    <row r="510" spans="1:14" x14ac:dyDescent="0.3">
      <c r="A510">
        <v>1177</v>
      </c>
      <c r="B510" s="1">
        <v>45186</v>
      </c>
      <c r="C510">
        <v>2023</v>
      </c>
      <c r="D510">
        <v>9</v>
      </c>
      <c r="E510" t="str">
        <f t="shared" si="7"/>
        <v>September</v>
      </c>
      <c r="F510">
        <v>3</v>
      </c>
      <c r="G510" t="s">
        <v>1526</v>
      </c>
      <c r="H510" t="s">
        <v>1527</v>
      </c>
      <c r="I510" t="s">
        <v>1531</v>
      </c>
      <c r="J510" t="s">
        <v>1517</v>
      </c>
      <c r="K510" t="s">
        <v>1525</v>
      </c>
      <c r="L510" s="2">
        <v>5</v>
      </c>
      <c r="M510" s="10">
        <v>1000</v>
      </c>
      <c r="N510" s="7">
        <v>5000</v>
      </c>
    </row>
    <row r="511" spans="1:14" x14ac:dyDescent="0.3">
      <c r="A511">
        <v>1178</v>
      </c>
      <c r="B511" s="1">
        <v>45629</v>
      </c>
      <c r="C511">
        <v>2024</v>
      </c>
      <c r="D511">
        <v>12</v>
      </c>
      <c r="E511" t="str">
        <f t="shared" si="7"/>
        <v>Desember</v>
      </c>
      <c r="F511">
        <v>4</v>
      </c>
      <c r="G511" t="s">
        <v>1529</v>
      </c>
      <c r="H511" t="s">
        <v>1530</v>
      </c>
      <c r="I511" t="s">
        <v>1513</v>
      </c>
      <c r="J511" t="s">
        <v>1524</v>
      </c>
      <c r="K511" t="s">
        <v>1525</v>
      </c>
      <c r="L511" s="2">
        <v>5</v>
      </c>
      <c r="M511" s="10">
        <v>1359</v>
      </c>
      <c r="N511" s="7">
        <v>6795</v>
      </c>
    </row>
    <row r="512" spans="1:14" x14ac:dyDescent="0.3">
      <c r="A512">
        <v>1178</v>
      </c>
      <c r="B512" s="1">
        <v>44615</v>
      </c>
      <c r="C512">
        <v>2022</v>
      </c>
      <c r="D512">
        <v>2</v>
      </c>
      <c r="E512" t="str">
        <f t="shared" si="7"/>
        <v>Februari</v>
      </c>
      <c r="F512">
        <v>1</v>
      </c>
      <c r="G512" t="s">
        <v>1529</v>
      </c>
      <c r="H512" t="s">
        <v>1530</v>
      </c>
      <c r="I512" t="s">
        <v>1513</v>
      </c>
      <c r="J512" t="s">
        <v>1524</v>
      </c>
      <c r="K512" t="s">
        <v>1525</v>
      </c>
      <c r="L512" s="2">
        <v>5</v>
      </c>
      <c r="M512" s="10">
        <v>1359</v>
      </c>
      <c r="N512" s="7">
        <v>6795</v>
      </c>
    </row>
    <row r="513" spans="1:14" x14ac:dyDescent="0.3">
      <c r="A513">
        <v>1179</v>
      </c>
      <c r="B513" s="1">
        <v>45289</v>
      </c>
      <c r="C513">
        <v>2023</v>
      </c>
      <c r="D513">
        <v>12</v>
      </c>
      <c r="E513" t="str">
        <f t="shared" si="7"/>
        <v>Desember</v>
      </c>
      <c r="F513">
        <v>4</v>
      </c>
      <c r="G513" t="s">
        <v>1532</v>
      </c>
      <c r="H513" t="s">
        <v>1512</v>
      </c>
      <c r="I513" t="s">
        <v>1521</v>
      </c>
      <c r="J513" t="s">
        <v>1524</v>
      </c>
      <c r="K513" t="s">
        <v>1514</v>
      </c>
      <c r="L513" s="2">
        <v>1</v>
      </c>
      <c r="M513" s="10">
        <v>14026</v>
      </c>
      <c r="N513" s="7">
        <v>14026</v>
      </c>
    </row>
    <row r="514" spans="1:14" x14ac:dyDescent="0.3">
      <c r="A514">
        <v>1180</v>
      </c>
      <c r="B514" s="1">
        <v>44723</v>
      </c>
      <c r="C514">
        <v>2022</v>
      </c>
      <c r="D514">
        <v>6</v>
      </c>
      <c r="E514" t="str">
        <f t="shared" si="7"/>
        <v>Juni</v>
      </c>
      <c r="F514">
        <v>2</v>
      </c>
      <c r="G514" t="s">
        <v>1533</v>
      </c>
      <c r="H514" t="s">
        <v>1520</v>
      </c>
      <c r="I514" t="s">
        <v>1531</v>
      </c>
      <c r="J514" t="s">
        <v>1517</v>
      </c>
      <c r="K514" t="s">
        <v>1518</v>
      </c>
      <c r="L514" s="2">
        <v>2</v>
      </c>
      <c r="M514" s="10">
        <v>685</v>
      </c>
      <c r="N514" s="7">
        <v>1370</v>
      </c>
    </row>
    <row r="515" spans="1:14" x14ac:dyDescent="0.3">
      <c r="A515">
        <v>1180</v>
      </c>
      <c r="B515" s="1">
        <v>45390</v>
      </c>
      <c r="C515">
        <v>2024</v>
      </c>
      <c r="D515">
        <v>4</v>
      </c>
      <c r="E515" t="str">
        <f t="shared" ref="E515:E578" si="8">TEXT(DATE(2026, D515, 1), "[$-id-ID]mmmm")</f>
        <v>April</v>
      </c>
      <c r="F515">
        <v>2</v>
      </c>
      <c r="G515" t="s">
        <v>1533</v>
      </c>
      <c r="H515" t="s">
        <v>1520</v>
      </c>
      <c r="I515" t="s">
        <v>1531</v>
      </c>
      <c r="J515" t="s">
        <v>1517</v>
      </c>
      <c r="K515" t="s">
        <v>1518</v>
      </c>
      <c r="L515" s="2">
        <v>2</v>
      </c>
      <c r="M515" s="10">
        <v>685</v>
      </c>
      <c r="N515" s="7">
        <v>1370</v>
      </c>
    </row>
    <row r="516" spans="1:14" x14ac:dyDescent="0.3">
      <c r="A516">
        <v>1180</v>
      </c>
      <c r="B516" s="1">
        <v>45221</v>
      </c>
      <c r="C516">
        <v>2023</v>
      </c>
      <c r="D516">
        <v>10</v>
      </c>
      <c r="E516" t="str">
        <f t="shared" si="8"/>
        <v>Oktober</v>
      </c>
      <c r="F516">
        <v>4</v>
      </c>
      <c r="G516" t="s">
        <v>1533</v>
      </c>
      <c r="H516" t="s">
        <v>1520</v>
      </c>
      <c r="I516" t="s">
        <v>1531</v>
      </c>
      <c r="J516" t="s">
        <v>1517</v>
      </c>
      <c r="K516" t="s">
        <v>1518</v>
      </c>
      <c r="L516" s="2">
        <v>2</v>
      </c>
      <c r="M516" s="10">
        <v>685</v>
      </c>
      <c r="N516" s="7">
        <v>1370</v>
      </c>
    </row>
    <row r="517" spans="1:14" x14ac:dyDescent="0.3">
      <c r="A517">
        <v>1181</v>
      </c>
      <c r="B517" s="1">
        <v>45574</v>
      </c>
      <c r="C517">
        <v>2024</v>
      </c>
      <c r="D517">
        <v>10</v>
      </c>
      <c r="E517" t="str">
        <f t="shared" si="8"/>
        <v>Oktober</v>
      </c>
      <c r="F517">
        <v>4</v>
      </c>
      <c r="G517" t="s">
        <v>1511</v>
      </c>
      <c r="H517" t="s">
        <v>1512</v>
      </c>
      <c r="I517" t="s">
        <v>1516</v>
      </c>
      <c r="J517" t="s">
        <v>1524</v>
      </c>
      <c r="K517" t="s">
        <v>1518</v>
      </c>
      <c r="L517" s="2">
        <v>1</v>
      </c>
      <c r="M517" s="10">
        <v>54311</v>
      </c>
      <c r="N517" s="7">
        <v>54311</v>
      </c>
    </row>
    <row r="518" spans="1:14" x14ac:dyDescent="0.3">
      <c r="A518">
        <v>1181</v>
      </c>
      <c r="B518" s="1">
        <v>45643</v>
      </c>
      <c r="C518">
        <v>2024</v>
      </c>
      <c r="D518">
        <v>12</v>
      </c>
      <c r="E518" t="str">
        <f t="shared" si="8"/>
        <v>Desember</v>
      </c>
      <c r="F518">
        <v>4</v>
      </c>
      <c r="G518" t="s">
        <v>1511</v>
      </c>
      <c r="H518" t="s">
        <v>1512</v>
      </c>
      <c r="I518" t="s">
        <v>1516</v>
      </c>
      <c r="J518" t="s">
        <v>1524</v>
      </c>
      <c r="K518" t="s">
        <v>1518</v>
      </c>
      <c r="L518" s="2">
        <v>1</v>
      </c>
      <c r="M518" s="10">
        <v>54311</v>
      </c>
      <c r="N518" s="7">
        <v>54311</v>
      </c>
    </row>
    <row r="519" spans="1:14" x14ac:dyDescent="0.3">
      <c r="A519">
        <v>1181</v>
      </c>
      <c r="B519" s="1">
        <v>45183</v>
      </c>
      <c r="C519">
        <v>2023</v>
      </c>
      <c r="D519">
        <v>9</v>
      </c>
      <c r="E519" t="str">
        <f t="shared" si="8"/>
        <v>September</v>
      </c>
      <c r="F519">
        <v>3</v>
      </c>
      <c r="G519" t="s">
        <v>1511</v>
      </c>
      <c r="H519" t="s">
        <v>1512</v>
      </c>
      <c r="I519" t="s">
        <v>1516</v>
      </c>
      <c r="J519" t="s">
        <v>1524</v>
      </c>
      <c r="K519" t="s">
        <v>1518</v>
      </c>
      <c r="L519" s="2">
        <v>1</v>
      </c>
      <c r="M519" s="10">
        <v>54311</v>
      </c>
      <c r="N519" s="7">
        <v>54311</v>
      </c>
    </row>
    <row r="520" spans="1:14" x14ac:dyDescent="0.3">
      <c r="A520">
        <v>1181</v>
      </c>
      <c r="B520" s="1">
        <v>44787</v>
      </c>
      <c r="C520">
        <v>2022</v>
      </c>
      <c r="D520">
        <v>8</v>
      </c>
      <c r="E520" t="str">
        <f t="shared" si="8"/>
        <v>Agustus</v>
      </c>
      <c r="F520">
        <v>3</v>
      </c>
      <c r="G520" t="s">
        <v>1511</v>
      </c>
      <c r="H520" t="s">
        <v>1512</v>
      </c>
      <c r="I520" t="s">
        <v>1516</v>
      </c>
      <c r="J520" t="s">
        <v>1524</v>
      </c>
      <c r="K520" t="s">
        <v>1518</v>
      </c>
      <c r="L520" s="2">
        <v>1</v>
      </c>
      <c r="M520" s="10">
        <v>54311</v>
      </c>
      <c r="N520" s="7">
        <v>54311</v>
      </c>
    </row>
    <row r="521" spans="1:14" x14ac:dyDescent="0.3">
      <c r="A521">
        <v>1182</v>
      </c>
      <c r="B521" s="1">
        <v>44740</v>
      </c>
      <c r="C521">
        <v>2022</v>
      </c>
      <c r="D521">
        <v>6</v>
      </c>
      <c r="E521" t="str">
        <f t="shared" si="8"/>
        <v>Juni</v>
      </c>
      <c r="F521">
        <v>2</v>
      </c>
      <c r="G521" t="s">
        <v>1515</v>
      </c>
      <c r="H521" t="s">
        <v>1512</v>
      </c>
      <c r="I521" t="s">
        <v>1521</v>
      </c>
      <c r="J521" t="s">
        <v>1566</v>
      </c>
      <c r="K521" t="s">
        <v>1514</v>
      </c>
      <c r="L521" s="2">
        <v>2</v>
      </c>
      <c r="M521" s="10">
        <v>1713</v>
      </c>
      <c r="N521" s="7">
        <v>3426</v>
      </c>
    </row>
    <row r="522" spans="1:14" x14ac:dyDescent="0.3">
      <c r="A522">
        <v>1182</v>
      </c>
      <c r="B522" s="1">
        <v>45109</v>
      </c>
      <c r="C522">
        <v>2023</v>
      </c>
      <c r="D522">
        <v>7</v>
      </c>
      <c r="E522" t="str">
        <f t="shared" si="8"/>
        <v>Juli</v>
      </c>
      <c r="F522">
        <v>3</v>
      </c>
      <c r="G522" t="s">
        <v>1515</v>
      </c>
      <c r="H522" t="s">
        <v>1512</v>
      </c>
      <c r="I522" t="s">
        <v>1521</v>
      </c>
      <c r="J522" t="s">
        <v>1566</v>
      </c>
      <c r="K522" t="s">
        <v>1514</v>
      </c>
      <c r="L522" s="2">
        <v>2</v>
      </c>
      <c r="M522" s="10">
        <v>1713</v>
      </c>
      <c r="N522" s="7">
        <v>3426</v>
      </c>
    </row>
    <row r="523" spans="1:14" x14ac:dyDescent="0.3">
      <c r="A523">
        <v>1182</v>
      </c>
      <c r="B523" s="1">
        <v>45474</v>
      </c>
      <c r="C523">
        <v>2024</v>
      </c>
      <c r="D523">
        <v>7</v>
      </c>
      <c r="E523" t="str">
        <f t="shared" si="8"/>
        <v>Juli</v>
      </c>
      <c r="F523">
        <v>3</v>
      </c>
      <c r="G523" t="s">
        <v>1515</v>
      </c>
      <c r="H523" t="s">
        <v>1512</v>
      </c>
      <c r="I523" t="s">
        <v>1521</v>
      </c>
      <c r="J523" t="s">
        <v>1566</v>
      </c>
      <c r="K523" t="s">
        <v>1514</v>
      </c>
      <c r="L523" s="2">
        <v>2</v>
      </c>
      <c r="M523" s="10">
        <v>1713</v>
      </c>
      <c r="N523" s="7">
        <v>3426</v>
      </c>
    </row>
    <row r="524" spans="1:14" x14ac:dyDescent="0.3">
      <c r="A524">
        <v>1183</v>
      </c>
      <c r="B524" s="1">
        <v>44653</v>
      </c>
      <c r="C524">
        <v>2022</v>
      </c>
      <c r="D524">
        <v>4</v>
      </c>
      <c r="E524" t="str">
        <f t="shared" si="8"/>
        <v>April</v>
      </c>
      <c r="F524">
        <v>2</v>
      </c>
      <c r="G524" t="s">
        <v>1534</v>
      </c>
      <c r="H524" t="s">
        <v>1530</v>
      </c>
      <c r="I524" t="s">
        <v>1531</v>
      </c>
      <c r="J524" t="s">
        <v>1524</v>
      </c>
      <c r="K524" t="s">
        <v>1518</v>
      </c>
      <c r="L524" s="2">
        <v>2</v>
      </c>
      <c r="M524" s="10">
        <v>3204</v>
      </c>
      <c r="N524" s="7">
        <v>6408</v>
      </c>
    </row>
    <row r="525" spans="1:14" x14ac:dyDescent="0.3">
      <c r="A525">
        <v>1183</v>
      </c>
      <c r="B525" s="1">
        <v>45135</v>
      </c>
      <c r="C525">
        <v>2023</v>
      </c>
      <c r="D525">
        <v>7</v>
      </c>
      <c r="E525" t="str">
        <f t="shared" si="8"/>
        <v>Juli</v>
      </c>
      <c r="F525">
        <v>3</v>
      </c>
      <c r="G525" t="s">
        <v>1534</v>
      </c>
      <c r="H525" t="s">
        <v>1530</v>
      </c>
      <c r="I525" t="s">
        <v>1531</v>
      </c>
      <c r="J525" t="s">
        <v>1524</v>
      </c>
      <c r="K525" t="s">
        <v>1518</v>
      </c>
      <c r="L525" s="2">
        <v>2</v>
      </c>
      <c r="M525" s="10">
        <v>3204</v>
      </c>
      <c r="N525" s="7">
        <v>6408</v>
      </c>
    </row>
    <row r="526" spans="1:14" x14ac:dyDescent="0.3">
      <c r="A526">
        <v>1183</v>
      </c>
      <c r="B526" s="1">
        <v>44985</v>
      </c>
      <c r="C526">
        <v>2023</v>
      </c>
      <c r="D526">
        <v>2</v>
      </c>
      <c r="E526" t="str">
        <f t="shared" si="8"/>
        <v>Februari</v>
      </c>
      <c r="F526">
        <v>1</v>
      </c>
      <c r="G526" t="s">
        <v>1534</v>
      </c>
      <c r="H526" t="s">
        <v>1530</v>
      </c>
      <c r="I526" t="s">
        <v>1531</v>
      </c>
      <c r="J526" t="s">
        <v>1524</v>
      </c>
      <c r="K526" t="s">
        <v>1518</v>
      </c>
      <c r="L526" s="2">
        <v>2</v>
      </c>
      <c r="M526" s="10">
        <v>3204</v>
      </c>
      <c r="N526" s="7">
        <v>6408</v>
      </c>
    </row>
    <row r="527" spans="1:14" x14ac:dyDescent="0.3">
      <c r="A527">
        <v>1183</v>
      </c>
      <c r="B527" s="1">
        <v>44632</v>
      </c>
      <c r="C527">
        <v>2022</v>
      </c>
      <c r="D527">
        <v>3</v>
      </c>
      <c r="E527" t="str">
        <f t="shared" si="8"/>
        <v>Maret</v>
      </c>
      <c r="F527">
        <v>1</v>
      </c>
      <c r="G527" t="s">
        <v>1534</v>
      </c>
      <c r="H527" t="s">
        <v>1530</v>
      </c>
      <c r="I527" t="s">
        <v>1531</v>
      </c>
      <c r="J527" t="s">
        <v>1524</v>
      </c>
      <c r="K527" t="s">
        <v>1518</v>
      </c>
      <c r="L527" s="2">
        <v>2</v>
      </c>
      <c r="M527" s="10">
        <v>3204</v>
      </c>
      <c r="N527" s="7">
        <v>6408</v>
      </c>
    </row>
    <row r="528" spans="1:14" x14ac:dyDescent="0.3">
      <c r="A528">
        <v>1183</v>
      </c>
      <c r="B528" s="1">
        <v>44846</v>
      </c>
      <c r="C528">
        <v>2022</v>
      </c>
      <c r="D528">
        <v>10</v>
      </c>
      <c r="E528" t="str">
        <f t="shared" si="8"/>
        <v>Oktober</v>
      </c>
      <c r="F528">
        <v>4</v>
      </c>
      <c r="G528" t="s">
        <v>1534</v>
      </c>
      <c r="H528" t="s">
        <v>1530</v>
      </c>
      <c r="I528" t="s">
        <v>1531</v>
      </c>
      <c r="J528" t="s">
        <v>1524</v>
      </c>
      <c r="K528" t="s">
        <v>1518</v>
      </c>
      <c r="L528" s="2">
        <v>2</v>
      </c>
      <c r="M528" s="10">
        <v>3204</v>
      </c>
      <c r="N528" s="7">
        <v>6408</v>
      </c>
    </row>
    <row r="529" spans="1:14" x14ac:dyDescent="0.3">
      <c r="A529">
        <v>1184</v>
      </c>
      <c r="B529" s="1">
        <v>45129</v>
      </c>
      <c r="C529">
        <v>2023</v>
      </c>
      <c r="D529">
        <v>7</v>
      </c>
      <c r="E529" t="str">
        <f t="shared" si="8"/>
        <v>Juli</v>
      </c>
      <c r="F529">
        <v>3</v>
      </c>
      <c r="G529" t="s">
        <v>1519</v>
      </c>
      <c r="H529" t="s">
        <v>1520</v>
      </c>
      <c r="I529" t="s">
        <v>1531</v>
      </c>
      <c r="J529" t="s">
        <v>1517</v>
      </c>
      <c r="K529" t="s">
        <v>1518</v>
      </c>
      <c r="L529" s="2">
        <v>5</v>
      </c>
      <c r="M529" s="10">
        <v>18542</v>
      </c>
      <c r="N529" s="7">
        <v>92710</v>
      </c>
    </row>
    <row r="530" spans="1:14" x14ac:dyDescent="0.3">
      <c r="A530">
        <v>1184</v>
      </c>
      <c r="B530" s="1">
        <v>45626</v>
      </c>
      <c r="C530">
        <v>2024</v>
      </c>
      <c r="D530">
        <v>11</v>
      </c>
      <c r="E530" t="str">
        <f t="shared" si="8"/>
        <v>November</v>
      </c>
      <c r="F530">
        <v>4</v>
      </c>
      <c r="G530" t="s">
        <v>1519</v>
      </c>
      <c r="H530" t="s">
        <v>1520</v>
      </c>
      <c r="I530" t="s">
        <v>1531</v>
      </c>
      <c r="J530" t="s">
        <v>1517</v>
      </c>
      <c r="K530" t="s">
        <v>1518</v>
      </c>
      <c r="L530" s="2">
        <v>5</v>
      </c>
      <c r="M530" s="10">
        <v>18542</v>
      </c>
      <c r="N530" s="7">
        <v>92710</v>
      </c>
    </row>
    <row r="531" spans="1:14" x14ac:dyDescent="0.3">
      <c r="A531">
        <v>1185</v>
      </c>
      <c r="B531" s="1">
        <v>45156</v>
      </c>
      <c r="C531">
        <v>2023</v>
      </c>
      <c r="D531">
        <v>8</v>
      </c>
      <c r="E531" t="str">
        <f t="shared" si="8"/>
        <v>Agustus</v>
      </c>
      <c r="F531">
        <v>3</v>
      </c>
      <c r="G531" t="s">
        <v>1522</v>
      </c>
      <c r="H531" t="s">
        <v>1520</v>
      </c>
      <c r="I531" t="s">
        <v>1513</v>
      </c>
      <c r="J531" t="s">
        <v>1566</v>
      </c>
      <c r="K531" t="s">
        <v>1518</v>
      </c>
      <c r="L531" s="2">
        <v>1</v>
      </c>
      <c r="M531" s="10">
        <v>521</v>
      </c>
      <c r="N531" s="7">
        <v>521</v>
      </c>
    </row>
    <row r="532" spans="1:14" x14ac:dyDescent="0.3">
      <c r="A532">
        <v>1185</v>
      </c>
      <c r="B532" s="1">
        <v>45150</v>
      </c>
      <c r="C532">
        <v>2023</v>
      </c>
      <c r="D532">
        <v>8</v>
      </c>
      <c r="E532" t="str">
        <f t="shared" si="8"/>
        <v>Agustus</v>
      </c>
      <c r="F532">
        <v>3</v>
      </c>
      <c r="G532" t="s">
        <v>1522</v>
      </c>
      <c r="H532" t="s">
        <v>1520</v>
      </c>
      <c r="I532" t="s">
        <v>1513</v>
      </c>
      <c r="J532" t="s">
        <v>1566</v>
      </c>
      <c r="K532" t="s">
        <v>1518</v>
      </c>
      <c r="L532" s="2">
        <v>1</v>
      </c>
      <c r="M532" s="10">
        <v>521</v>
      </c>
      <c r="N532" s="7">
        <v>521</v>
      </c>
    </row>
    <row r="533" spans="1:14" x14ac:dyDescent="0.3">
      <c r="A533">
        <v>1185</v>
      </c>
      <c r="B533" s="1">
        <v>45059</v>
      </c>
      <c r="C533">
        <v>2023</v>
      </c>
      <c r="D533">
        <v>5</v>
      </c>
      <c r="E533" t="str">
        <f t="shared" si="8"/>
        <v>Mei</v>
      </c>
      <c r="F533">
        <v>2</v>
      </c>
      <c r="G533" t="s">
        <v>1522</v>
      </c>
      <c r="H533" t="s">
        <v>1520</v>
      </c>
      <c r="I533" t="s">
        <v>1513</v>
      </c>
      <c r="J533" t="s">
        <v>1566</v>
      </c>
      <c r="K533" t="s">
        <v>1518</v>
      </c>
      <c r="L533" s="2">
        <v>1</v>
      </c>
      <c r="M533" s="10">
        <v>521</v>
      </c>
      <c r="N533" s="7">
        <v>521</v>
      </c>
    </row>
    <row r="534" spans="1:14" x14ac:dyDescent="0.3">
      <c r="A534">
        <v>1185</v>
      </c>
      <c r="B534" s="1">
        <v>44944</v>
      </c>
      <c r="C534">
        <v>2023</v>
      </c>
      <c r="D534">
        <v>1</v>
      </c>
      <c r="E534" t="str">
        <f t="shared" si="8"/>
        <v>Januari</v>
      </c>
      <c r="F534">
        <v>1</v>
      </c>
      <c r="G534" t="s">
        <v>1522</v>
      </c>
      <c r="H534" t="s">
        <v>1520</v>
      </c>
      <c r="I534" t="s">
        <v>1513</v>
      </c>
      <c r="J534" t="s">
        <v>1566</v>
      </c>
      <c r="K534" t="s">
        <v>1518</v>
      </c>
      <c r="L534" s="2">
        <v>1</v>
      </c>
      <c r="M534" s="10">
        <v>521</v>
      </c>
      <c r="N534" s="7">
        <v>521</v>
      </c>
    </row>
    <row r="535" spans="1:14" x14ac:dyDescent="0.3">
      <c r="A535">
        <v>1186</v>
      </c>
      <c r="B535" s="1">
        <v>45238</v>
      </c>
      <c r="C535">
        <v>2023</v>
      </c>
      <c r="D535">
        <v>11</v>
      </c>
      <c r="E535" t="str">
        <f t="shared" si="8"/>
        <v>November</v>
      </c>
      <c r="F535">
        <v>4</v>
      </c>
      <c r="G535" t="s">
        <v>1523</v>
      </c>
      <c r="H535" t="s">
        <v>1512</v>
      </c>
      <c r="I535" t="s">
        <v>1531</v>
      </c>
      <c r="J535" t="s">
        <v>1566</v>
      </c>
      <c r="K535" t="s">
        <v>1518</v>
      </c>
      <c r="L535" s="2">
        <v>1</v>
      </c>
      <c r="M535" s="10">
        <v>13218</v>
      </c>
      <c r="N535" s="7">
        <v>13218</v>
      </c>
    </row>
    <row r="536" spans="1:14" x14ac:dyDescent="0.3">
      <c r="A536">
        <v>1186</v>
      </c>
      <c r="B536" s="1">
        <v>44995</v>
      </c>
      <c r="C536">
        <v>2023</v>
      </c>
      <c r="D536">
        <v>3</v>
      </c>
      <c r="E536" t="str">
        <f t="shared" si="8"/>
        <v>Maret</v>
      </c>
      <c r="F536">
        <v>1</v>
      </c>
      <c r="G536" t="s">
        <v>1523</v>
      </c>
      <c r="H536" t="s">
        <v>1512</v>
      </c>
      <c r="I536" t="s">
        <v>1531</v>
      </c>
      <c r="J536" t="s">
        <v>1566</v>
      </c>
      <c r="K536" t="s">
        <v>1518</v>
      </c>
      <c r="L536" s="2">
        <v>1</v>
      </c>
      <c r="M536" s="10">
        <v>13218</v>
      </c>
      <c r="N536" s="7">
        <v>13218</v>
      </c>
    </row>
    <row r="537" spans="1:14" x14ac:dyDescent="0.3">
      <c r="A537">
        <v>1186</v>
      </c>
      <c r="B537" s="1">
        <v>45185</v>
      </c>
      <c r="C537">
        <v>2023</v>
      </c>
      <c r="D537">
        <v>9</v>
      </c>
      <c r="E537" t="str">
        <f t="shared" si="8"/>
        <v>September</v>
      </c>
      <c r="F537">
        <v>3</v>
      </c>
      <c r="G537" t="s">
        <v>1523</v>
      </c>
      <c r="H537" t="s">
        <v>1512</v>
      </c>
      <c r="I537" t="s">
        <v>1531</v>
      </c>
      <c r="J537" t="s">
        <v>1566</v>
      </c>
      <c r="K537" t="s">
        <v>1518</v>
      </c>
      <c r="L537" s="2">
        <v>1</v>
      </c>
      <c r="M537" s="10">
        <v>13218</v>
      </c>
      <c r="N537" s="7">
        <v>13218</v>
      </c>
    </row>
    <row r="538" spans="1:14" x14ac:dyDescent="0.3">
      <c r="A538">
        <v>1186</v>
      </c>
      <c r="B538" s="1">
        <v>45568</v>
      </c>
      <c r="C538">
        <v>2024</v>
      </c>
      <c r="D538">
        <v>10</v>
      </c>
      <c r="E538" t="str">
        <f t="shared" si="8"/>
        <v>Oktober</v>
      </c>
      <c r="F538">
        <v>4</v>
      </c>
      <c r="G538" t="s">
        <v>1523</v>
      </c>
      <c r="H538" t="s">
        <v>1512</v>
      </c>
      <c r="I538" t="s">
        <v>1531</v>
      </c>
      <c r="J538" t="s">
        <v>1566</v>
      </c>
      <c r="K538" t="s">
        <v>1518</v>
      </c>
      <c r="L538" s="2">
        <v>1</v>
      </c>
      <c r="M538" s="10">
        <v>13218</v>
      </c>
      <c r="N538" s="7">
        <v>13218</v>
      </c>
    </row>
    <row r="539" spans="1:14" x14ac:dyDescent="0.3">
      <c r="A539">
        <v>1186</v>
      </c>
      <c r="B539" s="1">
        <v>44786</v>
      </c>
      <c r="C539">
        <v>2022</v>
      </c>
      <c r="D539">
        <v>8</v>
      </c>
      <c r="E539" t="str">
        <f t="shared" si="8"/>
        <v>Agustus</v>
      </c>
      <c r="F539">
        <v>3</v>
      </c>
      <c r="G539" t="s">
        <v>1523</v>
      </c>
      <c r="H539" t="s">
        <v>1512</v>
      </c>
      <c r="I539" t="s">
        <v>1531</v>
      </c>
      <c r="J539" t="s">
        <v>1566</v>
      </c>
      <c r="K539" t="s">
        <v>1518</v>
      </c>
      <c r="L539" s="2">
        <v>1</v>
      </c>
      <c r="M539" s="10">
        <v>13218</v>
      </c>
      <c r="N539" s="7">
        <v>13218</v>
      </c>
    </row>
    <row r="540" spans="1:14" x14ac:dyDescent="0.3">
      <c r="A540">
        <v>1187</v>
      </c>
      <c r="B540" s="1">
        <v>44572</v>
      </c>
      <c r="C540">
        <v>2022</v>
      </c>
      <c r="D540">
        <v>1</v>
      </c>
      <c r="E540" t="str">
        <f t="shared" si="8"/>
        <v>Januari</v>
      </c>
      <c r="F540">
        <v>1</v>
      </c>
      <c r="G540" t="s">
        <v>1526</v>
      </c>
      <c r="H540" t="s">
        <v>1527</v>
      </c>
      <c r="I540" t="s">
        <v>1521</v>
      </c>
      <c r="J540" t="s">
        <v>1517</v>
      </c>
      <c r="K540" t="s">
        <v>1518</v>
      </c>
      <c r="L540" s="2">
        <v>2</v>
      </c>
      <c r="M540" s="10">
        <v>248</v>
      </c>
      <c r="N540" s="7">
        <v>496</v>
      </c>
    </row>
    <row r="541" spans="1:14" x14ac:dyDescent="0.3">
      <c r="A541">
        <v>1187</v>
      </c>
      <c r="B541" s="1">
        <v>44822</v>
      </c>
      <c r="C541">
        <v>2022</v>
      </c>
      <c r="D541">
        <v>9</v>
      </c>
      <c r="E541" t="str">
        <f t="shared" si="8"/>
        <v>September</v>
      </c>
      <c r="F541">
        <v>3</v>
      </c>
      <c r="G541" t="s">
        <v>1526</v>
      </c>
      <c r="H541" t="s">
        <v>1527</v>
      </c>
      <c r="I541" t="s">
        <v>1521</v>
      </c>
      <c r="J541" t="s">
        <v>1517</v>
      </c>
      <c r="K541" t="s">
        <v>1518</v>
      </c>
      <c r="L541" s="2">
        <v>2</v>
      </c>
      <c r="M541" s="10">
        <v>248</v>
      </c>
      <c r="N541" s="7">
        <v>496</v>
      </c>
    </row>
    <row r="542" spans="1:14" x14ac:dyDescent="0.3">
      <c r="A542">
        <v>1187</v>
      </c>
      <c r="B542" s="1">
        <v>44973</v>
      </c>
      <c r="C542">
        <v>2023</v>
      </c>
      <c r="D542">
        <v>2</v>
      </c>
      <c r="E542" t="str">
        <f t="shared" si="8"/>
        <v>Februari</v>
      </c>
      <c r="F542">
        <v>1</v>
      </c>
      <c r="G542" t="s">
        <v>1526</v>
      </c>
      <c r="H542" t="s">
        <v>1527</v>
      </c>
      <c r="I542" t="s">
        <v>1521</v>
      </c>
      <c r="J542" t="s">
        <v>1517</v>
      </c>
      <c r="K542" t="s">
        <v>1518</v>
      </c>
      <c r="L542" s="2">
        <v>2</v>
      </c>
      <c r="M542" s="10">
        <v>248</v>
      </c>
      <c r="N542" s="7">
        <v>496</v>
      </c>
    </row>
    <row r="543" spans="1:14" x14ac:dyDescent="0.3">
      <c r="A543">
        <v>1187</v>
      </c>
      <c r="B543" s="1">
        <v>45309</v>
      </c>
      <c r="C543">
        <v>2024</v>
      </c>
      <c r="D543">
        <v>1</v>
      </c>
      <c r="E543" t="str">
        <f t="shared" si="8"/>
        <v>Januari</v>
      </c>
      <c r="F543">
        <v>1</v>
      </c>
      <c r="G543" t="s">
        <v>1526</v>
      </c>
      <c r="H543" t="s">
        <v>1527</v>
      </c>
      <c r="I543" t="s">
        <v>1521</v>
      </c>
      <c r="J543" t="s">
        <v>1517</v>
      </c>
      <c r="K543" t="s">
        <v>1518</v>
      </c>
      <c r="L543" s="2">
        <v>2</v>
      </c>
      <c r="M543" s="10">
        <v>248</v>
      </c>
      <c r="N543" s="7">
        <v>496</v>
      </c>
    </row>
    <row r="544" spans="1:14" x14ac:dyDescent="0.3">
      <c r="A544">
        <v>1188</v>
      </c>
      <c r="B544" s="1">
        <v>45429</v>
      </c>
      <c r="C544">
        <v>2024</v>
      </c>
      <c r="D544">
        <v>5</v>
      </c>
      <c r="E544" t="str">
        <f t="shared" si="8"/>
        <v>Mei</v>
      </c>
      <c r="F544">
        <v>2</v>
      </c>
      <c r="G544" t="s">
        <v>1529</v>
      </c>
      <c r="H544" t="s">
        <v>1530</v>
      </c>
      <c r="I544" t="s">
        <v>1521</v>
      </c>
      <c r="J544" t="s">
        <v>1524</v>
      </c>
      <c r="K544" t="s">
        <v>1525</v>
      </c>
      <c r="L544" s="2">
        <v>4</v>
      </c>
      <c r="M544" s="10">
        <v>1353</v>
      </c>
      <c r="N544" s="7">
        <v>5412</v>
      </c>
    </row>
    <row r="545" spans="1:14" x14ac:dyDescent="0.3">
      <c r="A545">
        <v>1188</v>
      </c>
      <c r="B545" s="1">
        <v>44884</v>
      </c>
      <c r="C545">
        <v>2022</v>
      </c>
      <c r="D545">
        <v>11</v>
      </c>
      <c r="E545" t="str">
        <f t="shared" si="8"/>
        <v>November</v>
      </c>
      <c r="F545">
        <v>4</v>
      </c>
      <c r="G545" t="s">
        <v>1529</v>
      </c>
      <c r="H545" t="s">
        <v>1530</v>
      </c>
      <c r="I545" t="s">
        <v>1521</v>
      </c>
      <c r="J545" t="s">
        <v>1524</v>
      </c>
      <c r="K545" t="s">
        <v>1525</v>
      </c>
      <c r="L545" s="2">
        <v>4</v>
      </c>
      <c r="M545" s="10">
        <v>1353</v>
      </c>
      <c r="N545" s="7">
        <v>5412</v>
      </c>
    </row>
    <row r="546" spans="1:14" x14ac:dyDescent="0.3">
      <c r="A546">
        <v>1188</v>
      </c>
      <c r="B546" s="1">
        <v>45054</v>
      </c>
      <c r="C546">
        <v>2023</v>
      </c>
      <c r="D546">
        <v>5</v>
      </c>
      <c r="E546" t="str">
        <f t="shared" si="8"/>
        <v>Mei</v>
      </c>
      <c r="F546">
        <v>2</v>
      </c>
      <c r="G546" t="s">
        <v>1529</v>
      </c>
      <c r="H546" t="s">
        <v>1530</v>
      </c>
      <c r="I546" t="s">
        <v>1521</v>
      </c>
      <c r="J546" t="s">
        <v>1524</v>
      </c>
      <c r="K546" t="s">
        <v>1525</v>
      </c>
      <c r="L546" s="2">
        <v>4</v>
      </c>
      <c r="M546" s="10">
        <v>1353</v>
      </c>
      <c r="N546" s="7">
        <v>5412</v>
      </c>
    </row>
    <row r="547" spans="1:14" x14ac:dyDescent="0.3">
      <c r="A547">
        <v>1188</v>
      </c>
      <c r="B547" s="1">
        <v>45203</v>
      </c>
      <c r="C547">
        <v>2023</v>
      </c>
      <c r="D547">
        <v>10</v>
      </c>
      <c r="E547" t="str">
        <f t="shared" si="8"/>
        <v>Oktober</v>
      </c>
      <c r="F547">
        <v>4</v>
      </c>
      <c r="G547" t="s">
        <v>1529</v>
      </c>
      <c r="H547" t="s">
        <v>1530</v>
      </c>
      <c r="I547" t="s">
        <v>1521</v>
      </c>
      <c r="J547" t="s">
        <v>1524</v>
      </c>
      <c r="K547" t="s">
        <v>1525</v>
      </c>
      <c r="L547" s="2">
        <v>4</v>
      </c>
      <c r="M547" s="10">
        <v>1353</v>
      </c>
      <c r="N547" s="7">
        <v>5412</v>
      </c>
    </row>
    <row r="548" spans="1:14" x14ac:dyDescent="0.3">
      <c r="A548">
        <v>1188</v>
      </c>
      <c r="B548" s="1">
        <v>45055</v>
      </c>
      <c r="C548">
        <v>2023</v>
      </c>
      <c r="D548">
        <v>5</v>
      </c>
      <c r="E548" t="str">
        <f t="shared" si="8"/>
        <v>Mei</v>
      </c>
      <c r="F548">
        <v>2</v>
      </c>
      <c r="G548" t="s">
        <v>1529</v>
      </c>
      <c r="H548" t="s">
        <v>1530</v>
      </c>
      <c r="I548" t="s">
        <v>1521</v>
      </c>
      <c r="J548" t="s">
        <v>1524</v>
      </c>
      <c r="K548" t="s">
        <v>1525</v>
      </c>
      <c r="L548" s="2">
        <v>4</v>
      </c>
      <c r="M548" s="10">
        <v>1353</v>
      </c>
      <c r="N548" s="7">
        <v>5412</v>
      </c>
    </row>
    <row r="549" spans="1:14" x14ac:dyDescent="0.3">
      <c r="A549">
        <v>1189</v>
      </c>
      <c r="B549" s="1">
        <v>44806</v>
      </c>
      <c r="C549">
        <v>2022</v>
      </c>
      <c r="D549">
        <v>9</v>
      </c>
      <c r="E549" t="str">
        <f t="shared" si="8"/>
        <v>September</v>
      </c>
      <c r="F549">
        <v>3</v>
      </c>
      <c r="G549" t="s">
        <v>1532</v>
      </c>
      <c r="H549" t="s">
        <v>1512</v>
      </c>
      <c r="I549" t="s">
        <v>1513</v>
      </c>
      <c r="J549" t="s">
        <v>1517</v>
      </c>
      <c r="K549" t="s">
        <v>1525</v>
      </c>
      <c r="L549" s="2">
        <v>2</v>
      </c>
      <c r="M549" s="10">
        <v>13462</v>
      </c>
      <c r="N549" s="7">
        <v>26924</v>
      </c>
    </row>
    <row r="550" spans="1:14" x14ac:dyDescent="0.3">
      <c r="A550">
        <v>1190</v>
      </c>
      <c r="B550" s="1">
        <v>44749</v>
      </c>
      <c r="C550">
        <v>2022</v>
      </c>
      <c r="D550">
        <v>7</v>
      </c>
      <c r="E550" t="str">
        <f t="shared" si="8"/>
        <v>Juli</v>
      </c>
      <c r="F550">
        <v>3</v>
      </c>
      <c r="G550" t="s">
        <v>1533</v>
      </c>
      <c r="H550" t="s">
        <v>1520</v>
      </c>
      <c r="I550" t="s">
        <v>1531</v>
      </c>
      <c r="J550" t="s">
        <v>1517</v>
      </c>
      <c r="K550" t="s">
        <v>1514</v>
      </c>
      <c r="L550" s="2">
        <v>5</v>
      </c>
      <c r="M550" s="10">
        <v>404</v>
      </c>
      <c r="N550" s="7">
        <v>2020</v>
      </c>
    </row>
    <row r="551" spans="1:14" x14ac:dyDescent="0.3">
      <c r="A551">
        <v>1190</v>
      </c>
      <c r="B551" s="1">
        <v>45033</v>
      </c>
      <c r="C551">
        <v>2023</v>
      </c>
      <c r="D551">
        <v>4</v>
      </c>
      <c r="E551" t="str">
        <f t="shared" si="8"/>
        <v>April</v>
      </c>
      <c r="F551">
        <v>2</v>
      </c>
      <c r="G551" t="s">
        <v>1533</v>
      </c>
      <c r="H551" t="s">
        <v>1520</v>
      </c>
      <c r="I551" t="s">
        <v>1531</v>
      </c>
      <c r="J551" t="s">
        <v>1517</v>
      </c>
      <c r="K551" t="s">
        <v>1514</v>
      </c>
      <c r="L551" s="2">
        <v>5</v>
      </c>
      <c r="M551" s="10">
        <v>404</v>
      </c>
      <c r="N551" s="7">
        <v>2020</v>
      </c>
    </row>
    <row r="552" spans="1:14" x14ac:dyDescent="0.3">
      <c r="A552">
        <v>1190</v>
      </c>
      <c r="B552" s="1">
        <v>44928</v>
      </c>
      <c r="C552">
        <v>2023</v>
      </c>
      <c r="D552">
        <v>1</v>
      </c>
      <c r="E552" t="str">
        <f t="shared" si="8"/>
        <v>Januari</v>
      </c>
      <c r="F552">
        <v>1</v>
      </c>
      <c r="G552" t="s">
        <v>1533</v>
      </c>
      <c r="H552" t="s">
        <v>1520</v>
      </c>
      <c r="I552" t="s">
        <v>1531</v>
      </c>
      <c r="J552" t="s">
        <v>1517</v>
      </c>
      <c r="K552" t="s">
        <v>1514</v>
      </c>
      <c r="L552" s="2">
        <v>5</v>
      </c>
      <c r="M552" s="10">
        <v>404</v>
      </c>
      <c r="N552" s="7">
        <v>2020</v>
      </c>
    </row>
    <row r="553" spans="1:14" x14ac:dyDescent="0.3">
      <c r="A553">
        <v>1191</v>
      </c>
      <c r="B553" s="1">
        <v>45512</v>
      </c>
      <c r="C553">
        <v>2024</v>
      </c>
      <c r="D553">
        <v>8</v>
      </c>
      <c r="E553" t="str">
        <f t="shared" si="8"/>
        <v>Agustus</v>
      </c>
      <c r="F553">
        <v>3</v>
      </c>
      <c r="G553" t="s">
        <v>1511</v>
      </c>
      <c r="H553" t="s">
        <v>1512</v>
      </c>
      <c r="I553" t="s">
        <v>1528</v>
      </c>
      <c r="J553" t="s">
        <v>1517</v>
      </c>
      <c r="K553" t="s">
        <v>1525</v>
      </c>
      <c r="L553" s="2">
        <v>1</v>
      </c>
      <c r="M553" s="10">
        <v>59800</v>
      </c>
      <c r="N553" s="7">
        <v>59800</v>
      </c>
    </row>
    <row r="554" spans="1:14" x14ac:dyDescent="0.3">
      <c r="A554">
        <v>1191</v>
      </c>
      <c r="B554" s="1">
        <v>44720</v>
      </c>
      <c r="C554">
        <v>2022</v>
      </c>
      <c r="D554">
        <v>6</v>
      </c>
      <c r="E554" t="str">
        <f t="shared" si="8"/>
        <v>Juni</v>
      </c>
      <c r="F554">
        <v>2</v>
      </c>
      <c r="G554" t="s">
        <v>1511</v>
      </c>
      <c r="H554" t="s">
        <v>1512</v>
      </c>
      <c r="I554" t="s">
        <v>1528</v>
      </c>
      <c r="J554" t="s">
        <v>1517</v>
      </c>
      <c r="K554" t="s">
        <v>1525</v>
      </c>
      <c r="L554" s="2">
        <v>1</v>
      </c>
      <c r="M554" s="10">
        <v>59800</v>
      </c>
      <c r="N554" s="7">
        <v>59800</v>
      </c>
    </row>
    <row r="555" spans="1:14" x14ac:dyDescent="0.3">
      <c r="A555">
        <v>1191</v>
      </c>
      <c r="B555" s="1">
        <v>44658</v>
      </c>
      <c r="C555">
        <v>2022</v>
      </c>
      <c r="D555">
        <v>4</v>
      </c>
      <c r="E555" t="str">
        <f t="shared" si="8"/>
        <v>April</v>
      </c>
      <c r="F555">
        <v>2</v>
      </c>
      <c r="G555" t="s">
        <v>1511</v>
      </c>
      <c r="H555" t="s">
        <v>1512</v>
      </c>
      <c r="I555" t="s">
        <v>1528</v>
      </c>
      <c r="J555" t="s">
        <v>1517</v>
      </c>
      <c r="K555" t="s">
        <v>1525</v>
      </c>
      <c r="L555" s="2">
        <v>1</v>
      </c>
      <c r="M555" s="10">
        <v>59800</v>
      </c>
      <c r="N555" s="7">
        <v>59800</v>
      </c>
    </row>
    <row r="556" spans="1:14" x14ac:dyDescent="0.3">
      <c r="A556">
        <v>1191</v>
      </c>
      <c r="B556" s="1">
        <v>44912</v>
      </c>
      <c r="C556">
        <v>2022</v>
      </c>
      <c r="D556">
        <v>12</v>
      </c>
      <c r="E556" t="str">
        <f t="shared" si="8"/>
        <v>Desember</v>
      </c>
      <c r="F556">
        <v>4</v>
      </c>
      <c r="G556" t="s">
        <v>1511</v>
      </c>
      <c r="H556" t="s">
        <v>1512</v>
      </c>
      <c r="I556" t="s">
        <v>1528</v>
      </c>
      <c r="J556" t="s">
        <v>1517</v>
      </c>
      <c r="K556" t="s">
        <v>1525</v>
      </c>
      <c r="L556" s="2">
        <v>1</v>
      </c>
      <c r="M556" s="10">
        <v>59800</v>
      </c>
      <c r="N556" s="7">
        <v>59800</v>
      </c>
    </row>
    <row r="557" spans="1:14" x14ac:dyDescent="0.3">
      <c r="A557">
        <v>1191</v>
      </c>
      <c r="B557" s="1">
        <v>45035</v>
      </c>
      <c r="C557">
        <v>2023</v>
      </c>
      <c r="D557">
        <v>4</v>
      </c>
      <c r="E557" t="str">
        <f t="shared" si="8"/>
        <v>April</v>
      </c>
      <c r="F557">
        <v>2</v>
      </c>
      <c r="G557" t="s">
        <v>1511</v>
      </c>
      <c r="H557" t="s">
        <v>1512</v>
      </c>
      <c r="I557" t="s">
        <v>1528</v>
      </c>
      <c r="J557" t="s">
        <v>1517</v>
      </c>
      <c r="K557" t="s">
        <v>1525</v>
      </c>
      <c r="L557" s="2">
        <v>1</v>
      </c>
      <c r="M557" s="10">
        <v>59800</v>
      </c>
      <c r="N557" s="7">
        <v>59800</v>
      </c>
    </row>
    <row r="558" spans="1:14" x14ac:dyDescent="0.3">
      <c r="A558">
        <v>1192</v>
      </c>
      <c r="B558" s="1">
        <v>44576</v>
      </c>
      <c r="C558">
        <v>2022</v>
      </c>
      <c r="D558">
        <v>1</v>
      </c>
      <c r="E558" t="str">
        <f t="shared" si="8"/>
        <v>Januari</v>
      </c>
      <c r="F558">
        <v>1</v>
      </c>
      <c r="G558" t="s">
        <v>1515</v>
      </c>
      <c r="H558" t="s">
        <v>1512</v>
      </c>
      <c r="I558" t="s">
        <v>1516</v>
      </c>
      <c r="J558" t="s">
        <v>1524</v>
      </c>
      <c r="K558" t="s">
        <v>1518</v>
      </c>
      <c r="L558" s="2">
        <v>2</v>
      </c>
      <c r="M558" s="10">
        <v>2639</v>
      </c>
      <c r="N558" s="7">
        <v>5278</v>
      </c>
    </row>
    <row r="559" spans="1:14" x14ac:dyDescent="0.3">
      <c r="A559">
        <v>1192</v>
      </c>
      <c r="B559" s="1">
        <v>45277</v>
      </c>
      <c r="C559">
        <v>2023</v>
      </c>
      <c r="D559">
        <v>12</v>
      </c>
      <c r="E559" t="str">
        <f t="shared" si="8"/>
        <v>Desember</v>
      </c>
      <c r="F559">
        <v>4</v>
      </c>
      <c r="G559" t="s">
        <v>1515</v>
      </c>
      <c r="H559" t="s">
        <v>1512</v>
      </c>
      <c r="I559" t="s">
        <v>1516</v>
      </c>
      <c r="J559" t="s">
        <v>1524</v>
      </c>
      <c r="K559" t="s">
        <v>1518</v>
      </c>
      <c r="L559" s="2">
        <v>2</v>
      </c>
      <c r="M559" s="10">
        <v>2639</v>
      </c>
      <c r="N559" s="7">
        <v>5278</v>
      </c>
    </row>
    <row r="560" spans="1:14" x14ac:dyDescent="0.3">
      <c r="A560">
        <v>1193</v>
      </c>
      <c r="B560" s="1">
        <v>44705</v>
      </c>
      <c r="C560">
        <v>2022</v>
      </c>
      <c r="D560">
        <v>5</v>
      </c>
      <c r="E560" t="str">
        <f t="shared" si="8"/>
        <v>Mei</v>
      </c>
      <c r="F560">
        <v>2</v>
      </c>
      <c r="G560" t="s">
        <v>1534</v>
      </c>
      <c r="H560" t="s">
        <v>1530</v>
      </c>
      <c r="I560" t="s">
        <v>1535</v>
      </c>
      <c r="J560" t="s">
        <v>1566</v>
      </c>
      <c r="K560" t="s">
        <v>1518</v>
      </c>
      <c r="L560" s="2">
        <v>1</v>
      </c>
      <c r="M560" s="10">
        <v>2167</v>
      </c>
      <c r="N560" s="7">
        <v>2167</v>
      </c>
    </row>
    <row r="561" spans="1:14" x14ac:dyDescent="0.3">
      <c r="A561">
        <v>1194</v>
      </c>
      <c r="B561" s="1">
        <v>44782</v>
      </c>
      <c r="C561">
        <v>2022</v>
      </c>
      <c r="D561">
        <v>8</v>
      </c>
      <c r="E561" t="str">
        <f t="shared" si="8"/>
        <v>Agustus</v>
      </c>
      <c r="F561">
        <v>3</v>
      </c>
      <c r="G561" t="s">
        <v>1519</v>
      </c>
      <c r="H561" t="s">
        <v>1520</v>
      </c>
      <c r="I561" t="s">
        <v>1513</v>
      </c>
      <c r="J561" t="s">
        <v>1524</v>
      </c>
      <c r="K561" t="s">
        <v>1514</v>
      </c>
      <c r="L561" s="2">
        <v>3</v>
      </c>
      <c r="M561" s="10">
        <v>8179</v>
      </c>
      <c r="N561" s="7">
        <v>24537</v>
      </c>
    </row>
    <row r="562" spans="1:14" x14ac:dyDescent="0.3">
      <c r="A562">
        <v>1195</v>
      </c>
      <c r="B562" s="1">
        <v>45270</v>
      </c>
      <c r="C562">
        <v>2023</v>
      </c>
      <c r="D562">
        <v>12</v>
      </c>
      <c r="E562" t="str">
        <f t="shared" si="8"/>
        <v>Desember</v>
      </c>
      <c r="F562">
        <v>4</v>
      </c>
      <c r="G562" t="s">
        <v>1522</v>
      </c>
      <c r="H562" t="s">
        <v>1520</v>
      </c>
      <c r="I562" t="s">
        <v>1531</v>
      </c>
      <c r="J562" t="s">
        <v>1566</v>
      </c>
      <c r="K562" t="s">
        <v>1514</v>
      </c>
      <c r="L562" s="2">
        <v>1</v>
      </c>
      <c r="M562" s="10">
        <v>374</v>
      </c>
      <c r="N562" s="7">
        <v>374</v>
      </c>
    </row>
    <row r="563" spans="1:14" x14ac:dyDescent="0.3">
      <c r="A563">
        <v>1195</v>
      </c>
      <c r="B563" s="1">
        <v>44698</v>
      </c>
      <c r="C563">
        <v>2022</v>
      </c>
      <c r="D563">
        <v>5</v>
      </c>
      <c r="E563" t="str">
        <f t="shared" si="8"/>
        <v>Mei</v>
      </c>
      <c r="F563">
        <v>2</v>
      </c>
      <c r="G563" t="s">
        <v>1522</v>
      </c>
      <c r="H563" t="s">
        <v>1520</v>
      </c>
      <c r="I563" t="s">
        <v>1531</v>
      </c>
      <c r="J563" t="s">
        <v>1566</v>
      </c>
      <c r="K563" t="s">
        <v>1514</v>
      </c>
      <c r="L563" s="2">
        <v>1</v>
      </c>
      <c r="M563" s="10">
        <v>374</v>
      </c>
      <c r="N563" s="7">
        <v>374</v>
      </c>
    </row>
    <row r="564" spans="1:14" x14ac:dyDescent="0.3">
      <c r="A564">
        <v>1195</v>
      </c>
      <c r="B564" s="1">
        <v>44935</v>
      </c>
      <c r="C564">
        <v>2023</v>
      </c>
      <c r="D564">
        <v>1</v>
      </c>
      <c r="E564" t="str">
        <f t="shared" si="8"/>
        <v>Januari</v>
      </c>
      <c r="F564">
        <v>1</v>
      </c>
      <c r="G564" t="s">
        <v>1522</v>
      </c>
      <c r="H564" t="s">
        <v>1520</v>
      </c>
      <c r="I564" t="s">
        <v>1531</v>
      </c>
      <c r="J564" t="s">
        <v>1566</v>
      </c>
      <c r="K564" t="s">
        <v>1514</v>
      </c>
      <c r="L564" s="2">
        <v>1</v>
      </c>
      <c r="M564" s="10">
        <v>374</v>
      </c>
      <c r="N564" s="7">
        <v>374</v>
      </c>
    </row>
    <row r="565" spans="1:14" x14ac:dyDescent="0.3">
      <c r="A565">
        <v>1195</v>
      </c>
      <c r="B565" s="1">
        <v>44574</v>
      </c>
      <c r="C565">
        <v>2022</v>
      </c>
      <c r="D565">
        <v>1</v>
      </c>
      <c r="E565" t="str">
        <f t="shared" si="8"/>
        <v>Januari</v>
      </c>
      <c r="F565">
        <v>1</v>
      </c>
      <c r="G565" t="s">
        <v>1522</v>
      </c>
      <c r="H565" t="s">
        <v>1520</v>
      </c>
      <c r="I565" t="s">
        <v>1531</v>
      </c>
      <c r="J565" t="s">
        <v>1566</v>
      </c>
      <c r="K565" t="s">
        <v>1514</v>
      </c>
      <c r="L565" s="2">
        <v>1</v>
      </c>
      <c r="M565" s="10">
        <v>374</v>
      </c>
      <c r="N565" s="7">
        <v>374</v>
      </c>
    </row>
    <row r="566" spans="1:14" x14ac:dyDescent="0.3">
      <c r="A566">
        <v>1196</v>
      </c>
      <c r="B566" s="1">
        <v>44726</v>
      </c>
      <c r="C566">
        <v>2022</v>
      </c>
      <c r="D566">
        <v>6</v>
      </c>
      <c r="E566" t="str">
        <f t="shared" si="8"/>
        <v>Juni</v>
      </c>
      <c r="F566">
        <v>2</v>
      </c>
      <c r="G566" t="s">
        <v>1523</v>
      </c>
      <c r="H566" t="s">
        <v>1512</v>
      </c>
      <c r="I566" t="s">
        <v>1521</v>
      </c>
      <c r="J566" t="s">
        <v>1566</v>
      </c>
      <c r="K566" t="s">
        <v>1525</v>
      </c>
      <c r="L566" s="2">
        <v>1</v>
      </c>
      <c r="M566" s="10">
        <v>36595</v>
      </c>
      <c r="N566" s="7">
        <v>36595</v>
      </c>
    </row>
    <row r="567" spans="1:14" x14ac:dyDescent="0.3">
      <c r="A567">
        <v>1196</v>
      </c>
      <c r="B567" s="1">
        <v>44710</v>
      </c>
      <c r="C567">
        <v>2022</v>
      </c>
      <c r="D567">
        <v>5</v>
      </c>
      <c r="E567" t="str">
        <f t="shared" si="8"/>
        <v>Mei</v>
      </c>
      <c r="F567">
        <v>2</v>
      </c>
      <c r="G567" t="s">
        <v>1523</v>
      </c>
      <c r="H567" t="s">
        <v>1512</v>
      </c>
      <c r="I567" t="s">
        <v>1521</v>
      </c>
      <c r="J567" t="s">
        <v>1566</v>
      </c>
      <c r="K567" t="s">
        <v>1525</v>
      </c>
      <c r="L567" s="2">
        <v>1</v>
      </c>
      <c r="M567" s="10">
        <v>36595</v>
      </c>
      <c r="N567" s="7">
        <v>36595</v>
      </c>
    </row>
    <row r="568" spans="1:14" x14ac:dyDescent="0.3">
      <c r="A568">
        <v>1197</v>
      </c>
      <c r="B568" s="1">
        <v>44975</v>
      </c>
      <c r="C568">
        <v>2023</v>
      </c>
      <c r="D568">
        <v>2</v>
      </c>
      <c r="E568" t="str">
        <f t="shared" si="8"/>
        <v>Februari</v>
      </c>
      <c r="F568">
        <v>1</v>
      </c>
      <c r="G568" t="s">
        <v>1526</v>
      </c>
      <c r="H568" t="s">
        <v>1527</v>
      </c>
      <c r="I568" t="s">
        <v>1528</v>
      </c>
      <c r="J568" t="s">
        <v>1517</v>
      </c>
      <c r="K568" t="s">
        <v>1518</v>
      </c>
      <c r="L568" s="2">
        <v>5</v>
      </c>
      <c r="M568" s="10">
        <v>570</v>
      </c>
      <c r="N568" s="7">
        <v>2850</v>
      </c>
    </row>
    <row r="569" spans="1:14" x14ac:dyDescent="0.3">
      <c r="A569">
        <v>1197</v>
      </c>
      <c r="B569" s="1">
        <v>44626</v>
      </c>
      <c r="C569">
        <v>2022</v>
      </c>
      <c r="D569">
        <v>3</v>
      </c>
      <c r="E569" t="str">
        <f t="shared" si="8"/>
        <v>Maret</v>
      </c>
      <c r="F569">
        <v>1</v>
      </c>
      <c r="G569" t="s">
        <v>1526</v>
      </c>
      <c r="H569" t="s">
        <v>1527</v>
      </c>
      <c r="I569" t="s">
        <v>1528</v>
      </c>
      <c r="J569" t="s">
        <v>1517</v>
      </c>
      <c r="K569" t="s">
        <v>1518</v>
      </c>
      <c r="L569" s="2">
        <v>5</v>
      </c>
      <c r="M569" s="10">
        <v>570</v>
      </c>
      <c r="N569" s="7">
        <v>2850</v>
      </c>
    </row>
    <row r="570" spans="1:14" x14ac:dyDescent="0.3">
      <c r="A570">
        <v>1197</v>
      </c>
      <c r="B570" s="1">
        <v>45111</v>
      </c>
      <c r="C570">
        <v>2023</v>
      </c>
      <c r="D570">
        <v>7</v>
      </c>
      <c r="E570" t="str">
        <f t="shared" si="8"/>
        <v>Juli</v>
      </c>
      <c r="F570">
        <v>3</v>
      </c>
      <c r="G570" t="s">
        <v>1526</v>
      </c>
      <c r="H570" t="s">
        <v>1527</v>
      </c>
      <c r="I570" t="s">
        <v>1528</v>
      </c>
      <c r="J570" t="s">
        <v>1517</v>
      </c>
      <c r="K570" t="s">
        <v>1518</v>
      </c>
      <c r="L570" s="2">
        <v>5</v>
      </c>
      <c r="M570" s="10">
        <v>570</v>
      </c>
      <c r="N570" s="7">
        <v>2850</v>
      </c>
    </row>
    <row r="571" spans="1:14" x14ac:dyDescent="0.3">
      <c r="A571">
        <v>1197</v>
      </c>
      <c r="B571" s="1">
        <v>44910</v>
      </c>
      <c r="C571">
        <v>2022</v>
      </c>
      <c r="D571">
        <v>12</v>
      </c>
      <c r="E571" t="str">
        <f t="shared" si="8"/>
        <v>Desember</v>
      </c>
      <c r="F571">
        <v>4</v>
      </c>
      <c r="G571" t="s">
        <v>1526</v>
      </c>
      <c r="H571" t="s">
        <v>1527</v>
      </c>
      <c r="I571" t="s">
        <v>1528</v>
      </c>
      <c r="J571" t="s">
        <v>1517</v>
      </c>
      <c r="K571" t="s">
        <v>1518</v>
      </c>
      <c r="L571" s="2">
        <v>5</v>
      </c>
      <c r="M571" s="10">
        <v>570</v>
      </c>
      <c r="N571" s="7">
        <v>2850</v>
      </c>
    </row>
    <row r="572" spans="1:14" x14ac:dyDescent="0.3">
      <c r="A572">
        <v>1197</v>
      </c>
      <c r="B572" s="1">
        <v>44595</v>
      </c>
      <c r="C572">
        <v>2022</v>
      </c>
      <c r="D572">
        <v>2</v>
      </c>
      <c r="E572" t="str">
        <f t="shared" si="8"/>
        <v>Februari</v>
      </c>
      <c r="F572">
        <v>1</v>
      </c>
      <c r="G572" t="s">
        <v>1526</v>
      </c>
      <c r="H572" t="s">
        <v>1527</v>
      </c>
      <c r="I572" t="s">
        <v>1528</v>
      </c>
      <c r="J572" t="s">
        <v>1517</v>
      </c>
      <c r="K572" t="s">
        <v>1518</v>
      </c>
      <c r="L572" s="2">
        <v>5</v>
      </c>
      <c r="M572" s="10">
        <v>570</v>
      </c>
      <c r="N572" s="7">
        <v>2850</v>
      </c>
    </row>
    <row r="573" spans="1:14" x14ac:dyDescent="0.3">
      <c r="A573">
        <v>1198</v>
      </c>
      <c r="B573" s="1">
        <v>45052</v>
      </c>
      <c r="C573">
        <v>2023</v>
      </c>
      <c r="D573">
        <v>5</v>
      </c>
      <c r="E573" t="str">
        <f t="shared" si="8"/>
        <v>Mei</v>
      </c>
      <c r="F573">
        <v>2</v>
      </c>
      <c r="G573" t="s">
        <v>1529</v>
      </c>
      <c r="H573" t="s">
        <v>1530</v>
      </c>
      <c r="I573" t="s">
        <v>1528</v>
      </c>
      <c r="J573" t="s">
        <v>1517</v>
      </c>
      <c r="K573" t="s">
        <v>1525</v>
      </c>
      <c r="L573" s="2">
        <v>3</v>
      </c>
      <c r="M573" s="10">
        <v>1005</v>
      </c>
      <c r="N573" s="7">
        <v>3015</v>
      </c>
    </row>
    <row r="574" spans="1:14" x14ac:dyDescent="0.3">
      <c r="A574">
        <v>1199</v>
      </c>
      <c r="B574" s="1">
        <v>45453</v>
      </c>
      <c r="C574">
        <v>2024</v>
      </c>
      <c r="D574">
        <v>6</v>
      </c>
      <c r="E574" t="str">
        <f t="shared" si="8"/>
        <v>Juni</v>
      </c>
      <c r="F574">
        <v>2</v>
      </c>
      <c r="G574" t="s">
        <v>1532</v>
      </c>
      <c r="H574" t="s">
        <v>1512</v>
      </c>
      <c r="I574" t="s">
        <v>1516</v>
      </c>
      <c r="J574" t="s">
        <v>1517</v>
      </c>
      <c r="K574" t="s">
        <v>1514</v>
      </c>
      <c r="L574" s="2">
        <v>2</v>
      </c>
      <c r="M574" s="10">
        <v>14435</v>
      </c>
      <c r="N574" s="7">
        <v>28870</v>
      </c>
    </row>
    <row r="575" spans="1:14" x14ac:dyDescent="0.3">
      <c r="A575">
        <v>1199</v>
      </c>
      <c r="B575" s="1">
        <v>44733</v>
      </c>
      <c r="C575">
        <v>2022</v>
      </c>
      <c r="D575">
        <v>6</v>
      </c>
      <c r="E575" t="str">
        <f t="shared" si="8"/>
        <v>Juni</v>
      </c>
      <c r="F575">
        <v>2</v>
      </c>
      <c r="G575" t="s">
        <v>1532</v>
      </c>
      <c r="H575" t="s">
        <v>1512</v>
      </c>
      <c r="I575" t="s">
        <v>1516</v>
      </c>
      <c r="J575" t="s">
        <v>1517</v>
      </c>
      <c r="K575" t="s">
        <v>1514</v>
      </c>
      <c r="L575" s="2">
        <v>2</v>
      </c>
      <c r="M575" s="10">
        <v>14435</v>
      </c>
      <c r="N575" s="7">
        <v>28870</v>
      </c>
    </row>
    <row r="576" spans="1:14" x14ac:dyDescent="0.3">
      <c r="A576">
        <v>1201</v>
      </c>
      <c r="B576" s="1">
        <v>45252</v>
      </c>
      <c r="C576">
        <v>2023</v>
      </c>
      <c r="D576">
        <v>11</v>
      </c>
      <c r="E576" t="str">
        <f t="shared" si="8"/>
        <v>November</v>
      </c>
      <c r="F576">
        <v>4</v>
      </c>
      <c r="G576" t="s">
        <v>1511</v>
      </c>
      <c r="H576" t="s">
        <v>1512</v>
      </c>
      <c r="I576" t="s">
        <v>1521</v>
      </c>
      <c r="J576" t="s">
        <v>1566</v>
      </c>
      <c r="K576" t="s">
        <v>1525</v>
      </c>
      <c r="L576" s="2">
        <v>2</v>
      </c>
      <c r="M576" s="10">
        <v>60581</v>
      </c>
      <c r="N576" s="7">
        <v>121162</v>
      </c>
    </row>
    <row r="577" spans="1:14" x14ac:dyDescent="0.3">
      <c r="A577">
        <v>1201</v>
      </c>
      <c r="B577" s="1">
        <v>44761</v>
      </c>
      <c r="C577">
        <v>2022</v>
      </c>
      <c r="D577">
        <v>7</v>
      </c>
      <c r="E577" t="str">
        <f t="shared" si="8"/>
        <v>Juli</v>
      </c>
      <c r="F577">
        <v>3</v>
      </c>
      <c r="G577" t="s">
        <v>1511</v>
      </c>
      <c r="H577" t="s">
        <v>1512</v>
      </c>
      <c r="I577" t="s">
        <v>1521</v>
      </c>
      <c r="J577" t="s">
        <v>1566</v>
      </c>
      <c r="K577" t="s">
        <v>1525</v>
      </c>
      <c r="L577" s="2">
        <v>2</v>
      </c>
      <c r="M577" s="10">
        <v>60581</v>
      </c>
      <c r="N577" s="7">
        <v>121162</v>
      </c>
    </row>
    <row r="578" spans="1:14" x14ac:dyDescent="0.3">
      <c r="A578">
        <v>1201</v>
      </c>
      <c r="B578" s="1">
        <v>44620</v>
      </c>
      <c r="C578">
        <v>2022</v>
      </c>
      <c r="D578">
        <v>2</v>
      </c>
      <c r="E578" t="str">
        <f t="shared" si="8"/>
        <v>Februari</v>
      </c>
      <c r="F578">
        <v>1</v>
      </c>
      <c r="G578" t="s">
        <v>1511</v>
      </c>
      <c r="H578" t="s">
        <v>1512</v>
      </c>
      <c r="I578" t="s">
        <v>1521</v>
      </c>
      <c r="J578" t="s">
        <v>1566</v>
      </c>
      <c r="K578" t="s">
        <v>1525</v>
      </c>
      <c r="L578" s="2">
        <v>2</v>
      </c>
      <c r="M578" s="10">
        <v>60581</v>
      </c>
      <c r="N578" s="7">
        <v>121162</v>
      </c>
    </row>
    <row r="579" spans="1:14" x14ac:dyDescent="0.3">
      <c r="A579">
        <v>1201</v>
      </c>
      <c r="B579" s="1">
        <v>45503</v>
      </c>
      <c r="C579">
        <v>2024</v>
      </c>
      <c r="D579">
        <v>7</v>
      </c>
      <c r="E579" t="str">
        <f t="shared" ref="E579:E642" si="9">TEXT(DATE(2026, D579, 1), "[$-id-ID]mmmm")</f>
        <v>Juli</v>
      </c>
      <c r="F579">
        <v>3</v>
      </c>
      <c r="G579" t="s">
        <v>1511</v>
      </c>
      <c r="H579" t="s">
        <v>1512</v>
      </c>
      <c r="I579" t="s">
        <v>1521</v>
      </c>
      <c r="J579" t="s">
        <v>1566</v>
      </c>
      <c r="K579" t="s">
        <v>1525</v>
      </c>
      <c r="L579" s="2">
        <v>2</v>
      </c>
      <c r="M579" s="10">
        <v>60581</v>
      </c>
      <c r="N579" s="7">
        <v>121162</v>
      </c>
    </row>
    <row r="580" spans="1:14" x14ac:dyDescent="0.3">
      <c r="A580">
        <v>1201</v>
      </c>
      <c r="B580" s="1">
        <v>44595</v>
      </c>
      <c r="C580">
        <v>2022</v>
      </c>
      <c r="D580">
        <v>2</v>
      </c>
      <c r="E580" t="str">
        <f t="shared" si="9"/>
        <v>Februari</v>
      </c>
      <c r="F580">
        <v>1</v>
      </c>
      <c r="G580" t="s">
        <v>1511</v>
      </c>
      <c r="H580" t="s">
        <v>1512</v>
      </c>
      <c r="I580" t="s">
        <v>1521</v>
      </c>
      <c r="J580" t="s">
        <v>1566</v>
      </c>
      <c r="K580" t="s">
        <v>1525</v>
      </c>
      <c r="L580" s="2">
        <v>2</v>
      </c>
      <c r="M580" s="10">
        <v>60581</v>
      </c>
      <c r="N580" s="7">
        <v>121162</v>
      </c>
    </row>
    <row r="581" spans="1:14" x14ac:dyDescent="0.3">
      <c r="A581">
        <v>1201</v>
      </c>
      <c r="B581" s="1">
        <v>45071</v>
      </c>
      <c r="C581">
        <v>2023</v>
      </c>
      <c r="D581">
        <v>5</v>
      </c>
      <c r="E581" t="str">
        <f t="shared" si="9"/>
        <v>Mei</v>
      </c>
      <c r="F581">
        <v>2</v>
      </c>
      <c r="G581" t="s">
        <v>1511</v>
      </c>
      <c r="H581" t="s">
        <v>1512</v>
      </c>
      <c r="I581" t="s">
        <v>1521</v>
      </c>
      <c r="J581" t="s">
        <v>1566</v>
      </c>
      <c r="K581" t="s">
        <v>1525</v>
      </c>
      <c r="L581" s="2">
        <v>2</v>
      </c>
      <c r="M581" s="10">
        <v>60581</v>
      </c>
      <c r="N581" s="7">
        <v>121162</v>
      </c>
    </row>
    <row r="582" spans="1:14" x14ac:dyDescent="0.3">
      <c r="A582">
        <v>1201</v>
      </c>
      <c r="B582" s="1">
        <v>45198</v>
      </c>
      <c r="C582">
        <v>2023</v>
      </c>
      <c r="D582">
        <v>9</v>
      </c>
      <c r="E582" t="str">
        <f t="shared" si="9"/>
        <v>September</v>
      </c>
      <c r="F582">
        <v>3</v>
      </c>
      <c r="G582" t="s">
        <v>1511</v>
      </c>
      <c r="H582" t="s">
        <v>1512</v>
      </c>
      <c r="I582" t="s">
        <v>1521</v>
      </c>
      <c r="J582" t="s">
        <v>1566</v>
      </c>
      <c r="K582" t="s">
        <v>1525</v>
      </c>
      <c r="L582" s="2">
        <v>2</v>
      </c>
      <c r="M582" s="10">
        <v>60581</v>
      </c>
      <c r="N582" s="7">
        <v>121162</v>
      </c>
    </row>
    <row r="583" spans="1:14" x14ac:dyDescent="0.3">
      <c r="A583">
        <v>1201</v>
      </c>
      <c r="B583" s="1">
        <v>44918</v>
      </c>
      <c r="C583">
        <v>2022</v>
      </c>
      <c r="D583">
        <v>12</v>
      </c>
      <c r="E583" t="str">
        <f t="shared" si="9"/>
        <v>Desember</v>
      </c>
      <c r="F583">
        <v>4</v>
      </c>
      <c r="G583" t="s">
        <v>1511</v>
      </c>
      <c r="H583" t="s">
        <v>1512</v>
      </c>
      <c r="I583" t="s">
        <v>1521</v>
      </c>
      <c r="J583" t="s">
        <v>1566</v>
      </c>
      <c r="K583" t="s">
        <v>1525</v>
      </c>
      <c r="L583" s="2">
        <v>2</v>
      </c>
      <c r="M583" s="10">
        <v>60581</v>
      </c>
      <c r="N583" s="7">
        <v>121162</v>
      </c>
    </row>
    <row r="584" spans="1:14" x14ac:dyDescent="0.3">
      <c r="A584">
        <v>1202</v>
      </c>
      <c r="B584" s="1">
        <v>44624</v>
      </c>
      <c r="C584">
        <v>2022</v>
      </c>
      <c r="D584">
        <v>3</v>
      </c>
      <c r="E584" t="str">
        <f t="shared" si="9"/>
        <v>Maret</v>
      </c>
      <c r="F584">
        <v>1</v>
      </c>
      <c r="G584" t="s">
        <v>1515</v>
      </c>
      <c r="H584" t="s">
        <v>1512</v>
      </c>
      <c r="I584" t="s">
        <v>1535</v>
      </c>
      <c r="J584" t="s">
        <v>1524</v>
      </c>
      <c r="K584" t="s">
        <v>1525</v>
      </c>
      <c r="L584" s="2">
        <v>1</v>
      </c>
      <c r="M584" s="10">
        <v>2742</v>
      </c>
      <c r="N584" s="7">
        <v>2742</v>
      </c>
    </row>
    <row r="585" spans="1:14" x14ac:dyDescent="0.3">
      <c r="A585">
        <v>1202</v>
      </c>
      <c r="B585" s="1">
        <v>45169</v>
      </c>
      <c r="C585">
        <v>2023</v>
      </c>
      <c r="D585">
        <v>8</v>
      </c>
      <c r="E585" t="str">
        <f t="shared" si="9"/>
        <v>Agustus</v>
      </c>
      <c r="F585">
        <v>3</v>
      </c>
      <c r="G585" t="s">
        <v>1515</v>
      </c>
      <c r="H585" t="s">
        <v>1512</v>
      </c>
      <c r="I585" t="s">
        <v>1535</v>
      </c>
      <c r="J585" t="s">
        <v>1524</v>
      </c>
      <c r="K585" t="s">
        <v>1525</v>
      </c>
      <c r="L585" s="2">
        <v>1</v>
      </c>
      <c r="M585" s="10">
        <v>2742</v>
      </c>
      <c r="N585" s="7">
        <v>2742</v>
      </c>
    </row>
    <row r="586" spans="1:14" x14ac:dyDescent="0.3">
      <c r="A586">
        <v>1202</v>
      </c>
      <c r="B586" s="1">
        <v>45275</v>
      </c>
      <c r="C586">
        <v>2023</v>
      </c>
      <c r="D586">
        <v>12</v>
      </c>
      <c r="E586" t="str">
        <f t="shared" si="9"/>
        <v>Desember</v>
      </c>
      <c r="F586">
        <v>4</v>
      </c>
      <c r="G586" t="s">
        <v>1515</v>
      </c>
      <c r="H586" t="s">
        <v>1512</v>
      </c>
      <c r="I586" t="s">
        <v>1535</v>
      </c>
      <c r="J586" t="s">
        <v>1524</v>
      </c>
      <c r="K586" t="s">
        <v>1525</v>
      </c>
      <c r="L586" s="2">
        <v>1</v>
      </c>
      <c r="M586" s="10">
        <v>2742</v>
      </c>
      <c r="N586" s="7">
        <v>2742</v>
      </c>
    </row>
    <row r="587" spans="1:14" x14ac:dyDescent="0.3">
      <c r="A587">
        <v>1202</v>
      </c>
      <c r="B587" s="1">
        <v>44624</v>
      </c>
      <c r="C587">
        <v>2022</v>
      </c>
      <c r="D587">
        <v>3</v>
      </c>
      <c r="E587" t="str">
        <f t="shared" si="9"/>
        <v>Maret</v>
      </c>
      <c r="F587">
        <v>1</v>
      </c>
      <c r="G587" t="s">
        <v>1515</v>
      </c>
      <c r="H587" t="s">
        <v>1512</v>
      </c>
      <c r="I587" t="s">
        <v>1535</v>
      </c>
      <c r="J587" t="s">
        <v>1524</v>
      </c>
      <c r="K587" t="s">
        <v>1525</v>
      </c>
      <c r="L587" s="2">
        <v>1</v>
      </c>
      <c r="M587" s="10">
        <v>2742</v>
      </c>
      <c r="N587" s="7">
        <v>2742</v>
      </c>
    </row>
    <row r="588" spans="1:14" x14ac:dyDescent="0.3">
      <c r="A588">
        <v>1202</v>
      </c>
      <c r="B588" s="1">
        <v>45256</v>
      </c>
      <c r="C588">
        <v>2023</v>
      </c>
      <c r="D588">
        <v>11</v>
      </c>
      <c r="E588" t="str">
        <f t="shared" si="9"/>
        <v>November</v>
      </c>
      <c r="F588">
        <v>4</v>
      </c>
      <c r="G588" t="s">
        <v>1515</v>
      </c>
      <c r="H588" t="s">
        <v>1512</v>
      </c>
      <c r="I588" t="s">
        <v>1535</v>
      </c>
      <c r="J588" t="s">
        <v>1524</v>
      </c>
      <c r="K588" t="s">
        <v>1525</v>
      </c>
      <c r="L588" s="2">
        <v>1</v>
      </c>
      <c r="M588" s="10">
        <v>2742</v>
      </c>
      <c r="N588" s="7">
        <v>2742</v>
      </c>
    </row>
    <row r="589" spans="1:14" x14ac:dyDescent="0.3">
      <c r="A589">
        <v>1203</v>
      </c>
      <c r="B589" s="1">
        <v>44865</v>
      </c>
      <c r="C589">
        <v>2022</v>
      </c>
      <c r="D589">
        <v>10</v>
      </c>
      <c r="E589" t="str">
        <f t="shared" si="9"/>
        <v>Oktober</v>
      </c>
      <c r="F589">
        <v>4</v>
      </c>
      <c r="G589" t="s">
        <v>1534</v>
      </c>
      <c r="H589" t="s">
        <v>1530</v>
      </c>
      <c r="I589" t="s">
        <v>1528</v>
      </c>
      <c r="J589" t="s">
        <v>1566</v>
      </c>
      <c r="K589" t="s">
        <v>1514</v>
      </c>
      <c r="L589" s="2">
        <v>3</v>
      </c>
      <c r="M589" s="10">
        <v>3576</v>
      </c>
      <c r="N589" s="7">
        <v>10728</v>
      </c>
    </row>
    <row r="590" spans="1:14" x14ac:dyDescent="0.3">
      <c r="A590">
        <v>1203</v>
      </c>
      <c r="B590" s="1">
        <v>44930</v>
      </c>
      <c r="C590">
        <v>2023</v>
      </c>
      <c r="D590">
        <v>1</v>
      </c>
      <c r="E590" t="str">
        <f t="shared" si="9"/>
        <v>Januari</v>
      </c>
      <c r="F590">
        <v>1</v>
      </c>
      <c r="G590" t="s">
        <v>1534</v>
      </c>
      <c r="H590" t="s">
        <v>1530</v>
      </c>
      <c r="I590" t="s">
        <v>1528</v>
      </c>
      <c r="J590" t="s">
        <v>1566</v>
      </c>
      <c r="K590" t="s">
        <v>1514</v>
      </c>
      <c r="L590" s="2">
        <v>3</v>
      </c>
      <c r="M590" s="10">
        <v>3576</v>
      </c>
      <c r="N590" s="7">
        <v>10728</v>
      </c>
    </row>
    <row r="591" spans="1:14" x14ac:dyDescent="0.3">
      <c r="A591">
        <v>1203</v>
      </c>
      <c r="B591" s="1">
        <v>45283</v>
      </c>
      <c r="C591">
        <v>2023</v>
      </c>
      <c r="D591">
        <v>12</v>
      </c>
      <c r="E591" t="str">
        <f t="shared" si="9"/>
        <v>Desember</v>
      </c>
      <c r="F591">
        <v>4</v>
      </c>
      <c r="G591" t="s">
        <v>1534</v>
      </c>
      <c r="H591" t="s">
        <v>1530</v>
      </c>
      <c r="I591" t="s">
        <v>1528</v>
      </c>
      <c r="J591" t="s">
        <v>1566</v>
      </c>
      <c r="K591" t="s">
        <v>1514</v>
      </c>
      <c r="L591" s="2">
        <v>3</v>
      </c>
      <c r="M591" s="10">
        <v>3576</v>
      </c>
      <c r="N591" s="7">
        <v>10728</v>
      </c>
    </row>
    <row r="592" spans="1:14" x14ac:dyDescent="0.3">
      <c r="A592">
        <v>1203</v>
      </c>
      <c r="B592" s="1">
        <v>44936</v>
      </c>
      <c r="C592">
        <v>2023</v>
      </c>
      <c r="D592">
        <v>1</v>
      </c>
      <c r="E592" t="str">
        <f t="shared" si="9"/>
        <v>Januari</v>
      </c>
      <c r="F592">
        <v>1</v>
      </c>
      <c r="G592" t="s">
        <v>1534</v>
      </c>
      <c r="H592" t="s">
        <v>1530</v>
      </c>
      <c r="I592" t="s">
        <v>1528</v>
      </c>
      <c r="J592" t="s">
        <v>1566</v>
      </c>
      <c r="K592" t="s">
        <v>1514</v>
      </c>
      <c r="L592" s="2">
        <v>3</v>
      </c>
      <c r="M592" s="10">
        <v>3576</v>
      </c>
      <c r="N592" s="7">
        <v>10728</v>
      </c>
    </row>
    <row r="593" spans="1:14" x14ac:dyDescent="0.3">
      <c r="A593">
        <v>1204</v>
      </c>
      <c r="B593" s="1">
        <v>45118</v>
      </c>
      <c r="C593">
        <v>2023</v>
      </c>
      <c r="D593">
        <v>7</v>
      </c>
      <c r="E593" t="str">
        <f t="shared" si="9"/>
        <v>Juli</v>
      </c>
      <c r="F593">
        <v>3</v>
      </c>
      <c r="G593" t="s">
        <v>1519</v>
      </c>
      <c r="H593" t="s">
        <v>1520</v>
      </c>
      <c r="I593" t="s">
        <v>1513</v>
      </c>
      <c r="J593" t="s">
        <v>1517</v>
      </c>
      <c r="K593" t="s">
        <v>1514</v>
      </c>
      <c r="L593" s="2">
        <v>4</v>
      </c>
      <c r="M593" s="10">
        <v>15524</v>
      </c>
      <c r="N593" s="7">
        <v>62096</v>
      </c>
    </row>
    <row r="594" spans="1:14" x14ac:dyDescent="0.3">
      <c r="A594">
        <v>1204</v>
      </c>
      <c r="B594" s="1">
        <v>44788</v>
      </c>
      <c r="C594">
        <v>2022</v>
      </c>
      <c r="D594">
        <v>8</v>
      </c>
      <c r="E594" t="str">
        <f t="shared" si="9"/>
        <v>Agustus</v>
      </c>
      <c r="F594">
        <v>3</v>
      </c>
      <c r="G594" t="s">
        <v>1519</v>
      </c>
      <c r="H594" t="s">
        <v>1520</v>
      </c>
      <c r="I594" t="s">
        <v>1513</v>
      </c>
      <c r="J594" t="s">
        <v>1517</v>
      </c>
      <c r="K594" t="s">
        <v>1514</v>
      </c>
      <c r="L594" s="2">
        <v>4</v>
      </c>
      <c r="M594" s="10">
        <v>15524</v>
      </c>
      <c r="N594" s="7">
        <v>62096</v>
      </c>
    </row>
    <row r="595" spans="1:14" x14ac:dyDescent="0.3">
      <c r="A595">
        <v>1205</v>
      </c>
      <c r="B595" s="1">
        <v>45047</v>
      </c>
      <c r="C595">
        <v>2023</v>
      </c>
      <c r="D595">
        <v>5</v>
      </c>
      <c r="E595" t="str">
        <f t="shared" si="9"/>
        <v>Mei</v>
      </c>
      <c r="F595">
        <v>2</v>
      </c>
      <c r="G595" t="s">
        <v>1522</v>
      </c>
      <c r="H595" t="s">
        <v>1520</v>
      </c>
      <c r="I595" t="s">
        <v>1521</v>
      </c>
      <c r="J595" t="s">
        <v>1517</v>
      </c>
      <c r="K595" t="s">
        <v>1518</v>
      </c>
      <c r="L595" s="2">
        <v>3</v>
      </c>
      <c r="M595" s="10">
        <v>973</v>
      </c>
      <c r="N595" s="7">
        <v>2919</v>
      </c>
    </row>
    <row r="596" spans="1:14" x14ac:dyDescent="0.3">
      <c r="A596">
        <v>1205</v>
      </c>
      <c r="B596" s="1">
        <v>45110</v>
      </c>
      <c r="C596">
        <v>2023</v>
      </c>
      <c r="D596">
        <v>7</v>
      </c>
      <c r="E596" t="str">
        <f t="shared" si="9"/>
        <v>Juli</v>
      </c>
      <c r="F596">
        <v>3</v>
      </c>
      <c r="G596" t="s">
        <v>1522</v>
      </c>
      <c r="H596" t="s">
        <v>1520</v>
      </c>
      <c r="I596" t="s">
        <v>1521</v>
      </c>
      <c r="J596" t="s">
        <v>1517</v>
      </c>
      <c r="K596" t="s">
        <v>1518</v>
      </c>
      <c r="L596" s="2">
        <v>3</v>
      </c>
      <c r="M596" s="10">
        <v>973</v>
      </c>
      <c r="N596" s="7">
        <v>2919</v>
      </c>
    </row>
    <row r="597" spans="1:14" x14ac:dyDescent="0.3">
      <c r="A597">
        <v>1205</v>
      </c>
      <c r="B597" s="1">
        <v>45192</v>
      </c>
      <c r="C597">
        <v>2023</v>
      </c>
      <c r="D597">
        <v>9</v>
      </c>
      <c r="E597" t="str">
        <f t="shared" si="9"/>
        <v>September</v>
      </c>
      <c r="F597">
        <v>3</v>
      </c>
      <c r="G597" t="s">
        <v>1522</v>
      </c>
      <c r="H597" t="s">
        <v>1520</v>
      </c>
      <c r="I597" t="s">
        <v>1521</v>
      </c>
      <c r="J597" t="s">
        <v>1517</v>
      </c>
      <c r="K597" t="s">
        <v>1518</v>
      </c>
      <c r="L597" s="2">
        <v>3</v>
      </c>
      <c r="M597" s="10">
        <v>973</v>
      </c>
      <c r="N597" s="7">
        <v>2919</v>
      </c>
    </row>
    <row r="598" spans="1:14" x14ac:dyDescent="0.3">
      <c r="A598">
        <v>1205</v>
      </c>
      <c r="B598" s="1">
        <v>45120</v>
      </c>
      <c r="C598">
        <v>2023</v>
      </c>
      <c r="D598">
        <v>7</v>
      </c>
      <c r="E598" t="str">
        <f t="shared" si="9"/>
        <v>Juli</v>
      </c>
      <c r="F598">
        <v>3</v>
      </c>
      <c r="G598" t="s">
        <v>1522</v>
      </c>
      <c r="H598" t="s">
        <v>1520</v>
      </c>
      <c r="I598" t="s">
        <v>1521</v>
      </c>
      <c r="J598" t="s">
        <v>1517</v>
      </c>
      <c r="K598" t="s">
        <v>1518</v>
      </c>
      <c r="L598" s="2">
        <v>3</v>
      </c>
      <c r="M598" s="10">
        <v>973</v>
      </c>
      <c r="N598" s="7">
        <v>2919</v>
      </c>
    </row>
    <row r="599" spans="1:14" x14ac:dyDescent="0.3">
      <c r="A599">
        <v>1205</v>
      </c>
      <c r="B599" s="1">
        <v>44839</v>
      </c>
      <c r="C599">
        <v>2022</v>
      </c>
      <c r="D599">
        <v>10</v>
      </c>
      <c r="E599" t="str">
        <f t="shared" si="9"/>
        <v>Oktober</v>
      </c>
      <c r="F599">
        <v>4</v>
      </c>
      <c r="G599" t="s">
        <v>1522</v>
      </c>
      <c r="H599" t="s">
        <v>1520</v>
      </c>
      <c r="I599" t="s">
        <v>1521</v>
      </c>
      <c r="J599" t="s">
        <v>1517</v>
      </c>
      <c r="K599" t="s">
        <v>1518</v>
      </c>
      <c r="L599" s="2">
        <v>3</v>
      </c>
      <c r="M599" s="10">
        <v>973</v>
      </c>
      <c r="N599" s="7">
        <v>2919</v>
      </c>
    </row>
    <row r="600" spans="1:14" x14ac:dyDescent="0.3">
      <c r="A600">
        <v>1205</v>
      </c>
      <c r="B600" s="1">
        <v>45572</v>
      </c>
      <c r="C600">
        <v>2024</v>
      </c>
      <c r="D600">
        <v>10</v>
      </c>
      <c r="E600" t="str">
        <f t="shared" si="9"/>
        <v>Oktober</v>
      </c>
      <c r="F600">
        <v>4</v>
      </c>
      <c r="G600" t="s">
        <v>1522</v>
      </c>
      <c r="H600" t="s">
        <v>1520</v>
      </c>
      <c r="I600" t="s">
        <v>1521</v>
      </c>
      <c r="J600" t="s">
        <v>1517</v>
      </c>
      <c r="K600" t="s">
        <v>1518</v>
      </c>
      <c r="L600" s="2">
        <v>3</v>
      </c>
      <c r="M600" s="10">
        <v>973</v>
      </c>
      <c r="N600" s="7">
        <v>2919</v>
      </c>
    </row>
    <row r="601" spans="1:14" x14ac:dyDescent="0.3">
      <c r="A601">
        <v>1206</v>
      </c>
      <c r="B601" s="1">
        <v>44657</v>
      </c>
      <c r="C601">
        <v>2022</v>
      </c>
      <c r="D601">
        <v>4</v>
      </c>
      <c r="E601" t="str">
        <f t="shared" si="9"/>
        <v>April</v>
      </c>
      <c r="F601">
        <v>2</v>
      </c>
      <c r="G601" t="s">
        <v>1523</v>
      </c>
      <c r="H601" t="s">
        <v>1512</v>
      </c>
      <c r="I601" t="s">
        <v>1521</v>
      </c>
      <c r="J601" t="s">
        <v>1566</v>
      </c>
      <c r="K601" t="s">
        <v>1518</v>
      </c>
      <c r="L601" s="2">
        <v>2</v>
      </c>
      <c r="M601" s="10">
        <v>19223</v>
      </c>
      <c r="N601" s="7">
        <v>38446</v>
      </c>
    </row>
    <row r="602" spans="1:14" x14ac:dyDescent="0.3">
      <c r="A602">
        <v>1206</v>
      </c>
      <c r="B602" s="1">
        <v>44915</v>
      </c>
      <c r="C602">
        <v>2022</v>
      </c>
      <c r="D602">
        <v>12</v>
      </c>
      <c r="E602" t="str">
        <f t="shared" si="9"/>
        <v>Desember</v>
      </c>
      <c r="F602">
        <v>4</v>
      </c>
      <c r="G602" t="s">
        <v>1523</v>
      </c>
      <c r="H602" t="s">
        <v>1512</v>
      </c>
      <c r="I602" t="s">
        <v>1521</v>
      </c>
      <c r="J602" t="s">
        <v>1566</v>
      </c>
      <c r="K602" t="s">
        <v>1518</v>
      </c>
      <c r="L602" s="2">
        <v>2</v>
      </c>
      <c r="M602" s="10">
        <v>19223</v>
      </c>
      <c r="N602" s="7">
        <v>38446</v>
      </c>
    </row>
    <row r="603" spans="1:14" x14ac:dyDescent="0.3">
      <c r="A603">
        <v>1206</v>
      </c>
      <c r="B603" s="1">
        <v>45526</v>
      </c>
      <c r="C603">
        <v>2024</v>
      </c>
      <c r="D603">
        <v>8</v>
      </c>
      <c r="E603" t="str">
        <f t="shared" si="9"/>
        <v>Agustus</v>
      </c>
      <c r="F603">
        <v>3</v>
      </c>
      <c r="G603" t="s">
        <v>1523</v>
      </c>
      <c r="H603" t="s">
        <v>1512</v>
      </c>
      <c r="I603" t="s">
        <v>1521</v>
      </c>
      <c r="J603" t="s">
        <v>1566</v>
      </c>
      <c r="K603" t="s">
        <v>1518</v>
      </c>
      <c r="L603" s="2">
        <v>2</v>
      </c>
      <c r="M603" s="10">
        <v>19223</v>
      </c>
      <c r="N603" s="7">
        <v>38446</v>
      </c>
    </row>
    <row r="604" spans="1:14" x14ac:dyDescent="0.3">
      <c r="A604">
        <v>1206</v>
      </c>
      <c r="B604" s="1">
        <v>45169</v>
      </c>
      <c r="C604">
        <v>2023</v>
      </c>
      <c r="D604">
        <v>8</v>
      </c>
      <c r="E604" t="str">
        <f t="shared" si="9"/>
        <v>Agustus</v>
      </c>
      <c r="F604">
        <v>3</v>
      </c>
      <c r="G604" t="s">
        <v>1523</v>
      </c>
      <c r="H604" t="s">
        <v>1512</v>
      </c>
      <c r="I604" t="s">
        <v>1521</v>
      </c>
      <c r="J604" t="s">
        <v>1566</v>
      </c>
      <c r="K604" t="s">
        <v>1518</v>
      </c>
      <c r="L604" s="2">
        <v>2</v>
      </c>
      <c r="M604" s="10">
        <v>19223</v>
      </c>
      <c r="N604" s="7">
        <v>38446</v>
      </c>
    </row>
    <row r="605" spans="1:14" x14ac:dyDescent="0.3">
      <c r="A605">
        <v>1207</v>
      </c>
      <c r="B605" s="1">
        <v>45056</v>
      </c>
      <c r="C605">
        <v>2023</v>
      </c>
      <c r="D605">
        <v>5</v>
      </c>
      <c r="E605" t="str">
        <f t="shared" si="9"/>
        <v>Mei</v>
      </c>
      <c r="F605">
        <v>2</v>
      </c>
      <c r="G605" t="s">
        <v>1526</v>
      </c>
      <c r="H605" t="s">
        <v>1527</v>
      </c>
      <c r="I605" t="s">
        <v>1535</v>
      </c>
      <c r="J605" t="s">
        <v>1524</v>
      </c>
      <c r="K605" t="s">
        <v>1514</v>
      </c>
      <c r="L605" s="2">
        <v>3</v>
      </c>
      <c r="M605" s="10">
        <v>197</v>
      </c>
      <c r="N605" s="7">
        <v>591</v>
      </c>
    </row>
    <row r="606" spans="1:14" x14ac:dyDescent="0.3">
      <c r="A606">
        <v>1208</v>
      </c>
      <c r="B606" s="1">
        <v>44793</v>
      </c>
      <c r="C606">
        <v>2022</v>
      </c>
      <c r="D606">
        <v>8</v>
      </c>
      <c r="E606" t="str">
        <f t="shared" si="9"/>
        <v>Agustus</v>
      </c>
      <c r="F606">
        <v>3</v>
      </c>
      <c r="G606" t="s">
        <v>1529</v>
      </c>
      <c r="H606" t="s">
        <v>1530</v>
      </c>
      <c r="I606" t="s">
        <v>1513</v>
      </c>
      <c r="J606" t="s">
        <v>1524</v>
      </c>
      <c r="K606" t="s">
        <v>1518</v>
      </c>
      <c r="L606" s="2">
        <v>4</v>
      </c>
      <c r="M606" s="10">
        <v>1862</v>
      </c>
      <c r="N606" s="7">
        <v>7448</v>
      </c>
    </row>
    <row r="607" spans="1:14" x14ac:dyDescent="0.3">
      <c r="A607">
        <v>1208</v>
      </c>
      <c r="B607" s="1">
        <v>44670</v>
      </c>
      <c r="C607">
        <v>2022</v>
      </c>
      <c r="D607">
        <v>4</v>
      </c>
      <c r="E607" t="str">
        <f t="shared" si="9"/>
        <v>April</v>
      </c>
      <c r="F607">
        <v>2</v>
      </c>
      <c r="G607" t="s">
        <v>1529</v>
      </c>
      <c r="H607" t="s">
        <v>1530</v>
      </c>
      <c r="I607" t="s">
        <v>1513</v>
      </c>
      <c r="J607" t="s">
        <v>1524</v>
      </c>
      <c r="K607" t="s">
        <v>1518</v>
      </c>
      <c r="L607" s="2">
        <v>4</v>
      </c>
      <c r="M607" s="10">
        <v>1862</v>
      </c>
      <c r="N607" s="7">
        <v>7448</v>
      </c>
    </row>
    <row r="608" spans="1:14" x14ac:dyDescent="0.3">
      <c r="A608">
        <v>1209</v>
      </c>
      <c r="B608" s="1">
        <v>44579</v>
      </c>
      <c r="C608">
        <v>2022</v>
      </c>
      <c r="D608">
        <v>1</v>
      </c>
      <c r="E608" t="str">
        <f t="shared" si="9"/>
        <v>Januari</v>
      </c>
      <c r="F608">
        <v>1</v>
      </c>
      <c r="G608" t="s">
        <v>1532</v>
      </c>
      <c r="H608" t="s">
        <v>1512</v>
      </c>
      <c r="I608" t="s">
        <v>1531</v>
      </c>
      <c r="J608" t="s">
        <v>1524</v>
      </c>
      <c r="K608" t="s">
        <v>1525</v>
      </c>
      <c r="L608" s="2">
        <v>2</v>
      </c>
      <c r="M608" s="10">
        <v>7732</v>
      </c>
      <c r="N608" s="7">
        <v>15464</v>
      </c>
    </row>
    <row r="609" spans="1:14" x14ac:dyDescent="0.3">
      <c r="A609">
        <v>1209</v>
      </c>
      <c r="B609" s="1">
        <v>45458</v>
      </c>
      <c r="C609">
        <v>2024</v>
      </c>
      <c r="D609">
        <v>6</v>
      </c>
      <c r="E609" t="str">
        <f t="shared" si="9"/>
        <v>Juni</v>
      </c>
      <c r="F609">
        <v>2</v>
      </c>
      <c r="G609" t="s">
        <v>1532</v>
      </c>
      <c r="H609" t="s">
        <v>1512</v>
      </c>
      <c r="I609" t="s">
        <v>1531</v>
      </c>
      <c r="J609" t="s">
        <v>1524</v>
      </c>
      <c r="K609" t="s">
        <v>1525</v>
      </c>
      <c r="L609" s="2">
        <v>2</v>
      </c>
      <c r="M609" s="10">
        <v>7732</v>
      </c>
      <c r="N609" s="7">
        <v>15464</v>
      </c>
    </row>
    <row r="610" spans="1:14" x14ac:dyDescent="0.3">
      <c r="A610">
        <v>1209</v>
      </c>
      <c r="B610" s="1">
        <v>45018</v>
      </c>
      <c r="C610">
        <v>2023</v>
      </c>
      <c r="D610">
        <v>4</v>
      </c>
      <c r="E610" t="str">
        <f t="shared" si="9"/>
        <v>April</v>
      </c>
      <c r="F610">
        <v>2</v>
      </c>
      <c r="G610" t="s">
        <v>1532</v>
      </c>
      <c r="H610" t="s">
        <v>1512</v>
      </c>
      <c r="I610" t="s">
        <v>1531</v>
      </c>
      <c r="J610" t="s">
        <v>1524</v>
      </c>
      <c r="K610" t="s">
        <v>1525</v>
      </c>
      <c r="L610" s="2">
        <v>2</v>
      </c>
      <c r="M610" s="10">
        <v>7732</v>
      </c>
      <c r="N610" s="7">
        <v>15464</v>
      </c>
    </row>
    <row r="611" spans="1:14" x14ac:dyDescent="0.3">
      <c r="A611">
        <v>1209</v>
      </c>
      <c r="B611" s="1">
        <v>45177</v>
      </c>
      <c r="C611">
        <v>2023</v>
      </c>
      <c r="D611">
        <v>9</v>
      </c>
      <c r="E611" t="str">
        <f t="shared" si="9"/>
        <v>September</v>
      </c>
      <c r="F611">
        <v>3</v>
      </c>
      <c r="G611" t="s">
        <v>1532</v>
      </c>
      <c r="H611" t="s">
        <v>1512</v>
      </c>
      <c r="I611" t="s">
        <v>1531</v>
      </c>
      <c r="J611" t="s">
        <v>1524</v>
      </c>
      <c r="K611" t="s">
        <v>1525</v>
      </c>
      <c r="L611" s="2">
        <v>2</v>
      </c>
      <c r="M611" s="10">
        <v>7732</v>
      </c>
      <c r="N611" s="7">
        <v>15464</v>
      </c>
    </row>
    <row r="612" spans="1:14" x14ac:dyDescent="0.3">
      <c r="A612">
        <v>1209</v>
      </c>
      <c r="B612" s="1">
        <v>45538</v>
      </c>
      <c r="C612">
        <v>2024</v>
      </c>
      <c r="D612">
        <v>9</v>
      </c>
      <c r="E612" t="str">
        <f t="shared" si="9"/>
        <v>September</v>
      </c>
      <c r="F612">
        <v>3</v>
      </c>
      <c r="G612" t="s">
        <v>1532</v>
      </c>
      <c r="H612" t="s">
        <v>1512</v>
      </c>
      <c r="I612" t="s">
        <v>1531</v>
      </c>
      <c r="J612" t="s">
        <v>1524</v>
      </c>
      <c r="K612" t="s">
        <v>1525</v>
      </c>
      <c r="L612" s="2">
        <v>2</v>
      </c>
      <c r="M612" s="10">
        <v>7732</v>
      </c>
      <c r="N612" s="7">
        <v>15464</v>
      </c>
    </row>
    <row r="613" spans="1:14" x14ac:dyDescent="0.3">
      <c r="A613">
        <v>1210</v>
      </c>
      <c r="B613" s="1">
        <v>45170</v>
      </c>
      <c r="C613">
        <v>2023</v>
      </c>
      <c r="D613">
        <v>9</v>
      </c>
      <c r="E613" t="str">
        <f t="shared" si="9"/>
        <v>September</v>
      </c>
      <c r="F613">
        <v>3</v>
      </c>
      <c r="G613" t="s">
        <v>1533</v>
      </c>
      <c r="H613" t="s">
        <v>1520</v>
      </c>
      <c r="I613" t="s">
        <v>1535</v>
      </c>
      <c r="J613" t="s">
        <v>1566</v>
      </c>
      <c r="K613" t="s">
        <v>1525</v>
      </c>
      <c r="L613" s="2">
        <v>3</v>
      </c>
      <c r="M613" s="10">
        <v>508</v>
      </c>
      <c r="N613" s="7">
        <v>1524</v>
      </c>
    </row>
    <row r="614" spans="1:14" x14ac:dyDescent="0.3">
      <c r="A614">
        <v>1210</v>
      </c>
      <c r="B614" s="1">
        <v>44631</v>
      </c>
      <c r="C614">
        <v>2022</v>
      </c>
      <c r="D614">
        <v>3</v>
      </c>
      <c r="E614" t="str">
        <f t="shared" si="9"/>
        <v>Maret</v>
      </c>
      <c r="F614">
        <v>1</v>
      </c>
      <c r="G614" t="s">
        <v>1533</v>
      </c>
      <c r="H614" t="s">
        <v>1520</v>
      </c>
      <c r="I614" t="s">
        <v>1535</v>
      </c>
      <c r="J614" t="s">
        <v>1566</v>
      </c>
      <c r="K614" t="s">
        <v>1525</v>
      </c>
      <c r="L614" s="2">
        <v>3</v>
      </c>
      <c r="M614" s="10">
        <v>508</v>
      </c>
      <c r="N614" s="7">
        <v>1524</v>
      </c>
    </row>
    <row r="615" spans="1:14" x14ac:dyDescent="0.3">
      <c r="A615">
        <v>1210</v>
      </c>
      <c r="B615" s="1">
        <v>44735</v>
      </c>
      <c r="C615">
        <v>2022</v>
      </c>
      <c r="D615">
        <v>6</v>
      </c>
      <c r="E615" t="str">
        <f t="shared" si="9"/>
        <v>Juni</v>
      </c>
      <c r="F615">
        <v>2</v>
      </c>
      <c r="G615" t="s">
        <v>1533</v>
      </c>
      <c r="H615" t="s">
        <v>1520</v>
      </c>
      <c r="I615" t="s">
        <v>1535</v>
      </c>
      <c r="J615" t="s">
        <v>1566</v>
      </c>
      <c r="K615" t="s">
        <v>1525</v>
      </c>
      <c r="L615" s="2">
        <v>3</v>
      </c>
      <c r="M615" s="10">
        <v>508</v>
      </c>
      <c r="N615" s="7">
        <v>1524</v>
      </c>
    </row>
    <row r="616" spans="1:14" x14ac:dyDescent="0.3">
      <c r="A616">
        <v>1210</v>
      </c>
      <c r="B616" s="1">
        <v>44701</v>
      </c>
      <c r="C616">
        <v>2022</v>
      </c>
      <c r="D616">
        <v>5</v>
      </c>
      <c r="E616" t="str">
        <f t="shared" si="9"/>
        <v>Mei</v>
      </c>
      <c r="F616">
        <v>2</v>
      </c>
      <c r="G616" t="s">
        <v>1533</v>
      </c>
      <c r="H616" t="s">
        <v>1520</v>
      </c>
      <c r="I616" t="s">
        <v>1535</v>
      </c>
      <c r="J616" t="s">
        <v>1566</v>
      </c>
      <c r="K616" t="s">
        <v>1525</v>
      </c>
      <c r="L616" s="2">
        <v>3</v>
      </c>
      <c r="M616" s="10">
        <v>508</v>
      </c>
      <c r="N616" s="7">
        <v>1524</v>
      </c>
    </row>
    <row r="617" spans="1:14" x14ac:dyDescent="0.3">
      <c r="A617">
        <v>1210</v>
      </c>
      <c r="B617" s="1">
        <v>44900</v>
      </c>
      <c r="C617">
        <v>2022</v>
      </c>
      <c r="D617">
        <v>12</v>
      </c>
      <c r="E617" t="str">
        <f t="shared" si="9"/>
        <v>Desember</v>
      </c>
      <c r="F617">
        <v>4</v>
      </c>
      <c r="G617" t="s">
        <v>1533</v>
      </c>
      <c r="H617" t="s">
        <v>1520</v>
      </c>
      <c r="I617" t="s">
        <v>1535</v>
      </c>
      <c r="J617" t="s">
        <v>1566</v>
      </c>
      <c r="K617" t="s">
        <v>1525</v>
      </c>
      <c r="L617" s="2">
        <v>3</v>
      </c>
      <c r="M617" s="10">
        <v>508</v>
      </c>
      <c r="N617" s="7">
        <v>1524</v>
      </c>
    </row>
    <row r="618" spans="1:14" x14ac:dyDescent="0.3">
      <c r="A618">
        <v>1211</v>
      </c>
      <c r="B618" s="1">
        <v>45057</v>
      </c>
      <c r="C618">
        <v>2023</v>
      </c>
      <c r="D618">
        <v>5</v>
      </c>
      <c r="E618" t="str">
        <f t="shared" si="9"/>
        <v>Mei</v>
      </c>
      <c r="F618">
        <v>2</v>
      </c>
      <c r="G618" t="s">
        <v>1511</v>
      </c>
      <c r="H618" t="s">
        <v>1512</v>
      </c>
      <c r="I618" t="s">
        <v>1521</v>
      </c>
      <c r="J618" t="s">
        <v>1566</v>
      </c>
      <c r="K618" t="s">
        <v>1525</v>
      </c>
      <c r="L618" s="2">
        <v>1</v>
      </c>
      <c r="M618" s="10">
        <v>55970</v>
      </c>
      <c r="N618" s="7">
        <v>55970</v>
      </c>
    </row>
    <row r="619" spans="1:14" x14ac:dyDescent="0.3">
      <c r="A619">
        <v>1211</v>
      </c>
      <c r="B619" s="1">
        <v>45081</v>
      </c>
      <c r="C619">
        <v>2023</v>
      </c>
      <c r="D619">
        <v>6</v>
      </c>
      <c r="E619" t="str">
        <f t="shared" si="9"/>
        <v>Juni</v>
      </c>
      <c r="F619">
        <v>2</v>
      </c>
      <c r="G619" t="s">
        <v>1511</v>
      </c>
      <c r="H619" t="s">
        <v>1512</v>
      </c>
      <c r="I619" t="s">
        <v>1521</v>
      </c>
      <c r="J619" t="s">
        <v>1566</v>
      </c>
      <c r="K619" t="s">
        <v>1525</v>
      </c>
      <c r="L619" s="2">
        <v>1</v>
      </c>
      <c r="M619" s="10">
        <v>55970</v>
      </c>
      <c r="N619" s="7">
        <v>55970</v>
      </c>
    </row>
    <row r="620" spans="1:14" x14ac:dyDescent="0.3">
      <c r="A620">
        <v>1212</v>
      </c>
      <c r="B620" s="1">
        <v>45339</v>
      </c>
      <c r="C620">
        <v>2024</v>
      </c>
      <c r="D620">
        <v>2</v>
      </c>
      <c r="E620" t="str">
        <f t="shared" si="9"/>
        <v>Februari</v>
      </c>
      <c r="F620">
        <v>1</v>
      </c>
      <c r="G620" t="s">
        <v>1515</v>
      </c>
      <c r="H620" t="s">
        <v>1512</v>
      </c>
      <c r="I620" t="s">
        <v>1528</v>
      </c>
      <c r="J620" t="s">
        <v>1524</v>
      </c>
      <c r="K620" t="s">
        <v>1525</v>
      </c>
      <c r="L620" s="2">
        <v>2</v>
      </c>
      <c r="M620" s="10">
        <v>2129</v>
      </c>
      <c r="N620" s="7">
        <v>4258</v>
      </c>
    </row>
    <row r="621" spans="1:14" x14ac:dyDescent="0.3">
      <c r="A621">
        <v>1212</v>
      </c>
      <c r="B621" s="1">
        <v>44787</v>
      </c>
      <c r="C621">
        <v>2022</v>
      </c>
      <c r="D621">
        <v>8</v>
      </c>
      <c r="E621" t="str">
        <f t="shared" si="9"/>
        <v>Agustus</v>
      </c>
      <c r="F621">
        <v>3</v>
      </c>
      <c r="G621" t="s">
        <v>1515</v>
      </c>
      <c r="H621" t="s">
        <v>1512</v>
      </c>
      <c r="I621" t="s">
        <v>1528</v>
      </c>
      <c r="J621" t="s">
        <v>1524</v>
      </c>
      <c r="K621" t="s">
        <v>1525</v>
      </c>
      <c r="L621" s="2">
        <v>2</v>
      </c>
      <c r="M621" s="10">
        <v>2129</v>
      </c>
      <c r="N621" s="7">
        <v>4258</v>
      </c>
    </row>
    <row r="622" spans="1:14" x14ac:dyDescent="0.3">
      <c r="A622">
        <v>1212</v>
      </c>
      <c r="B622" s="1">
        <v>45218</v>
      </c>
      <c r="C622">
        <v>2023</v>
      </c>
      <c r="D622">
        <v>10</v>
      </c>
      <c r="E622" t="str">
        <f t="shared" si="9"/>
        <v>Oktober</v>
      </c>
      <c r="F622">
        <v>4</v>
      </c>
      <c r="G622" t="s">
        <v>1515</v>
      </c>
      <c r="H622" t="s">
        <v>1512</v>
      </c>
      <c r="I622" t="s">
        <v>1528</v>
      </c>
      <c r="J622" t="s">
        <v>1524</v>
      </c>
      <c r="K622" t="s">
        <v>1525</v>
      </c>
      <c r="L622" s="2">
        <v>2</v>
      </c>
      <c r="M622" s="10">
        <v>2129</v>
      </c>
      <c r="N622" s="7">
        <v>4258</v>
      </c>
    </row>
    <row r="623" spans="1:14" x14ac:dyDescent="0.3">
      <c r="A623">
        <v>1213</v>
      </c>
      <c r="B623" s="1">
        <v>44608</v>
      </c>
      <c r="C623">
        <v>2022</v>
      </c>
      <c r="D623">
        <v>2</v>
      </c>
      <c r="E623" t="str">
        <f t="shared" si="9"/>
        <v>Februari</v>
      </c>
      <c r="F623">
        <v>1</v>
      </c>
      <c r="G623" t="s">
        <v>1534</v>
      </c>
      <c r="H623" t="s">
        <v>1530</v>
      </c>
      <c r="I623" t="s">
        <v>1521</v>
      </c>
      <c r="J623" t="s">
        <v>1566</v>
      </c>
      <c r="K623" t="s">
        <v>1518</v>
      </c>
      <c r="L623" s="2">
        <v>3</v>
      </c>
      <c r="M623" s="10">
        <v>2280</v>
      </c>
      <c r="N623" s="7">
        <v>6840</v>
      </c>
    </row>
    <row r="624" spans="1:14" x14ac:dyDescent="0.3">
      <c r="A624">
        <v>1214</v>
      </c>
      <c r="B624" s="1">
        <v>45006</v>
      </c>
      <c r="C624">
        <v>2023</v>
      </c>
      <c r="D624">
        <v>3</v>
      </c>
      <c r="E624" t="str">
        <f t="shared" si="9"/>
        <v>Maret</v>
      </c>
      <c r="F624">
        <v>1</v>
      </c>
      <c r="G624" t="s">
        <v>1519</v>
      </c>
      <c r="H624" t="s">
        <v>1520</v>
      </c>
      <c r="I624" t="s">
        <v>1516</v>
      </c>
      <c r="J624" t="s">
        <v>1566</v>
      </c>
      <c r="K624" t="s">
        <v>1514</v>
      </c>
      <c r="L624" s="2">
        <v>1</v>
      </c>
      <c r="M624" s="10">
        <v>2260</v>
      </c>
      <c r="N624" s="7">
        <v>2260</v>
      </c>
    </row>
    <row r="625" spans="1:14" x14ac:dyDescent="0.3">
      <c r="A625">
        <v>1214</v>
      </c>
      <c r="B625" s="1">
        <v>44696</v>
      </c>
      <c r="C625">
        <v>2022</v>
      </c>
      <c r="D625">
        <v>5</v>
      </c>
      <c r="E625" t="str">
        <f t="shared" si="9"/>
        <v>Mei</v>
      </c>
      <c r="F625">
        <v>2</v>
      </c>
      <c r="G625" t="s">
        <v>1519</v>
      </c>
      <c r="H625" t="s">
        <v>1520</v>
      </c>
      <c r="I625" t="s">
        <v>1516</v>
      </c>
      <c r="J625" t="s">
        <v>1566</v>
      </c>
      <c r="K625" t="s">
        <v>1514</v>
      </c>
      <c r="L625" s="2">
        <v>1</v>
      </c>
      <c r="M625" s="10">
        <v>2260</v>
      </c>
      <c r="N625" s="7">
        <v>2260</v>
      </c>
    </row>
    <row r="626" spans="1:14" x14ac:dyDescent="0.3">
      <c r="A626">
        <v>1215</v>
      </c>
      <c r="B626" s="1">
        <v>45143</v>
      </c>
      <c r="C626">
        <v>2023</v>
      </c>
      <c r="D626">
        <v>8</v>
      </c>
      <c r="E626" t="str">
        <f t="shared" si="9"/>
        <v>Agustus</v>
      </c>
      <c r="F626">
        <v>3</v>
      </c>
      <c r="G626" t="s">
        <v>1522</v>
      </c>
      <c r="H626" t="s">
        <v>1520</v>
      </c>
      <c r="I626" t="s">
        <v>1528</v>
      </c>
      <c r="J626" t="s">
        <v>1566</v>
      </c>
      <c r="K626" t="s">
        <v>1518</v>
      </c>
      <c r="L626" s="2">
        <v>4</v>
      </c>
      <c r="M626" s="10">
        <v>962</v>
      </c>
      <c r="N626" s="7">
        <v>3848</v>
      </c>
    </row>
    <row r="627" spans="1:14" x14ac:dyDescent="0.3">
      <c r="A627">
        <v>1215</v>
      </c>
      <c r="B627" s="1">
        <v>45068</v>
      </c>
      <c r="C627">
        <v>2023</v>
      </c>
      <c r="D627">
        <v>5</v>
      </c>
      <c r="E627" t="str">
        <f t="shared" si="9"/>
        <v>Mei</v>
      </c>
      <c r="F627">
        <v>2</v>
      </c>
      <c r="G627" t="s">
        <v>1522</v>
      </c>
      <c r="H627" t="s">
        <v>1520</v>
      </c>
      <c r="I627" t="s">
        <v>1528</v>
      </c>
      <c r="J627" t="s">
        <v>1566</v>
      </c>
      <c r="K627" t="s">
        <v>1518</v>
      </c>
      <c r="L627" s="2">
        <v>4</v>
      </c>
      <c r="M627" s="10">
        <v>962</v>
      </c>
      <c r="N627" s="7">
        <v>3848</v>
      </c>
    </row>
    <row r="628" spans="1:14" x14ac:dyDescent="0.3">
      <c r="A628">
        <v>1215</v>
      </c>
      <c r="B628" s="1">
        <v>44885</v>
      </c>
      <c r="C628">
        <v>2022</v>
      </c>
      <c r="D628">
        <v>11</v>
      </c>
      <c r="E628" t="str">
        <f t="shared" si="9"/>
        <v>November</v>
      </c>
      <c r="F628">
        <v>4</v>
      </c>
      <c r="G628" t="s">
        <v>1522</v>
      </c>
      <c r="H628" t="s">
        <v>1520</v>
      </c>
      <c r="I628" t="s">
        <v>1528</v>
      </c>
      <c r="J628" t="s">
        <v>1566</v>
      </c>
      <c r="K628" t="s">
        <v>1518</v>
      </c>
      <c r="L628" s="2">
        <v>4</v>
      </c>
      <c r="M628" s="10">
        <v>962</v>
      </c>
      <c r="N628" s="7">
        <v>3848</v>
      </c>
    </row>
    <row r="629" spans="1:14" x14ac:dyDescent="0.3">
      <c r="A629">
        <v>1215</v>
      </c>
      <c r="B629" s="1">
        <v>44770</v>
      </c>
      <c r="C629">
        <v>2022</v>
      </c>
      <c r="D629">
        <v>7</v>
      </c>
      <c r="E629" t="str">
        <f t="shared" si="9"/>
        <v>Juli</v>
      </c>
      <c r="F629">
        <v>3</v>
      </c>
      <c r="G629" t="s">
        <v>1522</v>
      </c>
      <c r="H629" t="s">
        <v>1520</v>
      </c>
      <c r="I629" t="s">
        <v>1528</v>
      </c>
      <c r="J629" t="s">
        <v>1566</v>
      </c>
      <c r="K629" t="s">
        <v>1518</v>
      </c>
      <c r="L629" s="2">
        <v>4</v>
      </c>
      <c r="M629" s="10">
        <v>962</v>
      </c>
      <c r="N629" s="7">
        <v>3848</v>
      </c>
    </row>
    <row r="630" spans="1:14" x14ac:dyDescent="0.3">
      <c r="A630">
        <v>1216</v>
      </c>
      <c r="B630" s="1">
        <v>44963</v>
      </c>
      <c r="C630">
        <v>2023</v>
      </c>
      <c r="D630">
        <v>2</v>
      </c>
      <c r="E630" t="str">
        <f t="shared" si="9"/>
        <v>Februari</v>
      </c>
      <c r="F630">
        <v>1</v>
      </c>
      <c r="G630" t="s">
        <v>1523</v>
      </c>
      <c r="H630" t="s">
        <v>1512</v>
      </c>
      <c r="I630" t="s">
        <v>1531</v>
      </c>
      <c r="J630" t="s">
        <v>1524</v>
      </c>
      <c r="K630" t="s">
        <v>1514</v>
      </c>
      <c r="L630" s="2">
        <v>2</v>
      </c>
      <c r="M630" s="10">
        <v>12775</v>
      </c>
      <c r="N630" s="7">
        <v>25550</v>
      </c>
    </row>
    <row r="631" spans="1:14" x14ac:dyDescent="0.3">
      <c r="A631">
        <v>1216</v>
      </c>
      <c r="B631" s="1">
        <v>44799</v>
      </c>
      <c r="C631">
        <v>2022</v>
      </c>
      <c r="D631">
        <v>8</v>
      </c>
      <c r="E631" t="str">
        <f t="shared" si="9"/>
        <v>Agustus</v>
      </c>
      <c r="F631">
        <v>3</v>
      </c>
      <c r="G631" t="s">
        <v>1523</v>
      </c>
      <c r="H631" t="s">
        <v>1512</v>
      </c>
      <c r="I631" t="s">
        <v>1531</v>
      </c>
      <c r="J631" t="s">
        <v>1524</v>
      </c>
      <c r="K631" t="s">
        <v>1514</v>
      </c>
      <c r="L631" s="2">
        <v>2</v>
      </c>
      <c r="M631" s="10">
        <v>12775</v>
      </c>
      <c r="N631" s="7">
        <v>25550</v>
      </c>
    </row>
    <row r="632" spans="1:14" x14ac:dyDescent="0.3">
      <c r="A632">
        <v>1216</v>
      </c>
      <c r="B632" s="1">
        <v>44904</v>
      </c>
      <c r="C632">
        <v>2022</v>
      </c>
      <c r="D632">
        <v>12</v>
      </c>
      <c r="E632" t="str">
        <f t="shared" si="9"/>
        <v>Desember</v>
      </c>
      <c r="F632">
        <v>4</v>
      </c>
      <c r="G632" t="s">
        <v>1523</v>
      </c>
      <c r="H632" t="s">
        <v>1512</v>
      </c>
      <c r="I632" t="s">
        <v>1531</v>
      </c>
      <c r="J632" t="s">
        <v>1524</v>
      </c>
      <c r="K632" t="s">
        <v>1514</v>
      </c>
      <c r="L632" s="2">
        <v>2</v>
      </c>
      <c r="M632" s="10">
        <v>12775</v>
      </c>
      <c r="N632" s="7">
        <v>25550</v>
      </c>
    </row>
    <row r="633" spans="1:14" x14ac:dyDescent="0.3">
      <c r="A633">
        <v>1216</v>
      </c>
      <c r="B633" s="1">
        <v>44728</v>
      </c>
      <c r="C633">
        <v>2022</v>
      </c>
      <c r="D633">
        <v>6</v>
      </c>
      <c r="E633" t="str">
        <f t="shared" si="9"/>
        <v>Juni</v>
      </c>
      <c r="F633">
        <v>2</v>
      </c>
      <c r="G633" t="s">
        <v>1523</v>
      </c>
      <c r="H633" t="s">
        <v>1512</v>
      </c>
      <c r="I633" t="s">
        <v>1531</v>
      </c>
      <c r="J633" t="s">
        <v>1524</v>
      </c>
      <c r="K633" t="s">
        <v>1514</v>
      </c>
      <c r="L633" s="2">
        <v>2</v>
      </c>
      <c r="M633" s="10">
        <v>12775</v>
      </c>
      <c r="N633" s="7">
        <v>25550</v>
      </c>
    </row>
    <row r="634" spans="1:14" x14ac:dyDescent="0.3">
      <c r="A634">
        <v>1216</v>
      </c>
      <c r="B634" s="1">
        <v>45367</v>
      </c>
      <c r="C634">
        <v>2024</v>
      </c>
      <c r="D634">
        <v>3</v>
      </c>
      <c r="E634" t="str">
        <f t="shared" si="9"/>
        <v>Maret</v>
      </c>
      <c r="F634">
        <v>1</v>
      </c>
      <c r="G634" t="s">
        <v>1523</v>
      </c>
      <c r="H634" t="s">
        <v>1512</v>
      </c>
      <c r="I634" t="s">
        <v>1531</v>
      </c>
      <c r="J634" t="s">
        <v>1524</v>
      </c>
      <c r="K634" t="s">
        <v>1514</v>
      </c>
      <c r="L634" s="2">
        <v>2</v>
      </c>
      <c r="M634" s="10">
        <v>12775</v>
      </c>
      <c r="N634" s="7">
        <v>25550</v>
      </c>
    </row>
    <row r="635" spans="1:14" x14ac:dyDescent="0.3">
      <c r="A635">
        <v>1216</v>
      </c>
      <c r="B635" s="1">
        <v>44838</v>
      </c>
      <c r="C635">
        <v>2022</v>
      </c>
      <c r="D635">
        <v>10</v>
      </c>
      <c r="E635" t="str">
        <f t="shared" si="9"/>
        <v>Oktober</v>
      </c>
      <c r="F635">
        <v>4</v>
      </c>
      <c r="G635" t="s">
        <v>1523</v>
      </c>
      <c r="H635" t="s">
        <v>1512</v>
      </c>
      <c r="I635" t="s">
        <v>1531</v>
      </c>
      <c r="J635" t="s">
        <v>1524</v>
      </c>
      <c r="K635" t="s">
        <v>1514</v>
      </c>
      <c r="L635" s="2">
        <v>2</v>
      </c>
      <c r="M635" s="10">
        <v>12775</v>
      </c>
      <c r="N635" s="7">
        <v>25550</v>
      </c>
    </row>
    <row r="636" spans="1:14" x14ac:dyDescent="0.3">
      <c r="A636">
        <v>1216</v>
      </c>
      <c r="B636" s="1">
        <v>45230</v>
      </c>
      <c r="C636">
        <v>2023</v>
      </c>
      <c r="D636">
        <v>10</v>
      </c>
      <c r="E636" t="str">
        <f t="shared" si="9"/>
        <v>Oktober</v>
      </c>
      <c r="F636">
        <v>4</v>
      </c>
      <c r="G636" t="s">
        <v>1523</v>
      </c>
      <c r="H636" t="s">
        <v>1512</v>
      </c>
      <c r="I636" t="s">
        <v>1531</v>
      </c>
      <c r="J636" t="s">
        <v>1524</v>
      </c>
      <c r="K636" t="s">
        <v>1514</v>
      </c>
      <c r="L636" s="2">
        <v>2</v>
      </c>
      <c r="M636" s="10">
        <v>12775</v>
      </c>
      <c r="N636" s="7">
        <v>25550</v>
      </c>
    </row>
    <row r="637" spans="1:14" x14ac:dyDescent="0.3">
      <c r="A637">
        <v>1216</v>
      </c>
      <c r="B637" s="1">
        <v>45203</v>
      </c>
      <c r="C637">
        <v>2023</v>
      </c>
      <c r="D637">
        <v>10</v>
      </c>
      <c r="E637" t="str">
        <f t="shared" si="9"/>
        <v>Oktober</v>
      </c>
      <c r="F637">
        <v>4</v>
      </c>
      <c r="G637" t="s">
        <v>1523</v>
      </c>
      <c r="H637" t="s">
        <v>1512</v>
      </c>
      <c r="I637" t="s">
        <v>1531</v>
      </c>
      <c r="J637" t="s">
        <v>1524</v>
      </c>
      <c r="K637" t="s">
        <v>1514</v>
      </c>
      <c r="L637" s="2">
        <v>2</v>
      </c>
      <c r="M637" s="10">
        <v>12775</v>
      </c>
      <c r="N637" s="7">
        <v>25550</v>
      </c>
    </row>
    <row r="638" spans="1:14" x14ac:dyDescent="0.3">
      <c r="A638">
        <v>1217</v>
      </c>
      <c r="B638" s="1">
        <v>44674</v>
      </c>
      <c r="C638">
        <v>2022</v>
      </c>
      <c r="D638">
        <v>4</v>
      </c>
      <c r="E638" t="str">
        <f t="shared" si="9"/>
        <v>April</v>
      </c>
      <c r="F638">
        <v>2</v>
      </c>
      <c r="G638" t="s">
        <v>1526</v>
      </c>
      <c r="H638" t="s">
        <v>1527</v>
      </c>
      <c r="I638" t="s">
        <v>1513</v>
      </c>
      <c r="J638" t="s">
        <v>1517</v>
      </c>
      <c r="K638" t="s">
        <v>1525</v>
      </c>
      <c r="L638" s="2">
        <v>2</v>
      </c>
      <c r="M638" s="10">
        <v>685</v>
      </c>
      <c r="N638" s="7">
        <v>1370</v>
      </c>
    </row>
    <row r="639" spans="1:14" x14ac:dyDescent="0.3">
      <c r="A639">
        <v>1217</v>
      </c>
      <c r="B639" s="1">
        <v>44950</v>
      </c>
      <c r="C639">
        <v>2023</v>
      </c>
      <c r="D639">
        <v>1</v>
      </c>
      <c r="E639" t="str">
        <f t="shared" si="9"/>
        <v>Januari</v>
      </c>
      <c r="F639">
        <v>1</v>
      </c>
      <c r="G639" t="s">
        <v>1526</v>
      </c>
      <c r="H639" t="s">
        <v>1527</v>
      </c>
      <c r="I639" t="s">
        <v>1513</v>
      </c>
      <c r="J639" t="s">
        <v>1517</v>
      </c>
      <c r="K639" t="s">
        <v>1525</v>
      </c>
      <c r="L639" s="2">
        <v>2</v>
      </c>
      <c r="M639" s="10">
        <v>685</v>
      </c>
      <c r="N639" s="7">
        <v>1370</v>
      </c>
    </row>
    <row r="640" spans="1:14" x14ac:dyDescent="0.3">
      <c r="A640">
        <v>1218</v>
      </c>
      <c r="B640" s="1">
        <v>45516</v>
      </c>
      <c r="C640">
        <v>2024</v>
      </c>
      <c r="D640">
        <v>8</v>
      </c>
      <c r="E640" t="str">
        <f t="shared" si="9"/>
        <v>Agustus</v>
      </c>
      <c r="F640">
        <v>3</v>
      </c>
      <c r="G640" t="s">
        <v>1529</v>
      </c>
      <c r="H640" t="s">
        <v>1530</v>
      </c>
      <c r="I640" t="s">
        <v>1535</v>
      </c>
      <c r="J640" t="s">
        <v>1517</v>
      </c>
      <c r="K640" t="s">
        <v>1525</v>
      </c>
      <c r="L640" s="2">
        <v>4</v>
      </c>
      <c r="M640" s="10">
        <v>1218</v>
      </c>
      <c r="N640" s="7">
        <v>4872</v>
      </c>
    </row>
    <row r="641" spans="1:14" x14ac:dyDescent="0.3">
      <c r="A641">
        <v>1218</v>
      </c>
      <c r="B641" s="1">
        <v>45039</v>
      </c>
      <c r="C641">
        <v>2023</v>
      </c>
      <c r="D641">
        <v>4</v>
      </c>
      <c r="E641" t="str">
        <f t="shared" si="9"/>
        <v>April</v>
      </c>
      <c r="F641">
        <v>2</v>
      </c>
      <c r="G641" t="s">
        <v>1529</v>
      </c>
      <c r="H641" t="s">
        <v>1530</v>
      </c>
      <c r="I641" t="s">
        <v>1535</v>
      </c>
      <c r="J641" t="s">
        <v>1517</v>
      </c>
      <c r="K641" t="s">
        <v>1525</v>
      </c>
      <c r="L641" s="2">
        <v>4</v>
      </c>
      <c r="M641" s="10">
        <v>1218</v>
      </c>
      <c r="N641" s="7">
        <v>4872</v>
      </c>
    </row>
    <row r="642" spans="1:14" x14ac:dyDescent="0.3">
      <c r="A642">
        <v>1218</v>
      </c>
      <c r="B642" s="1">
        <v>45239</v>
      </c>
      <c r="C642">
        <v>2023</v>
      </c>
      <c r="D642">
        <v>11</v>
      </c>
      <c r="E642" t="str">
        <f t="shared" si="9"/>
        <v>November</v>
      </c>
      <c r="F642">
        <v>4</v>
      </c>
      <c r="G642" t="s">
        <v>1529</v>
      </c>
      <c r="H642" t="s">
        <v>1530</v>
      </c>
      <c r="I642" t="s">
        <v>1535</v>
      </c>
      <c r="J642" t="s">
        <v>1517</v>
      </c>
      <c r="K642" t="s">
        <v>1525</v>
      </c>
      <c r="L642" s="2">
        <v>4</v>
      </c>
      <c r="M642" s="10">
        <v>1218</v>
      </c>
      <c r="N642" s="7">
        <v>4872</v>
      </c>
    </row>
    <row r="643" spans="1:14" x14ac:dyDescent="0.3">
      <c r="A643">
        <v>1218</v>
      </c>
      <c r="B643" s="1">
        <v>44898</v>
      </c>
      <c r="C643">
        <v>2022</v>
      </c>
      <c r="D643">
        <v>12</v>
      </c>
      <c r="E643" t="str">
        <f t="shared" ref="E643:E706" si="10">TEXT(DATE(2026, D643, 1), "[$-id-ID]mmmm")</f>
        <v>Desember</v>
      </c>
      <c r="F643">
        <v>4</v>
      </c>
      <c r="G643" t="s">
        <v>1529</v>
      </c>
      <c r="H643" t="s">
        <v>1530</v>
      </c>
      <c r="I643" t="s">
        <v>1535</v>
      </c>
      <c r="J643" t="s">
        <v>1517</v>
      </c>
      <c r="K643" t="s">
        <v>1525</v>
      </c>
      <c r="L643" s="2">
        <v>4</v>
      </c>
      <c r="M643" s="10">
        <v>1218</v>
      </c>
      <c r="N643" s="7">
        <v>4872</v>
      </c>
    </row>
    <row r="644" spans="1:14" x14ac:dyDescent="0.3">
      <c r="A644">
        <v>1219</v>
      </c>
      <c r="B644" s="1">
        <v>44721</v>
      </c>
      <c r="C644">
        <v>2022</v>
      </c>
      <c r="D644">
        <v>6</v>
      </c>
      <c r="E644" t="str">
        <f t="shared" si="10"/>
        <v>Juni</v>
      </c>
      <c r="F644">
        <v>2</v>
      </c>
      <c r="G644" t="s">
        <v>1532</v>
      </c>
      <c r="H644" t="s">
        <v>1512</v>
      </c>
      <c r="I644" t="s">
        <v>1521</v>
      </c>
      <c r="J644" t="s">
        <v>1566</v>
      </c>
      <c r="K644" t="s">
        <v>1514</v>
      </c>
      <c r="L644" s="2">
        <v>1</v>
      </c>
      <c r="M644" s="10">
        <v>4031</v>
      </c>
      <c r="N644" s="7">
        <v>4031</v>
      </c>
    </row>
    <row r="645" spans="1:14" x14ac:dyDescent="0.3">
      <c r="A645">
        <v>1219</v>
      </c>
      <c r="B645" s="1">
        <v>44807</v>
      </c>
      <c r="C645">
        <v>2022</v>
      </c>
      <c r="D645">
        <v>9</v>
      </c>
      <c r="E645" t="str">
        <f t="shared" si="10"/>
        <v>September</v>
      </c>
      <c r="F645">
        <v>3</v>
      </c>
      <c r="G645" t="s">
        <v>1532</v>
      </c>
      <c r="H645" t="s">
        <v>1512</v>
      </c>
      <c r="I645" t="s">
        <v>1521</v>
      </c>
      <c r="J645" t="s">
        <v>1566</v>
      </c>
      <c r="K645" t="s">
        <v>1514</v>
      </c>
      <c r="L645" s="2">
        <v>1</v>
      </c>
      <c r="M645" s="10">
        <v>4031</v>
      </c>
      <c r="N645" s="7">
        <v>4031</v>
      </c>
    </row>
    <row r="646" spans="1:14" x14ac:dyDescent="0.3">
      <c r="A646">
        <v>1219</v>
      </c>
      <c r="B646" s="1">
        <v>44962</v>
      </c>
      <c r="C646">
        <v>2023</v>
      </c>
      <c r="D646">
        <v>2</v>
      </c>
      <c r="E646" t="str">
        <f t="shared" si="10"/>
        <v>Februari</v>
      </c>
      <c r="F646">
        <v>1</v>
      </c>
      <c r="G646" t="s">
        <v>1532</v>
      </c>
      <c r="H646" t="s">
        <v>1512</v>
      </c>
      <c r="I646" t="s">
        <v>1521</v>
      </c>
      <c r="J646" t="s">
        <v>1566</v>
      </c>
      <c r="K646" t="s">
        <v>1514</v>
      </c>
      <c r="L646" s="2">
        <v>1</v>
      </c>
      <c r="M646" s="10">
        <v>4031</v>
      </c>
      <c r="N646" s="7">
        <v>4031</v>
      </c>
    </row>
    <row r="647" spans="1:14" x14ac:dyDescent="0.3">
      <c r="A647">
        <v>1220</v>
      </c>
      <c r="B647" s="1">
        <v>44866</v>
      </c>
      <c r="C647">
        <v>2022</v>
      </c>
      <c r="D647">
        <v>11</v>
      </c>
      <c r="E647" t="str">
        <f t="shared" si="10"/>
        <v>November</v>
      </c>
      <c r="F647">
        <v>4</v>
      </c>
      <c r="G647" t="s">
        <v>1533</v>
      </c>
      <c r="H647" t="s">
        <v>1520</v>
      </c>
      <c r="I647" t="s">
        <v>1531</v>
      </c>
      <c r="J647" t="s">
        <v>1566</v>
      </c>
      <c r="K647" t="s">
        <v>1514</v>
      </c>
      <c r="L647" s="2">
        <v>2</v>
      </c>
      <c r="M647" s="10">
        <v>140</v>
      </c>
      <c r="N647" s="7">
        <v>280</v>
      </c>
    </row>
    <row r="648" spans="1:14" x14ac:dyDescent="0.3">
      <c r="A648">
        <v>1220</v>
      </c>
      <c r="B648" s="1">
        <v>44692</v>
      </c>
      <c r="C648">
        <v>2022</v>
      </c>
      <c r="D648">
        <v>5</v>
      </c>
      <c r="E648" t="str">
        <f t="shared" si="10"/>
        <v>Mei</v>
      </c>
      <c r="F648">
        <v>2</v>
      </c>
      <c r="G648" t="s">
        <v>1533</v>
      </c>
      <c r="H648" t="s">
        <v>1520</v>
      </c>
      <c r="I648" t="s">
        <v>1531</v>
      </c>
      <c r="J648" t="s">
        <v>1566</v>
      </c>
      <c r="K648" t="s">
        <v>1514</v>
      </c>
      <c r="L648" s="2">
        <v>2</v>
      </c>
      <c r="M648" s="10">
        <v>140</v>
      </c>
      <c r="N648" s="7">
        <v>280</v>
      </c>
    </row>
    <row r="649" spans="1:14" x14ac:dyDescent="0.3">
      <c r="A649">
        <v>1221</v>
      </c>
      <c r="B649" s="1">
        <v>44608</v>
      </c>
      <c r="C649">
        <v>2022</v>
      </c>
      <c r="D649">
        <v>2</v>
      </c>
      <c r="E649" t="str">
        <f t="shared" si="10"/>
        <v>Februari</v>
      </c>
      <c r="F649">
        <v>1</v>
      </c>
      <c r="G649" t="s">
        <v>1511</v>
      </c>
      <c r="H649" t="s">
        <v>1512</v>
      </c>
      <c r="I649" t="s">
        <v>1528</v>
      </c>
      <c r="J649" t="s">
        <v>1524</v>
      </c>
      <c r="K649" t="s">
        <v>1525</v>
      </c>
      <c r="L649" s="2">
        <v>2</v>
      </c>
      <c r="M649" s="10">
        <v>54557</v>
      </c>
      <c r="N649" s="7">
        <v>109114</v>
      </c>
    </row>
    <row r="650" spans="1:14" x14ac:dyDescent="0.3">
      <c r="A650">
        <v>1221</v>
      </c>
      <c r="B650" s="1">
        <v>44638</v>
      </c>
      <c r="C650">
        <v>2022</v>
      </c>
      <c r="D650">
        <v>3</v>
      </c>
      <c r="E650" t="str">
        <f t="shared" si="10"/>
        <v>Maret</v>
      </c>
      <c r="F650">
        <v>1</v>
      </c>
      <c r="G650" t="s">
        <v>1511</v>
      </c>
      <c r="H650" t="s">
        <v>1512</v>
      </c>
      <c r="I650" t="s">
        <v>1528</v>
      </c>
      <c r="J650" t="s">
        <v>1524</v>
      </c>
      <c r="K650" t="s">
        <v>1525</v>
      </c>
      <c r="L650" s="2">
        <v>2</v>
      </c>
      <c r="M650" s="10">
        <v>54557</v>
      </c>
      <c r="N650" s="7">
        <v>109114</v>
      </c>
    </row>
    <row r="651" spans="1:14" x14ac:dyDescent="0.3">
      <c r="A651">
        <v>1222</v>
      </c>
      <c r="B651" s="1">
        <v>45047</v>
      </c>
      <c r="C651">
        <v>2023</v>
      </c>
      <c r="D651">
        <v>5</v>
      </c>
      <c r="E651" t="str">
        <f t="shared" si="10"/>
        <v>Mei</v>
      </c>
      <c r="F651">
        <v>2</v>
      </c>
      <c r="G651" t="s">
        <v>1515</v>
      </c>
      <c r="H651" t="s">
        <v>1512</v>
      </c>
      <c r="I651" t="s">
        <v>1531</v>
      </c>
      <c r="J651" t="s">
        <v>1566</v>
      </c>
      <c r="K651" t="s">
        <v>1514</v>
      </c>
      <c r="L651" s="2">
        <v>2</v>
      </c>
      <c r="M651" s="10">
        <v>1892</v>
      </c>
      <c r="N651" s="7">
        <v>3784</v>
      </c>
    </row>
    <row r="652" spans="1:14" x14ac:dyDescent="0.3">
      <c r="A652">
        <v>1222</v>
      </c>
      <c r="B652" s="1">
        <v>44618</v>
      </c>
      <c r="C652">
        <v>2022</v>
      </c>
      <c r="D652">
        <v>2</v>
      </c>
      <c r="E652" t="str">
        <f t="shared" si="10"/>
        <v>Februari</v>
      </c>
      <c r="F652">
        <v>1</v>
      </c>
      <c r="G652" t="s">
        <v>1515</v>
      </c>
      <c r="H652" t="s">
        <v>1512</v>
      </c>
      <c r="I652" t="s">
        <v>1531</v>
      </c>
      <c r="J652" t="s">
        <v>1566</v>
      </c>
      <c r="K652" t="s">
        <v>1514</v>
      </c>
      <c r="L652" s="2">
        <v>2</v>
      </c>
      <c r="M652" s="10">
        <v>1892</v>
      </c>
      <c r="N652" s="7">
        <v>3784</v>
      </c>
    </row>
    <row r="653" spans="1:14" x14ac:dyDescent="0.3">
      <c r="A653">
        <v>1223</v>
      </c>
      <c r="B653" s="1">
        <v>44569</v>
      </c>
      <c r="C653">
        <v>2022</v>
      </c>
      <c r="D653">
        <v>1</v>
      </c>
      <c r="E653" t="str">
        <f t="shared" si="10"/>
        <v>Januari</v>
      </c>
      <c r="F653">
        <v>1</v>
      </c>
      <c r="G653" t="s">
        <v>1534</v>
      </c>
      <c r="H653" t="s">
        <v>1530</v>
      </c>
      <c r="I653" t="s">
        <v>1516</v>
      </c>
      <c r="J653" t="s">
        <v>1566</v>
      </c>
      <c r="K653" t="s">
        <v>1525</v>
      </c>
      <c r="L653" s="2">
        <v>3</v>
      </c>
      <c r="M653" s="10">
        <v>3197</v>
      </c>
      <c r="N653" s="7">
        <v>9591</v>
      </c>
    </row>
    <row r="654" spans="1:14" x14ac:dyDescent="0.3">
      <c r="A654">
        <v>1223</v>
      </c>
      <c r="B654" s="1">
        <v>44987</v>
      </c>
      <c r="C654">
        <v>2023</v>
      </c>
      <c r="D654">
        <v>3</v>
      </c>
      <c r="E654" t="str">
        <f t="shared" si="10"/>
        <v>Maret</v>
      </c>
      <c r="F654">
        <v>1</v>
      </c>
      <c r="G654" t="s">
        <v>1534</v>
      </c>
      <c r="H654" t="s">
        <v>1530</v>
      </c>
      <c r="I654" t="s">
        <v>1516</v>
      </c>
      <c r="J654" t="s">
        <v>1566</v>
      </c>
      <c r="K654" t="s">
        <v>1525</v>
      </c>
      <c r="L654" s="2">
        <v>3</v>
      </c>
      <c r="M654" s="10">
        <v>3197</v>
      </c>
      <c r="N654" s="7">
        <v>9591</v>
      </c>
    </row>
    <row r="655" spans="1:14" x14ac:dyDescent="0.3">
      <c r="A655">
        <v>1223</v>
      </c>
      <c r="B655" s="1">
        <v>44687</v>
      </c>
      <c r="C655">
        <v>2022</v>
      </c>
      <c r="D655">
        <v>5</v>
      </c>
      <c r="E655" t="str">
        <f t="shared" si="10"/>
        <v>Mei</v>
      </c>
      <c r="F655">
        <v>2</v>
      </c>
      <c r="G655" t="s">
        <v>1534</v>
      </c>
      <c r="H655" t="s">
        <v>1530</v>
      </c>
      <c r="I655" t="s">
        <v>1516</v>
      </c>
      <c r="J655" t="s">
        <v>1566</v>
      </c>
      <c r="K655" t="s">
        <v>1525</v>
      </c>
      <c r="L655" s="2">
        <v>3</v>
      </c>
      <c r="M655" s="10">
        <v>3197</v>
      </c>
      <c r="N655" s="7">
        <v>9591</v>
      </c>
    </row>
    <row r="656" spans="1:14" x14ac:dyDescent="0.3">
      <c r="A656">
        <v>1223</v>
      </c>
      <c r="B656" s="1">
        <v>44927</v>
      </c>
      <c r="C656">
        <v>2023</v>
      </c>
      <c r="D656">
        <v>1</v>
      </c>
      <c r="E656" t="str">
        <f t="shared" si="10"/>
        <v>Januari</v>
      </c>
      <c r="F656">
        <v>1</v>
      </c>
      <c r="G656" t="s">
        <v>1534</v>
      </c>
      <c r="H656" t="s">
        <v>1530</v>
      </c>
      <c r="I656" t="s">
        <v>1516</v>
      </c>
      <c r="J656" t="s">
        <v>1566</v>
      </c>
      <c r="K656" t="s">
        <v>1525</v>
      </c>
      <c r="L656" s="2">
        <v>3</v>
      </c>
      <c r="M656" s="10">
        <v>3197</v>
      </c>
      <c r="N656" s="7">
        <v>9591</v>
      </c>
    </row>
    <row r="657" spans="1:14" x14ac:dyDescent="0.3">
      <c r="A657">
        <v>1224</v>
      </c>
      <c r="B657" s="1">
        <v>45158</v>
      </c>
      <c r="C657">
        <v>2023</v>
      </c>
      <c r="D657">
        <v>8</v>
      </c>
      <c r="E657" t="str">
        <f t="shared" si="10"/>
        <v>Agustus</v>
      </c>
      <c r="F657">
        <v>3</v>
      </c>
      <c r="G657" t="s">
        <v>1519</v>
      </c>
      <c r="H657" t="s">
        <v>1520</v>
      </c>
      <c r="I657" t="s">
        <v>1516</v>
      </c>
      <c r="J657" t="s">
        <v>1524</v>
      </c>
      <c r="K657" t="s">
        <v>1525</v>
      </c>
      <c r="L657" s="2">
        <v>5</v>
      </c>
      <c r="M657" s="10">
        <v>10225</v>
      </c>
      <c r="N657" s="7">
        <v>51125</v>
      </c>
    </row>
    <row r="658" spans="1:14" x14ac:dyDescent="0.3">
      <c r="A658">
        <v>1224</v>
      </c>
      <c r="B658" s="1">
        <v>44867</v>
      </c>
      <c r="C658">
        <v>2022</v>
      </c>
      <c r="D658">
        <v>11</v>
      </c>
      <c r="E658" t="str">
        <f t="shared" si="10"/>
        <v>November</v>
      </c>
      <c r="F658">
        <v>4</v>
      </c>
      <c r="G658" t="s">
        <v>1519</v>
      </c>
      <c r="H658" t="s">
        <v>1520</v>
      </c>
      <c r="I658" t="s">
        <v>1516</v>
      </c>
      <c r="J658" t="s">
        <v>1524</v>
      </c>
      <c r="K658" t="s">
        <v>1525</v>
      </c>
      <c r="L658" s="2">
        <v>5</v>
      </c>
      <c r="M658" s="10">
        <v>10225</v>
      </c>
      <c r="N658" s="7">
        <v>51125</v>
      </c>
    </row>
    <row r="659" spans="1:14" x14ac:dyDescent="0.3">
      <c r="A659">
        <v>1224</v>
      </c>
      <c r="B659" s="1">
        <v>45648</v>
      </c>
      <c r="C659">
        <v>2024</v>
      </c>
      <c r="D659">
        <v>12</v>
      </c>
      <c r="E659" t="str">
        <f t="shared" si="10"/>
        <v>Desember</v>
      </c>
      <c r="F659">
        <v>4</v>
      </c>
      <c r="G659" t="s">
        <v>1519</v>
      </c>
      <c r="H659" t="s">
        <v>1520</v>
      </c>
      <c r="I659" t="s">
        <v>1516</v>
      </c>
      <c r="J659" t="s">
        <v>1524</v>
      </c>
      <c r="K659" t="s">
        <v>1525</v>
      </c>
      <c r="L659" s="2">
        <v>5</v>
      </c>
      <c r="M659" s="10">
        <v>10225</v>
      </c>
      <c r="N659" s="7">
        <v>51125</v>
      </c>
    </row>
    <row r="660" spans="1:14" x14ac:dyDescent="0.3">
      <c r="A660">
        <v>1224</v>
      </c>
      <c r="B660" s="1">
        <v>45268</v>
      </c>
      <c r="C660">
        <v>2023</v>
      </c>
      <c r="D660">
        <v>12</v>
      </c>
      <c r="E660" t="str">
        <f t="shared" si="10"/>
        <v>Desember</v>
      </c>
      <c r="F660">
        <v>4</v>
      </c>
      <c r="G660" t="s">
        <v>1519</v>
      </c>
      <c r="H660" t="s">
        <v>1520</v>
      </c>
      <c r="I660" t="s">
        <v>1516</v>
      </c>
      <c r="J660" t="s">
        <v>1524</v>
      </c>
      <c r="K660" t="s">
        <v>1525</v>
      </c>
      <c r="L660" s="2">
        <v>5</v>
      </c>
      <c r="M660" s="10">
        <v>10225</v>
      </c>
      <c r="N660" s="7">
        <v>51125</v>
      </c>
    </row>
    <row r="661" spans="1:14" x14ac:dyDescent="0.3">
      <c r="A661">
        <v>1224</v>
      </c>
      <c r="B661" s="1">
        <v>44869</v>
      </c>
      <c r="C661">
        <v>2022</v>
      </c>
      <c r="D661">
        <v>11</v>
      </c>
      <c r="E661" t="str">
        <f t="shared" si="10"/>
        <v>November</v>
      </c>
      <c r="F661">
        <v>4</v>
      </c>
      <c r="G661" t="s">
        <v>1519</v>
      </c>
      <c r="H661" t="s">
        <v>1520</v>
      </c>
      <c r="I661" t="s">
        <v>1516</v>
      </c>
      <c r="J661" t="s">
        <v>1524</v>
      </c>
      <c r="K661" t="s">
        <v>1525</v>
      </c>
      <c r="L661" s="2">
        <v>5</v>
      </c>
      <c r="M661" s="10">
        <v>10225</v>
      </c>
      <c r="N661" s="7">
        <v>51125</v>
      </c>
    </row>
    <row r="662" spans="1:14" x14ac:dyDescent="0.3">
      <c r="A662">
        <v>1224</v>
      </c>
      <c r="B662" s="1">
        <v>44649</v>
      </c>
      <c r="C662">
        <v>2022</v>
      </c>
      <c r="D662">
        <v>3</v>
      </c>
      <c r="E662" t="str">
        <f t="shared" si="10"/>
        <v>Maret</v>
      </c>
      <c r="F662">
        <v>1</v>
      </c>
      <c r="G662" t="s">
        <v>1519</v>
      </c>
      <c r="H662" t="s">
        <v>1520</v>
      </c>
      <c r="I662" t="s">
        <v>1516</v>
      </c>
      <c r="J662" t="s">
        <v>1524</v>
      </c>
      <c r="K662" t="s">
        <v>1525</v>
      </c>
      <c r="L662" s="2">
        <v>5</v>
      </c>
      <c r="M662" s="10">
        <v>10225</v>
      </c>
      <c r="N662" s="7">
        <v>51125</v>
      </c>
    </row>
    <row r="663" spans="1:14" x14ac:dyDescent="0.3">
      <c r="A663">
        <v>1224</v>
      </c>
      <c r="B663" s="1">
        <v>44980</v>
      </c>
      <c r="C663">
        <v>2023</v>
      </c>
      <c r="D663">
        <v>2</v>
      </c>
      <c r="E663" t="str">
        <f t="shared" si="10"/>
        <v>Februari</v>
      </c>
      <c r="F663">
        <v>1</v>
      </c>
      <c r="G663" t="s">
        <v>1519</v>
      </c>
      <c r="H663" t="s">
        <v>1520</v>
      </c>
      <c r="I663" t="s">
        <v>1516</v>
      </c>
      <c r="J663" t="s">
        <v>1524</v>
      </c>
      <c r="K663" t="s">
        <v>1525</v>
      </c>
      <c r="L663" s="2">
        <v>5</v>
      </c>
      <c r="M663" s="10">
        <v>10225</v>
      </c>
      <c r="N663" s="7">
        <v>51125</v>
      </c>
    </row>
    <row r="664" spans="1:14" x14ac:dyDescent="0.3">
      <c r="A664">
        <v>1225</v>
      </c>
      <c r="B664" s="1">
        <v>45111</v>
      </c>
      <c r="C664">
        <v>2023</v>
      </c>
      <c r="D664">
        <v>7</v>
      </c>
      <c r="E664" t="str">
        <f t="shared" si="10"/>
        <v>Juli</v>
      </c>
      <c r="F664">
        <v>3</v>
      </c>
      <c r="G664" t="s">
        <v>1522</v>
      </c>
      <c r="H664" t="s">
        <v>1520</v>
      </c>
      <c r="I664" t="s">
        <v>1535</v>
      </c>
      <c r="J664" t="s">
        <v>1517</v>
      </c>
      <c r="K664" t="s">
        <v>1518</v>
      </c>
      <c r="L664" s="2">
        <v>2</v>
      </c>
      <c r="M664" s="10">
        <v>899</v>
      </c>
      <c r="N664" s="7">
        <v>1798</v>
      </c>
    </row>
    <row r="665" spans="1:14" x14ac:dyDescent="0.3">
      <c r="A665">
        <v>1225</v>
      </c>
      <c r="B665" s="1">
        <v>45108</v>
      </c>
      <c r="C665">
        <v>2023</v>
      </c>
      <c r="D665">
        <v>7</v>
      </c>
      <c r="E665" t="str">
        <f t="shared" si="10"/>
        <v>Juli</v>
      </c>
      <c r="F665">
        <v>3</v>
      </c>
      <c r="G665" t="s">
        <v>1522</v>
      </c>
      <c r="H665" t="s">
        <v>1520</v>
      </c>
      <c r="I665" t="s">
        <v>1535</v>
      </c>
      <c r="J665" t="s">
        <v>1517</v>
      </c>
      <c r="K665" t="s">
        <v>1518</v>
      </c>
      <c r="L665" s="2">
        <v>2</v>
      </c>
      <c r="M665" s="10">
        <v>899</v>
      </c>
      <c r="N665" s="7">
        <v>1798</v>
      </c>
    </row>
    <row r="666" spans="1:14" x14ac:dyDescent="0.3">
      <c r="A666">
        <v>1225</v>
      </c>
      <c r="B666" s="1">
        <v>45414</v>
      </c>
      <c r="C666">
        <v>2024</v>
      </c>
      <c r="D666">
        <v>5</v>
      </c>
      <c r="E666" t="str">
        <f t="shared" si="10"/>
        <v>Mei</v>
      </c>
      <c r="F666">
        <v>2</v>
      </c>
      <c r="G666" t="s">
        <v>1522</v>
      </c>
      <c r="H666" t="s">
        <v>1520</v>
      </c>
      <c r="I666" t="s">
        <v>1535</v>
      </c>
      <c r="J666" t="s">
        <v>1517</v>
      </c>
      <c r="K666" t="s">
        <v>1518</v>
      </c>
      <c r="L666" s="2">
        <v>2</v>
      </c>
      <c r="M666" s="10">
        <v>899</v>
      </c>
      <c r="N666" s="7">
        <v>1798</v>
      </c>
    </row>
    <row r="667" spans="1:14" x14ac:dyDescent="0.3">
      <c r="A667">
        <v>1227</v>
      </c>
      <c r="B667" s="1">
        <v>44686</v>
      </c>
      <c r="C667">
        <v>2022</v>
      </c>
      <c r="D667">
        <v>5</v>
      </c>
      <c r="E667" t="str">
        <f t="shared" si="10"/>
        <v>Mei</v>
      </c>
      <c r="F667">
        <v>2</v>
      </c>
      <c r="G667" t="s">
        <v>1526</v>
      </c>
      <c r="H667" t="s">
        <v>1527</v>
      </c>
      <c r="I667" t="s">
        <v>1531</v>
      </c>
      <c r="J667" t="s">
        <v>1524</v>
      </c>
      <c r="K667" t="s">
        <v>1525</v>
      </c>
      <c r="L667" s="2">
        <v>3</v>
      </c>
      <c r="M667" s="10">
        <v>736</v>
      </c>
      <c r="N667" s="7">
        <v>2208</v>
      </c>
    </row>
    <row r="668" spans="1:14" x14ac:dyDescent="0.3">
      <c r="A668">
        <v>1227</v>
      </c>
      <c r="B668" s="1">
        <v>45214</v>
      </c>
      <c r="C668">
        <v>2023</v>
      </c>
      <c r="D668">
        <v>10</v>
      </c>
      <c r="E668" t="str">
        <f t="shared" si="10"/>
        <v>Oktober</v>
      </c>
      <c r="F668">
        <v>4</v>
      </c>
      <c r="G668" t="s">
        <v>1526</v>
      </c>
      <c r="H668" t="s">
        <v>1527</v>
      </c>
      <c r="I668" t="s">
        <v>1531</v>
      </c>
      <c r="J668" t="s">
        <v>1524</v>
      </c>
      <c r="K668" t="s">
        <v>1525</v>
      </c>
      <c r="L668" s="2">
        <v>3</v>
      </c>
      <c r="M668" s="10">
        <v>736</v>
      </c>
      <c r="N668" s="7">
        <v>2208</v>
      </c>
    </row>
    <row r="669" spans="1:14" x14ac:dyDescent="0.3">
      <c r="A669">
        <v>1227</v>
      </c>
      <c r="B669" s="1">
        <v>44829</v>
      </c>
      <c r="C669">
        <v>2022</v>
      </c>
      <c r="D669">
        <v>9</v>
      </c>
      <c r="E669" t="str">
        <f t="shared" si="10"/>
        <v>September</v>
      </c>
      <c r="F669">
        <v>3</v>
      </c>
      <c r="G669" t="s">
        <v>1526</v>
      </c>
      <c r="H669" t="s">
        <v>1527</v>
      </c>
      <c r="I669" t="s">
        <v>1531</v>
      </c>
      <c r="J669" t="s">
        <v>1524</v>
      </c>
      <c r="K669" t="s">
        <v>1525</v>
      </c>
      <c r="L669" s="2">
        <v>3</v>
      </c>
      <c r="M669" s="10">
        <v>736</v>
      </c>
      <c r="N669" s="7">
        <v>2208</v>
      </c>
    </row>
    <row r="670" spans="1:14" x14ac:dyDescent="0.3">
      <c r="A670">
        <v>1228</v>
      </c>
      <c r="B670" s="1">
        <v>45243</v>
      </c>
      <c r="C670">
        <v>2023</v>
      </c>
      <c r="D670">
        <v>11</v>
      </c>
      <c r="E670" t="str">
        <f t="shared" si="10"/>
        <v>November</v>
      </c>
      <c r="F670">
        <v>4</v>
      </c>
      <c r="G670" t="s">
        <v>1529</v>
      </c>
      <c r="H670" t="s">
        <v>1530</v>
      </c>
      <c r="I670" t="s">
        <v>1516</v>
      </c>
      <c r="J670" t="s">
        <v>1566</v>
      </c>
      <c r="K670" t="s">
        <v>1525</v>
      </c>
      <c r="L670" s="2">
        <v>4</v>
      </c>
      <c r="M670" s="10">
        <v>1504</v>
      </c>
      <c r="N670" s="7">
        <v>6016</v>
      </c>
    </row>
    <row r="671" spans="1:14" x14ac:dyDescent="0.3">
      <c r="A671">
        <v>1228</v>
      </c>
      <c r="B671" s="1">
        <v>45487</v>
      </c>
      <c r="C671">
        <v>2024</v>
      </c>
      <c r="D671">
        <v>7</v>
      </c>
      <c r="E671" t="str">
        <f t="shared" si="10"/>
        <v>Juli</v>
      </c>
      <c r="F671">
        <v>3</v>
      </c>
      <c r="G671" t="s">
        <v>1529</v>
      </c>
      <c r="H671" t="s">
        <v>1530</v>
      </c>
      <c r="I671" t="s">
        <v>1516</v>
      </c>
      <c r="J671" t="s">
        <v>1566</v>
      </c>
      <c r="K671" t="s">
        <v>1525</v>
      </c>
      <c r="L671" s="2">
        <v>4</v>
      </c>
      <c r="M671" s="10">
        <v>1504</v>
      </c>
      <c r="N671" s="7">
        <v>6016</v>
      </c>
    </row>
    <row r="672" spans="1:14" x14ac:dyDescent="0.3">
      <c r="A672">
        <v>1229</v>
      </c>
      <c r="B672" s="1">
        <v>45039</v>
      </c>
      <c r="C672">
        <v>2023</v>
      </c>
      <c r="D672">
        <v>4</v>
      </c>
      <c r="E672" t="str">
        <f t="shared" si="10"/>
        <v>April</v>
      </c>
      <c r="F672">
        <v>2</v>
      </c>
      <c r="G672" t="s">
        <v>1532</v>
      </c>
      <c r="H672" t="s">
        <v>1512</v>
      </c>
      <c r="I672" t="s">
        <v>1521</v>
      </c>
      <c r="J672" t="s">
        <v>1566</v>
      </c>
      <c r="K672" t="s">
        <v>1514</v>
      </c>
      <c r="L672" s="2">
        <v>2</v>
      </c>
      <c r="M672" s="10">
        <v>7086</v>
      </c>
      <c r="N672" s="7">
        <v>14172</v>
      </c>
    </row>
    <row r="673" spans="1:14" x14ac:dyDescent="0.3">
      <c r="A673">
        <v>1229</v>
      </c>
      <c r="B673" s="1">
        <v>44590</v>
      </c>
      <c r="C673">
        <v>2022</v>
      </c>
      <c r="D673">
        <v>1</v>
      </c>
      <c r="E673" t="str">
        <f t="shared" si="10"/>
        <v>Januari</v>
      </c>
      <c r="F673">
        <v>1</v>
      </c>
      <c r="G673" t="s">
        <v>1532</v>
      </c>
      <c r="H673" t="s">
        <v>1512</v>
      </c>
      <c r="I673" t="s">
        <v>1521</v>
      </c>
      <c r="J673" t="s">
        <v>1566</v>
      </c>
      <c r="K673" t="s">
        <v>1514</v>
      </c>
      <c r="L673" s="2">
        <v>2</v>
      </c>
      <c r="M673" s="10">
        <v>7086</v>
      </c>
      <c r="N673" s="7">
        <v>14172</v>
      </c>
    </row>
    <row r="674" spans="1:14" x14ac:dyDescent="0.3">
      <c r="A674">
        <v>1230</v>
      </c>
      <c r="B674" s="1">
        <v>45260</v>
      </c>
      <c r="C674">
        <v>2023</v>
      </c>
      <c r="D674">
        <v>11</v>
      </c>
      <c r="E674" t="str">
        <f t="shared" si="10"/>
        <v>November</v>
      </c>
      <c r="F674">
        <v>4</v>
      </c>
      <c r="G674" t="s">
        <v>1533</v>
      </c>
      <c r="H674" t="s">
        <v>1520</v>
      </c>
      <c r="I674" t="s">
        <v>1528</v>
      </c>
      <c r="J674" t="s">
        <v>1524</v>
      </c>
      <c r="K674" t="s">
        <v>1518</v>
      </c>
      <c r="L674" s="2">
        <v>1</v>
      </c>
      <c r="M674" s="10">
        <v>783</v>
      </c>
      <c r="N674" s="7">
        <v>783</v>
      </c>
    </row>
    <row r="675" spans="1:14" x14ac:dyDescent="0.3">
      <c r="A675">
        <v>1230</v>
      </c>
      <c r="B675" s="1">
        <v>45014</v>
      </c>
      <c r="C675">
        <v>2023</v>
      </c>
      <c r="D675">
        <v>3</v>
      </c>
      <c r="E675" t="str">
        <f t="shared" si="10"/>
        <v>Maret</v>
      </c>
      <c r="F675">
        <v>1</v>
      </c>
      <c r="G675" t="s">
        <v>1533</v>
      </c>
      <c r="H675" t="s">
        <v>1520</v>
      </c>
      <c r="I675" t="s">
        <v>1528</v>
      </c>
      <c r="J675" t="s">
        <v>1524</v>
      </c>
      <c r="K675" t="s">
        <v>1518</v>
      </c>
      <c r="L675" s="2">
        <v>1</v>
      </c>
      <c r="M675" s="10">
        <v>783</v>
      </c>
      <c r="N675" s="7">
        <v>783</v>
      </c>
    </row>
    <row r="676" spans="1:14" x14ac:dyDescent="0.3">
      <c r="A676">
        <v>1230</v>
      </c>
      <c r="B676" s="1">
        <v>44614</v>
      </c>
      <c r="C676">
        <v>2022</v>
      </c>
      <c r="D676">
        <v>2</v>
      </c>
      <c r="E676" t="str">
        <f t="shared" si="10"/>
        <v>Februari</v>
      </c>
      <c r="F676">
        <v>1</v>
      </c>
      <c r="G676" t="s">
        <v>1533</v>
      </c>
      <c r="H676" t="s">
        <v>1520</v>
      </c>
      <c r="I676" t="s">
        <v>1528</v>
      </c>
      <c r="J676" t="s">
        <v>1524</v>
      </c>
      <c r="K676" t="s">
        <v>1518</v>
      </c>
      <c r="L676" s="2">
        <v>1</v>
      </c>
      <c r="M676" s="10">
        <v>783</v>
      </c>
      <c r="N676" s="7">
        <v>783</v>
      </c>
    </row>
    <row r="677" spans="1:14" x14ac:dyDescent="0.3">
      <c r="A677">
        <v>1230</v>
      </c>
      <c r="B677" s="1">
        <v>45266</v>
      </c>
      <c r="C677">
        <v>2023</v>
      </c>
      <c r="D677">
        <v>12</v>
      </c>
      <c r="E677" t="str">
        <f t="shared" si="10"/>
        <v>Desember</v>
      </c>
      <c r="F677">
        <v>4</v>
      </c>
      <c r="G677" t="s">
        <v>1533</v>
      </c>
      <c r="H677" t="s">
        <v>1520</v>
      </c>
      <c r="I677" t="s">
        <v>1528</v>
      </c>
      <c r="J677" t="s">
        <v>1524</v>
      </c>
      <c r="K677" t="s">
        <v>1518</v>
      </c>
      <c r="L677" s="2">
        <v>1</v>
      </c>
      <c r="M677" s="10">
        <v>783</v>
      </c>
      <c r="N677" s="7">
        <v>783</v>
      </c>
    </row>
    <row r="678" spans="1:14" x14ac:dyDescent="0.3">
      <c r="A678">
        <v>1230</v>
      </c>
      <c r="B678" s="1">
        <v>45066</v>
      </c>
      <c r="C678">
        <v>2023</v>
      </c>
      <c r="D678">
        <v>5</v>
      </c>
      <c r="E678" t="str">
        <f t="shared" si="10"/>
        <v>Mei</v>
      </c>
      <c r="F678">
        <v>2</v>
      </c>
      <c r="G678" t="s">
        <v>1533</v>
      </c>
      <c r="H678" t="s">
        <v>1520</v>
      </c>
      <c r="I678" t="s">
        <v>1528</v>
      </c>
      <c r="J678" t="s">
        <v>1524</v>
      </c>
      <c r="K678" t="s">
        <v>1518</v>
      </c>
      <c r="L678" s="2">
        <v>1</v>
      </c>
      <c r="M678" s="10">
        <v>783</v>
      </c>
      <c r="N678" s="7">
        <v>783</v>
      </c>
    </row>
    <row r="679" spans="1:14" x14ac:dyDescent="0.3">
      <c r="A679">
        <v>1230</v>
      </c>
      <c r="B679" s="1">
        <v>45525</v>
      </c>
      <c r="C679">
        <v>2024</v>
      </c>
      <c r="D679">
        <v>8</v>
      </c>
      <c r="E679" t="str">
        <f t="shared" si="10"/>
        <v>Agustus</v>
      </c>
      <c r="F679">
        <v>3</v>
      </c>
      <c r="G679" t="s">
        <v>1533</v>
      </c>
      <c r="H679" t="s">
        <v>1520</v>
      </c>
      <c r="I679" t="s">
        <v>1528</v>
      </c>
      <c r="J679" t="s">
        <v>1524</v>
      </c>
      <c r="K679" t="s">
        <v>1518</v>
      </c>
      <c r="L679" s="2">
        <v>1</v>
      </c>
      <c r="M679" s="10">
        <v>783</v>
      </c>
      <c r="N679" s="7">
        <v>783</v>
      </c>
    </row>
    <row r="680" spans="1:14" x14ac:dyDescent="0.3">
      <c r="A680">
        <v>1230</v>
      </c>
      <c r="B680" s="1">
        <v>45049</v>
      </c>
      <c r="C680">
        <v>2023</v>
      </c>
      <c r="D680">
        <v>5</v>
      </c>
      <c r="E680" t="str">
        <f t="shared" si="10"/>
        <v>Mei</v>
      </c>
      <c r="F680">
        <v>2</v>
      </c>
      <c r="G680" t="s">
        <v>1533</v>
      </c>
      <c r="H680" t="s">
        <v>1520</v>
      </c>
      <c r="I680" t="s">
        <v>1528</v>
      </c>
      <c r="J680" t="s">
        <v>1524</v>
      </c>
      <c r="K680" t="s">
        <v>1518</v>
      </c>
      <c r="L680" s="2">
        <v>1</v>
      </c>
      <c r="M680" s="10">
        <v>783</v>
      </c>
      <c r="N680" s="7">
        <v>783</v>
      </c>
    </row>
    <row r="681" spans="1:14" x14ac:dyDescent="0.3">
      <c r="A681">
        <v>1230</v>
      </c>
      <c r="B681" s="1">
        <v>45281</v>
      </c>
      <c r="C681">
        <v>2023</v>
      </c>
      <c r="D681">
        <v>12</v>
      </c>
      <c r="E681" t="str">
        <f t="shared" si="10"/>
        <v>Desember</v>
      </c>
      <c r="F681">
        <v>4</v>
      </c>
      <c r="G681" t="s">
        <v>1533</v>
      </c>
      <c r="H681" t="s">
        <v>1520</v>
      </c>
      <c r="I681" t="s">
        <v>1528</v>
      </c>
      <c r="J681" t="s">
        <v>1524</v>
      </c>
      <c r="K681" t="s">
        <v>1518</v>
      </c>
      <c r="L681" s="2">
        <v>1</v>
      </c>
      <c r="M681" s="10">
        <v>783</v>
      </c>
      <c r="N681" s="7">
        <v>783</v>
      </c>
    </row>
    <row r="682" spans="1:14" x14ac:dyDescent="0.3">
      <c r="A682">
        <v>1230</v>
      </c>
      <c r="B682" s="1">
        <v>44913</v>
      </c>
      <c r="C682">
        <v>2022</v>
      </c>
      <c r="D682">
        <v>12</v>
      </c>
      <c r="E682" t="str">
        <f t="shared" si="10"/>
        <v>Desember</v>
      </c>
      <c r="F682">
        <v>4</v>
      </c>
      <c r="G682" t="s">
        <v>1533</v>
      </c>
      <c r="H682" t="s">
        <v>1520</v>
      </c>
      <c r="I682" t="s">
        <v>1528</v>
      </c>
      <c r="J682" t="s">
        <v>1524</v>
      </c>
      <c r="K682" t="s">
        <v>1518</v>
      </c>
      <c r="L682" s="2">
        <v>1</v>
      </c>
      <c r="M682" s="10">
        <v>783</v>
      </c>
      <c r="N682" s="7">
        <v>783</v>
      </c>
    </row>
    <row r="683" spans="1:14" x14ac:dyDescent="0.3">
      <c r="A683">
        <v>1231</v>
      </c>
      <c r="B683" s="1">
        <v>45096</v>
      </c>
      <c r="C683">
        <v>2023</v>
      </c>
      <c r="D683">
        <v>6</v>
      </c>
      <c r="E683" t="str">
        <f t="shared" si="10"/>
        <v>Juni</v>
      </c>
      <c r="F683">
        <v>2</v>
      </c>
      <c r="G683" t="s">
        <v>1511</v>
      </c>
      <c r="H683" t="s">
        <v>1512</v>
      </c>
      <c r="I683" t="s">
        <v>1521</v>
      </c>
      <c r="J683" t="s">
        <v>1517</v>
      </c>
      <c r="K683" t="s">
        <v>1525</v>
      </c>
      <c r="L683" s="2">
        <v>1</v>
      </c>
      <c r="M683" s="10">
        <v>67161</v>
      </c>
      <c r="N683" s="7">
        <v>67161</v>
      </c>
    </row>
    <row r="684" spans="1:14" x14ac:dyDescent="0.3">
      <c r="A684">
        <v>1231</v>
      </c>
      <c r="B684" s="1">
        <v>44580</v>
      </c>
      <c r="C684">
        <v>2022</v>
      </c>
      <c r="D684">
        <v>1</v>
      </c>
      <c r="E684" t="str">
        <f t="shared" si="10"/>
        <v>Januari</v>
      </c>
      <c r="F684">
        <v>1</v>
      </c>
      <c r="G684" t="s">
        <v>1511</v>
      </c>
      <c r="H684" t="s">
        <v>1512</v>
      </c>
      <c r="I684" t="s">
        <v>1521</v>
      </c>
      <c r="J684" t="s">
        <v>1517</v>
      </c>
      <c r="K684" t="s">
        <v>1525</v>
      </c>
      <c r="L684" s="2">
        <v>1</v>
      </c>
      <c r="M684" s="10">
        <v>67161</v>
      </c>
      <c r="N684" s="7">
        <v>67161</v>
      </c>
    </row>
    <row r="685" spans="1:14" x14ac:dyDescent="0.3">
      <c r="A685">
        <v>1231</v>
      </c>
      <c r="B685" s="1">
        <v>45263</v>
      </c>
      <c r="C685">
        <v>2023</v>
      </c>
      <c r="D685">
        <v>12</v>
      </c>
      <c r="E685" t="str">
        <f t="shared" si="10"/>
        <v>Desember</v>
      </c>
      <c r="F685">
        <v>4</v>
      </c>
      <c r="G685" t="s">
        <v>1511</v>
      </c>
      <c r="H685" t="s">
        <v>1512</v>
      </c>
      <c r="I685" t="s">
        <v>1521</v>
      </c>
      <c r="J685" t="s">
        <v>1517</v>
      </c>
      <c r="K685" t="s">
        <v>1525</v>
      </c>
      <c r="L685" s="2">
        <v>1</v>
      </c>
      <c r="M685" s="10">
        <v>67161</v>
      </c>
      <c r="N685" s="7">
        <v>67161</v>
      </c>
    </row>
    <row r="686" spans="1:14" x14ac:dyDescent="0.3">
      <c r="A686">
        <v>1231</v>
      </c>
      <c r="B686" s="1">
        <v>45107</v>
      </c>
      <c r="C686">
        <v>2023</v>
      </c>
      <c r="D686">
        <v>6</v>
      </c>
      <c r="E686" t="str">
        <f t="shared" si="10"/>
        <v>Juni</v>
      </c>
      <c r="F686">
        <v>2</v>
      </c>
      <c r="G686" t="s">
        <v>1511</v>
      </c>
      <c r="H686" t="s">
        <v>1512</v>
      </c>
      <c r="I686" t="s">
        <v>1521</v>
      </c>
      <c r="J686" t="s">
        <v>1517</v>
      </c>
      <c r="K686" t="s">
        <v>1525</v>
      </c>
      <c r="L686" s="2">
        <v>1</v>
      </c>
      <c r="M686" s="10">
        <v>67161</v>
      </c>
      <c r="N686" s="7">
        <v>67161</v>
      </c>
    </row>
    <row r="687" spans="1:14" x14ac:dyDescent="0.3">
      <c r="A687">
        <v>1231</v>
      </c>
      <c r="B687" s="1">
        <v>45204</v>
      </c>
      <c r="C687">
        <v>2023</v>
      </c>
      <c r="D687">
        <v>10</v>
      </c>
      <c r="E687" t="str">
        <f t="shared" si="10"/>
        <v>Oktober</v>
      </c>
      <c r="F687">
        <v>4</v>
      </c>
      <c r="G687" t="s">
        <v>1511</v>
      </c>
      <c r="H687" t="s">
        <v>1512</v>
      </c>
      <c r="I687" t="s">
        <v>1521</v>
      </c>
      <c r="J687" t="s">
        <v>1517</v>
      </c>
      <c r="K687" t="s">
        <v>1525</v>
      </c>
      <c r="L687" s="2">
        <v>1</v>
      </c>
      <c r="M687" s="10">
        <v>67161</v>
      </c>
      <c r="N687" s="7">
        <v>67161</v>
      </c>
    </row>
    <row r="688" spans="1:14" x14ac:dyDescent="0.3">
      <c r="A688">
        <v>1232</v>
      </c>
      <c r="B688" s="1">
        <v>44971</v>
      </c>
      <c r="C688">
        <v>2023</v>
      </c>
      <c r="D688">
        <v>2</v>
      </c>
      <c r="E688" t="str">
        <f t="shared" si="10"/>
        <v>Februari</v>
      </c>
      <c r="F688">
        <v>1</v>
      </c>
      <c r="G688" t="s">
        <v>1515</v>
      </c>
      <c r="H688" t="s">
        <v>1512</v>
      </c>
      <c r="I688" t="s">
        <v>1513</v>
      </c>
      <c r="J688" t="s">
        <v>1517</v>
      </c>
      <c r="K688" t="s">
        <v>1518</v>
      </c>
      <c r="L688" s="2">
        <v>3</v>
      </c>
      <c r="M688" s="10">
        <v>2774</v>
      </c>
      <c r="N688" s="7">
        <v>8322</v>
      </c>
    </row>
    <row r="689" spans="1:14" x14ac:dyDescent="0.3">
      <c r="A689">
        <v>1232</v>
      </c>
      <c r="B689" s="1">
        <v>45284</v>
      </c>
      <c r="C689">
        <v>2023</v>
      </c>
      <c r="D689">
        <v>12</v>
      </c>
      <c r="E689" t="str">
        <f t="shared" si="10"/>
        <v>Desember</v>
      </c>
      <c r="F689">
        <v>4</v>
      </c>
      <c r="G689" t="s">
        <v>1515</v>
      </c>
      <c r="H689" t="s">
        <v>1512</v>
      </c>
      <c r="I689" t="s">
        <v>1513</v>
      </c>
      <c r="J689" t="s">
        <v>1517</v>
      </c>
      <c r="K689" t="s">
        <v>1518</v>
      </c>
      <c r="L689" s="2">
        <v>3</v>
      </c>
      <c r="M689" s="10">
        <v>2774</v>
      </c>
      <c r="N689" s="7">
        <v>8322</v>
      </c>
    </row>
    <row r="690" spans="1:14" x14ac:dyDescent="0.3">
      <c r="A690">
        <v>1232</v>
      </c>
      <c r="B690" s="1">
        <v>45277</v>
      </c>
      <c r="C690">
        <v>2023</v>
      </c>
      <c r="D690">
        <v>12</v>
      </c>
      <c r="E690" t="str">
        <f t="shared" si="10"/>
        <v>Desember</v>
      </c>
      <c r="F690">
        <v>4</v>
      </c>
      <c r="G690" t="s">
        <v>1515</v>
      </c>
      <c r="H690" t="s">
        <v>1512</v>
      </c>
      <c r="I690" t="s">
        <v>1513</v>
      </c>
      <c r="J690" t="s">
        <v>1517</v>
      </c>
      <c r="K690" t="s">
        <v>1518</v>
      </c>
      <c r="L690" s="2">
        <v>3</v>
      </c>
      <c r="M690" s="10">
        <v>2774</v>
      </c>
      <c r="N690" s="7">
        <v>8322</v>
      </c>
    </row>
    <row r="691" spans="1:14" x14ac:dyDescent="0.3">
      <c r="A691">
        <v>1232</v>
      </c>
      <c r="B691" s="1">
        <v>44762</v>
      </c>
      <c r="C691">
        <v>2022</v>
      </c>
      <c r="D691">
        <v>7</v>
      </c>
      <c r="E691" t="str">
        <f t="shared" si="10"/>
        <v>Juli</v>
      </c>
      <c r="F691">
        <v>3</v>
      </c>
      <c r="G691" t="s">
        <v>1515</v>
      </c>
      <c r="H691" t="s">
        <v>1512</v>
      </c>
      <c r="I691" t="s">
        <v>1513</v>
      </c>
      <c r="J691" t="s">
        <v>1517</v>
      </c>
      <c r="K691" t="s">
        <v>1518</v>
      </c>
      <c r="L691" s="2">
        <v>3</v>
      </c>
      <c r="M691" s="10">
        <v>2774</v>
      </c>
      <c r="N691" s="7">
        <v>8322</v>
      </c>
    </row>
    <row r="692" spans="1:14" x14ac:dyDescent="0.3">
      <c r="A692">
        <v>1233</v>
      </c>
      <c r="B692" s="1">
        <v>45561</v>
      </c>
      <c r="C692">
        <v>2024</v>
      </c>
      <c r="D692">
        <v>9</v>
      </c>
      <c r="E692" t="str">
        <f t="shared" si="10"/>
        <v>September</v>
      </c>
      <c r="F692">
        <v>3</v>
      </c>
      <c r="G692" t="s">
        <v>1534</v>
      </c>
      <c r="H692" t="s">
        <v>1530</v>
      </c>
      <c r="I692" t="s">
        <v>1516</v>
      </c>
      <c r="J692" t="s">
        <v>1566</v>
      </c>
      <c r="K692" t="s">
        <v>1514</v>
      </c>
      <c r="L692" s="2">
        <v>2</v>
      </c>
      <c r="M692" s="10">
        <v>1961</v>
      </c>
      <c r="N692" s="7">
        <v>3922</v>
      </c>
    </row>
    <row r="693" spans="1:14" x14ac:dyDescent="0.3">
      <c r="A693">
        <v>1233</v>
      </c>
      <c r="B693" s="1">
        <v>44932</v>
      </c>
      <c r="C693">
        <v>2023</v>
      </c>
      <c r="D693">
        <v>1</v>
      </c>
      <c r="E693" t="str">
        <f t="shared" si="10"/>
        <v>Januari</v>
      </c>
      <c r="F693">
        <v>1</v>
      </c>
      <c r="G693" t="s">
        <v>1534</v>
      </c>
      <c r="H693" t="s">
        <v>1530</v>
      </c>
      <c r="I693" t="s">
        <v>1516</v>
      </c>
      <c r="J693" t="s">
        <v>1566</v>
      </c>
      <c r="K693" t="s">
        <v>1514</v>
      </c>
      <c r="L693" s="2">
        <v>2</v>
      </c>
      <c r="M693" s="10">
        <v>1961</v>
      </c>
      <c r="N693" s="7">
        <v>3922</v>
      </c>
    </row>
    <row r="694" spans="1:14" x14ac:dyDescent="0.3">
      <c r="A694">
        <v>1234</v>
      </c>
      <c r="B694" s="1">
        <v>44728</v>
      </c>
      <c r="C694">
        <v>2022</v>
      </c>
      <c r="D694">
        <v>6</v>
      </c>
      <c r="E694" t="str">
        <f t="shared" si="10"/>
        <v>Juni</v>
      </c>
      <c r="F694">
        <v>2</v>
      </c>
      <c r="G694" t="s">
        <v>1519</v>
      </c>
      <c r="H694" t="s">
        <v>1520</v>
      </c>
      <c r="I694" t="s">
        <v>1528</v>
      </c>
      <c r="J694" t="s">
        <v>1517</v>
      </c>
      <c r="K694" t="s">
        <v>1514</v>
      </c>
      <c r="L694" s="2">
        <v>3</v>
      </c>
      <c r="M694" s="10">
        <v>3843</v>
      </c>
      <c r="N694" s="7">
        <v>11529</v>
      </c>
    </row>
    <row r="695" spans="1:14" x14ac:dyDescent="0.3">
      <c r="A695">
        <v>1234</v>
      </c>
      <c r="B695" s="1">
        <v>44564</v>
      </c>
      <c r="C695">
        <v>2022</v>
      </c>
      <c r="D695">
        <v>1</v>
      </c>
      <c r="E695" t="str">
        <f t="shared" si="10"/>
        <v>Januari</v>
      </c>
      <c r="F695">
        <v>1</v>
      </c>
      <c r="G695" t="s">
        <v>1519</v>
      </c>
      <c r="H695" t="s">
        <v>1520</v>
      </c>
      <c r="I695" t="s">
        <v>1528</v>
      </c>
      <c r="J695" t="s">
        <v>1517</v>
      </c>
      <c r="K695" t="s">
        <v>1514</v>
      </c>
      <c r="L695" s="2">
        <v>3</v>
      </c>
      <c r="M695" s="10">
        <v>3843</v>
      </c>
      <c r="N695" s="7">
        <v>11529</v>
      </c>
    </row>
    <row r="696" spans="1:14" x14ac:dyDescent="0.3">
      <c r="A696">
        <v>1235</v>
      </c>
      <c r="B696" s="1">
        <v>44595</v>
      </c>
      <c r="C696">
        <v>2022</v>
      </c>
      <c r="D696">
        <v>2</v>
      </c>
      <c r="E696" t="str">
        <f t="shared" si="10"/>
        <v>Februari</v>
      </c>
      <c r="F696">
        <v>1</v>
      </c>
      <c r="G696" t="s">
        <v>1522</v>
      </c>
      <c r="H696" t="s">
        <v>1520</v>
      </c>
      <c r="I696" t="s">
        <v>1535</v>
      </c>
      <c r="J696" t="s">
        <v>1566</v>
      </c>
      <c r="K696" t="s">
        <v>1525</v>
      </c>
      <c r="L696" s="2">
        <v>2</v>
      </c>
      <c r="M696" s="10">
        <v>515</v>
      </c>
      <c r="N696" s="7">
        <v>1030</v>
      </c>
    </row>
    <row r="697" spans="1:14" x14ac:dyDescent="0.3">
      <c r="A697">
        <v>1235</v>
      </c>
      <c r="B697" s="1">
        <v>45139</v>
      </c>
      <c r="C697">
        <v>2023</v>
      </c>
      <c r="D697">
        <v>8</v>
      </c>
      <c r="E697" t="str">
        <f t="shared" si="10"/>
        <v>Agustus</v>
      </c>
      <c r="F697">
        <v>3</v>
      </c>
      <c r="G697" t="s">
        <v>1522</v>
      </c>
      <c r="H697" t="s">
        <v>1520</v>
      </c>
      <c r="I697" t="s">
        <v>1535</v>
      </c>
      <c r="J697" t="s">
        <v>1566</v>
      </c>
      <c r="K697" t="s">
        <v>1525</v>
      </c>
      <c r="L697" s="2">
        <v>2</v>
      </c>
      <c r="M697" s="10">
        <v>515</v>
      </c>
      <c r="N697" s="7">
        <v>1030</v>
      </c>
    </row>
    <row r="698" spans="1:14" x14ac:dyDescent="0.3">
      <c r="A698">
        <v>1235</v>
      </c>
      <c r="B698" s="1">
        <v>45153</v>
      </c>
      <c r="C698">
        <v>2023</v>
      </c>
      <c r="D698">
        <v>8</v>
      </c>
      <c r="E698" t="str">
        <f t="shared" si="10"/>
        <v>Agustus</v>
      </c>
      <c r="F698">
        <v>3</v>
      </c>
      <c r="G698" t="s">
        <v>1522</v>
      </c>
      <c r="H698" t="s">
        <v>1520</v>
      </c>
      <c r="I698" t="s">
        <v>1535</v>
      </c>
      <c r="J698" t="s">
        <v>1566</v>
      </c>
      <c r="K698" t="s">
        <v>1525</v>
      </c>
      <c r="L698" s="2">
        <v>2</v>
      </c>
      <c r="M698" s="10">
        <v>515</v>
      </c>
      <c r="N698" s="7">
        <v>1030</v>
      </c>
    </row>
    <row r="699" spans="1:14" x14ac:dyDescent="0.3">
      <c r="A699">
        <v>1236</v>
      </c>
      <c r="B699" s="1">
        <v>45310</v>
      </c>
      <c r="C699">
        <v>2024</v>
      </c>
      <c r="D699">
        <v>1</v>
      </c>
      <c r="E699" t="str">
        <f t="shared" si="10"/>
        <v>Januari</v>
      </c>
      <c r="F699">
        <v>1</v>
      </c>
      <c r="G699" t="s">
        <v>1523</v>
      </c>
      <c r="H699" t="s">
        <v>1512</v>
      </c>
      <c r="I699" t="s">
        <v>1528</v>
      </c>
      <c r="J699" t="s">
        <v>1517</v>
      </c>
      <c r="K699" t="s">
        <v>1525</v>
      </c>
      <c r="L699" s="2">
        <v>2</v>
      </c>
      <c r="M699" s="10">
        <v>18773</v>
      </c>
      <c r="N699" s="7">
        <v>37546</v>
      </c>
    </row>
    <row r="700" spans="1:14" x14ac:dyDescent="0.3">
      <c r="A700">
        <v>1236</v>
      </c>
      <c r="B700" s="1">
        <v>45355</v>
      </c>
      <c r="C700">
        <v>2024</v>
      </c>
      <c r="D700">
        <v>3</v>
      </c>
      <c r="E700" t="str">
        <f t="shared" si="10"/>
        <v>Maret</v>
      </c>
      <c r="F700">
        <v>1</v>
      </c>
      <c r="G700" t="s">
        <v>1523</v>
      </c>
      <c r="H700" t="s">
        <v>1512</v>
      </c>
      <c r="I700" t="s">
        <v>1528</v>
      </c>
      <c r="J700" t="s">
        <v>1517</v>
      </c>
      <c r="K700" t="s">
        <v>1525</v>
      </c>
      <c r="L700" s="2">
        <v>2</v>
      </c>
      <c r="M700" s="10">
        <v>18773</v>
      </c>
      <c r="N700" s="7">
        <v>37546</v>
      </c>
    </row>
    <row r="701" spans="1:14" x14ac:dyDescent="0.3">
      <c r="A701">
        <v>1236</v>
      </c>
      <c r="B701" s="1">
        <v>45546</v>
      </c>
      <c r="C701">
        <v>2024</v>
      </c>
      <c r="D701">
        <v>9</v>
      </c>
      <c r="E701" t="str">
        <f t="shared" si="10"/>
        <v>September</v>
      </c>
      <c r="F701">
        <v>3</v>
      </c>
      <c r="G701" t="s">
        <v>1523</v>
      </c>
      <c r="H701" t="s">
        <v>1512</v>
      </c>
      <c r="I701" t="s">
        <v>1528</v>
      </c>
      <c r="J701" t="s">
        <v>1517</v>
      </c>
      <c r="K701" t="s">
        <v>1525</v>
      </c>
      <c r="L701" s="2">
        <v>2</v>
      </c>
      <c r="M701" s="10">
        <v>18773</v>
      </c>
      <c r="N701" s="7">
        <v>37546</v>
      </c>
    </row>
    <row r="702" spans="1:14" x14ac:dyDescent="0.3">
      <c r="A702">
        <v>1238</v>
      </c>
      <c r="B702" s="1">
        <v>45502</v>
      </c>
      <c r="C702">
        <v>2024</v>
      </c>
      <c r="D702">
        <v>7</v>
      </c>
      <c r="E702" t="str">
        <f t="shared" si="10"/>
        <v>Juli</v>
      </c>
      <c r="F702">
        <v>3</v>
      </c>
      <c r="G702" t="s">
        <v>1529</v>
      </c>
      <c r="H702" t="s">
        <v>1530</v>
      </c>
      <c r="I702" t="s">
        <v>1535</v>
      </c>
      <c r="J702" t="s">
        <v>1524</v>
      </c>
      <c r="K702" t="s">
        <v>1514</v>
      </c>
      <c r="L702" s="2">
        <v>2</v>
      </c>
      <c r="M702" s="10">
        <v>996</v>
      </c>
      <c r="N702" s="7">
        <v>1992</v>
      </c>
    </row>
    <row r="703" spans="1:14" x14ac:dyDescent="0.3">
      <c r="A703">
        <v>1239</v>
      </c>
      <c r="B703" s="1">
        <v>44765</v>
      </c>
      <c r="C703">
        <v>2022</v>
      </c>
      <c r="D703">
        <v>7</v>
      </c>
      <c r="E703" t="str">
        <f t="shared" si="10"/>
        <v>Juli</v>
      </c>
      <c r="F703">
        <v>3</v>
      </c>
      <c r="G703" t="s">
        <v>1532</v>
      </c>
      <c r="H703" t="s">
        <v>1512</v>
      </c>
      <c r="I703" t="s">
        <v>1528</v>
      </c>
      <c r="J703" t="s">
        <v>1566</v>
      </c>
      <c r="K703" t="s">
        <v>1518</v>
      </c>
      <c r="L703" s="2">
        <v>2</v>
      </c>
      <c r="M703" s="10">
        <v>12569</v>
      </c>
      <c r="N703" s="7">
        <v>25138</v>
      </c>
    </row>
    <row r="704" spans="1:14" x14ac:dyDescent="0.3">
      <c r="A704">
        <v>1239</v>
      </c>
      <c r="B704" s="1">
        <v>44797</v>
      </c>
      <c r="C704">
        <v>2022</v>
      </c>
      <c r="D704">
        <v>8</v>
      </c>
      <c r="E704" t="str">
        <f t="shared" si="10"/>
        <v>Agustus</v>
      </c>
      <c r="F704">
        <v>3</v>
      </c>
      <c r="G704" t="s">
        <v>1532</v>
      </c>
      <c r="H704" t="s">
        <v>1512</v>
      </c>
      <c r="I704" t="s">
        <v>1528</v>
      </c>
      <c r="J704" t="s">
        <v>1566</v>
      </c>
      <c r="K704" t="s">
        <v>1518</v>
      </c>
      <c r="L704" s="2">
        <v>2</v>
      </c>
      <c r="M704" s="10">
        <v>12569</v>
      </c>
      <c r="N704" s="7">
        <v>25138</v>
      </c>
    </row>
    <row r="705" spans="1:14" x14ac:dyDescent="0.3">
      <c r="A705">
        <v>1239</v>
      </c>
      <c r="B705" s="1">
        <v>45267</v>
      </c>
      <c r="C705">
        <v>2023</v>
      </c>
      <c r="D705">
        <v>12</v>
      </c>
      <c r="E705" t="str">
        <f t="shared" si="10"/>
        <v>Desember</v>
      </c>
      <c r="F705">
        <v>4</v>
      </c>
      <c r="G705" t="s">
        <v>1532</v>
      </c>
      <c r="H705" t="s">
        <v>1512</v>
      </c>
      <c r="I705" t="s">
        <v>1528</v>
      </c>
      <c r="J705" t="s">
        <v>1566</v>
      </c>
      <c r="K705" t="s">
        <v>1518</v>
      </c>
      <c r="L705" s="2">
        <v>2</v>
      </c>
      <c r="M705" s="10">
        <v>12569</v>
      </c>
      <c r="N705" s="7">
        <v>25138</v>
      </c>
    </row>
    <row r="706" spans="1:14" x14ac:dyDescent="0.3">
      <c r="A706">
        <v>1239</v>
      </c>
      <c r="B706" s="1">
        <v>45274</v>
      </c>
      <c r="C706">
        <v>2023</v>
      </c>
      <c r="D706">
        <v>12</v>
      </c>
      <c r="E706" t="str">
        <f t="shared" si="10"/>
        <v>Desember</v>
      </c>
      <c r="F706">
        <v>4</v>
      </c>
      <c r="G706" t="s">
        <v>1532</v>
      </c>
      <c r="H706" t="s">
        <v>1512</v>
      </c>
      <c r="I706" t="s">
        <v>1528</v>
      </c>
      <c r="J706" t="s">
        <v>1566</v>
      </c>
      <c r="K706" t="s">
        <v>1518</v>
      </c>
      <c r="L706" s="2">
        <v>2</v>
      </c>
      <c r="M706" s="10">
        <v>12569</v>
      </c>
      <c r="N706" s="7">
        <v>25138</v>
      </c>
    </row>
    <row r="707" spans="1:14" x14ac:dyDescent="0.3">
      <c r="A707">
        <v>1239</v>
      </c>
      <c r="B707" s="1">
        <v>45647</v>
      </c>
      <c r="C707">
        <v>2024</v>
      </c>
      <c r="D707">
        <v>12</v>
      </c>
      <c r="E707" t="str">
        <f t="shared" ref="E707:E770" si="11">TEXT(DATE(2026, D707, 1), "[$-id-ID]mmmm")</f>
        <v>Desember</v>
      </c>
      <c r="F707">
        <v>4</v>
      </c>
      <c r="G707" t="s">
        <v>1532</v>
      </c>
      <c r="H707" t="s">
        <v>1512</v>
      </c>
      <c r="I707" t="s">
        <v>1528</v>
      </c>
      <c r="J707" t="s">
        <v>1566</v>
      </c>
      <c r="K707" t="s">
        <v>1518</v>
      </c>
      <c r="L707" s="2">
        <v>2</v>
      </c>
      <c r="M707" s="10">
        <v>12569</v>
      </c>
      <c r="N707" s="7">
        <v>25138</v>
      </c>
    </row>
    <row r="708" spans="1:14" x14ac:dyDescent="0.3">
      <c r="A708">
        <v>1239</v>
      </c>
      <c r="B708" s="1">
        <v>44969</v>
      </c>
      <c r="C708">
        <v>2023</v>
      </c>
      <c r="D708">
        <v>2</v>
      </c>
      <c r="E708" t="str">
        <f t="shared" si="11"/>
        <v>Februari</v>
      </c>
      <c r="F708">
        <v>1</v>
      </c>
      <c r="G708" t="s">
        <v>1532</v>
      </c>
      <c r="H708" t="s">
        <v>1512</v>
      </c>
      <c r="I708" t="s">
        <v>1528</v>
      </c>
      <c r="J708" t="s">
        <v>1566</v>
      </c>
      <c r="K708" t="s">
        <v>1518</v>
      </c>
      <c r="L708" s="2">
        <v>2</v>
      </c>
      <c r="M708" s="10">
        <v>12569</v>
      </c>
      <c r="N708" s="7">
        <v>25138</v>
      </c>
    </row>
    <row r="709" spans="1:14" x14ac:dyDescent="0.3">
      <c r="A709">
        <v>1240</v>
      </c>
      <c r="B709" s="1">
        <v>45082</v>
      </c>
      <c r="C709">
        <v>2023</v>
      </c>
      <c r="D709">
        <v>6</v>
      </c>
      <c r="E709" t="str">
        <f t="shared" si="11"/>
        <v>Juni</v>
      </c>
      <c r="F709">
        <v>2</v>
      </c>
      <c r="G709" t="s">
        <v>1533</v>
      </c>
      <c r="H709" t="s">
        <v>1520</v>
      </c>
      <c r="I709" t="s">
        <v>1516</v>
      </c>
      <c r="J709" t="s">
        <v>1524</v>
      </c>
      <c r="K709" t="s">
        <v>1514</v>
      </c>
      <c r="L709" s="2">
        <v>3</v>
      </c>
      <c r="M709" s="10">
        <v>241</v>
      </c>
      <c r="N709" s="7">
        <v>723</v>
      </c>
    </row>
    <row r="710" spans="1:14" x14ac:dyDescent="0.3">
      <c r="A710">
        <v>1240</v>
      </c>
      <c r="B710" s="1">
        <v>44981</v>
      </c>
      <c r="C710">
        <v>2023</v>
      </c>
      <c r="D710">
        <v>2</v>
      </c>
      <c r="E710" t="str">
        <f t="shared" si="11"/>
        <v>Februari</v>
      </c>
      <c r="F710">
        <v>1</v>
      </c>
      <c r="G710" t="s">
        <v>1533</v>
      </c>
      <c r="H710" t="s">
        <v>1520</v>
      </c>
      <c r="I710" t="s">
        <v>1516</v>
      </c>
      <c r="J710" t="s">
        <v>1524</v>
      </c>
      <c r="K710" t="s">
        <v>1514</v>
      </c>
      <c r="L710" s="2">
        <v>3</v>
      </c>
      <c r="M710" s="10">
        <v>241</v>
      </c>
      <c r="N710" s="7">
        <v>723</v>
      </c>
    </row>
    <row r="711" spans="1:14" x14ac:dyDescent="0.3">
      <c r="A711">
        <v>1240</v>
      </c>
      <c r="B711" s="1">
        <v>45630</v>
      </c>
      <c r="C711">
        <v>2024</v>
      </c>
      <c r="D711">
        <v>12</v>
      </c>
      <c r="E711" t="str">
        <f t="shared" si="11"/>
        <v>Desember</v>
      </c>
      <c r="F711">
        <v>4</v>
      </c>
      <c r="G711" t="s">
        <v>1533</v>
      </c>
      <c r="H711" t="s">
        <v>1520</v>
      </c>
      <c r="I711" t="s">
        <v>1516</v>
      </c>
      <c r="J711" t="s">
        <v>1524</v>
      </c>
      <c r="K711" t="s">
        <v>1514</v>
      </c>
      <c r="L711" s="2">
        <v>3</v>
      </c>
      <c r="M711" s="10">
        <v>241</v>
      </c>
      <c r="N711" s="7">
        <v>723</v>
      </c>
    </row>
    <row r="712" spans="1:14" x14ac:dyDescent="0.3">
      <c r="A712">
        <v>1241</v>
      </c>
      <c r="B712" s="1">
        <v>45339</v>
      </c>
      <c r="C712">
        <v>2024</v>
      </c>
      <c r="D712">
        <v>2</v>
      </c>
      <c r="E712" t="str">
        <f t="shared" si="11"/>
        <v>Februari</v>
      </c>
      <c r="F712">
        <v>1</v>
      </c>
      <c r="G712" t="s">
        <v>1511</v>
      </c>
      <c r="H712" t="s">
        <v>1512</v>
      </c>
      <c r="I712" t="s">
        <v>1521</v>
      </c>
      <c r="J712" t="s">
        <v>1517</v>
      </c>
      <c r="K712" t="s">
        <v>1518</v>
      </c>
      <c r="L712" s="2">
        <v>1</v>
      </c>
      <c r="M712" s="10">
        <v>51561</v>
      </c>
      <c r="N712" s="7">
        <v>51561</v>
      </c>
    </row>
    <row r="713" spans="1:14" x14ac:dyDescent="0.3">
      <c r="A713">
        <v>1241</v>
      </c>
      <c r="B713" s="1">
        <v>45131</v>
      </c>
      <c r="C713">
        <v>2023</v>
      </c>
      <c r="D713">
        <v>7</v>
      </c>
      <c r="E713" t="str">
        <f t="shared" si="11"/>
        <v>Juli</v>
      </c>
      <c r="F713">
        <v>3</v>
      </c>
      <c r="G713" t="s">
        <v>1511</v>
      </c>
      <c r="H713" t="s">
        <v>1512</v>
      </c>
      <c r="I713" t="s">
        <v>1521</v>
      </c>
      <c r="J713" t="s">
        <v>1517</v>
      </c>
      <c r="K713" t="s">
        <v>1518</v>
      </c>
      <c r="L713" s="2">
        <v>1</v>
      </c>
      <c r="M713" s="10">
        <v>51561</v>
      </c>
      <c r="N713" s="7">
        <v>51561</v>
      </c>
    </row>
    <row r="714" spans="1:14" x14ac:dyDescent="0.3">
      <c r="A714">
        <v>1243</v>
      </c>
      <c r="B714" s="1">
        <v>45029</v>
      </c>
      <c r="C714">
        <v>2023</v>
      </c>
      <c r="D714">
        <v>4</v>
      </c>
      <c r="E714" t="str">
        <f t="shared" si="11"/>
        <v>April</v>
      </c>
      <c r="F714">
        <v>2</v>
      </c>
      <c r="G714" t="s">
        <v>1534</v>
      </c>
      <c r="H714" t="s">
        <v>1530</v>
      </c>
      <c r="I714" t="s">
        <v>1528</v>
      </c>
      <c r="J714" t="s">
        <v>1566</v>
      </c>
      <c r="K714" t="s">
        <v>1518</v>
      </c>
      <c r="L714" s="2">
        <v>2</v>
      </c>
      <c r="M714" s="10">
        <v>1792</v>
      </c>
      <c r="N714" s="7">
        <v>3584</v>
      </c>
    </row>
    <row r="715" spans="1:14" x14ac:dyDescent="0.3">
      <c r="A715">
        <v>1243</v>
      </c>
      <c r="B715" s="1">
        <v>45274</v>
      </c>
      <c r="C715">
        <v>2023</v>
      </c>
      <c r="D715">
        <v>12</v>
      </c>
      <c r="E715" t="str">
        <f t="shared" si="11"/>
        <v>Desember</v>
      </c>
      <c r="F715">
        <v>4</v>
      </c>
      <c r="G715" t="s">
        <v>1534</v>
      </c>
      <c r="H715" t="s">
        <v>1530</v>
      </c>
      <c r="I715" t="s">
        <v>1528</v>
      </c>
      <c r="J715" t="s">
        <v>1566</v>
      </c>
      <c r="K715" t="s">
        <v>1518</v>
      </c>
      <c r="L715" s="2">
        <v>2</v>
      </c>
      <c r="M715" s="10">
        <v>1792</v>
      </c>
      <c r="N715" s="7">
        <v>3584</v>
      </c>
    </row>
    <row r="716" spans="1:14" x14ac:dyDescent="0.3">
      <c r="A716">
        <v>1244</v>
      </c>
      <c r="B716" s="1">
        <v>44605</v>
      </c>
      <c r="C716">
        <v>2022</v>
      </c>
      <c r="D716">
        <v>2</v>
      </c>
      <c r="E716" t="str">
        <f t="shared" si="11"/>
        <v>Februari</v>
      </c>
      <c r="F716">
        <v>1</v>
      </c>
      <c r="G716" t="s">
        <v>1519</v>
      </c>
      <c r="H716" t="s">
        <v>1520</v>
      </c>
      <c r="I716" t="s">
        <v>1528</v>
      </c>
      <c r="J716" t="s">
        <v>1566</v>
      </c>
      <c r="K716" t="s">
        <v>1518</v>
      </c>
      <c r="L716" s="2">
        <v>1</v>
      </c>
      <c r="M716" s="10">
        <v>17414</v>
      </c>
      <c r="N716" s="7">
        <v>17414</v>
      </c>
    </row>
    <row r="717" spans="1:14" x14ac:dyDescent="0.3">
      <c r="A717">
        <v>1244</v>
      </c>
      <c r="B717" s="1">
        <v>45049</v>
      </c>
      <c r="C717">
        <v>2023</v>
      </c>
      <c r="D717">
        <v>5</v>
      </c>
      <c r="E717" t="str">
        <f t="shared" si="11"/>
        <v>Mei</v>
      </c>
      <c r="F717">
        <v>2</v>
      </c>
      <c r="G717" t="s">
        <v>1519</v>
      </c>
      <c r="H717" t="s">
        <v>1520</v>
      </c>
      <c r="I717" t="s">
        <v>1528</v>
      </c>
      <c r="J717" t="s">
        <v>1566</v>
      </c>
      <c r="K717" t="s">
        <v>1518</v>
      </c>
      <c r="L717" s="2">
        <v>1</v>
      </c>
      <c r="M717" s="10">
        <v>17414</v>
      </c>
      <c r="N717" s="7">
        <v>17414</v>
      </c>
    </row>
    <row r="718" spans="1:14" x14ac:dyDescent="0.3">
      <c r="A718">
        <v>1245</v>
      </c>
      <c r="B718" s="1">
        <v>44659</v>
      </c>
      <c r="C718">
        <v>2022</v>
      </c>
      <c r="D718">
        <v>4</v>
      </c>
      <c r="E718" t="str">
        <f t="shared" si="11"/>
        <v>April</v>
      </c>
      <c r="F718">
        <v>2</v>
      </c>
      <c r="G718" t="s">
        <v>1522</v>
      </c>
      <c r="H718" t="s">
        <v>1520</v>
      </c>
      <c r="I718" t="s">
        <v>1535</v>
      </c>
      <c r="J718" t="s">
        <v>1517</v>
      </c>
      <c r="K718" t="s">
        <v>1525</v>
      </c>
      <c r="L718" s="2">
        <v>5</v>
      </c>
      <c r="M718" s="10">
        <v>417</v>
      </c>
      <c r="N718" s="7">
        <v>2085</v>
      </c>
    </row>
    <row r="719" spans="1:14" x14ac:dyDescent="0.3">
      <c r="A719">
        <v>1246</v>
      </c>
      <c r="B719" s="1">
        <v>44784</v>
      </c>
      <c r="C719">
        <v>2022</v>
      </c>
      <c r="D719">
        <v>8</v>
      </c>
      <c r="E719" t="str">
        <f t="shared" si="11"/>
        <v>Agustus</v>
      </c>
      <c r="F719">
        <v>3</v>
      </c>
      <c r="G719" t="s">
        <v>1523</v>
      </c>
      <c r="H719" t="s">
        <v>1512</v>
      </c>
      <c r="I719" t="s">
        <v>1521</v>
      </c>
      <c r="J719" t="s">
        <v>1566</v>
      </c>
      <c r="K719" t="s">
        <v>1518</v>
      </c>
      <c r="L719" s="2">
        <v>1</v>
      </c>
      <c r="M719" s="10">
        <v>32293</v>
      </c>
      <c r="N719" s="7">
        <v>32293</v>
      </c>
    </row>
    <row r="720" spans="1:14" x14ac:dyDescent="0.3">
      <c r="A720">
        <v>1246</v>
      </c>
      <c r="B720" s="1">
        <v>45011</v>
      </c>
      <c r="C720">
        <v>2023</v>
      </c>
      <c r="D720">
        <v>3</v>
      </c>
      <c r="E720" t="str">
        <f t="shared" si="11"/>
        <v>Maret</v>
      </c>
      <c r="F720">
        <v>1</v>
      </c>
      <c r="G720" t="s">
        <v>1523</v>
      </c>
      <c r="H720" t="s">
        <v>1512</v>
      </c>
      <c r="I720" t="s">
        <v>1521</v>
      </c>
      <c r="J720" t="s">
        <v>1566</v>
      </c>
      <c r="K720" t="s">
        <v>1518</v>
      </c>
      <c r="L720" s="2">
        <v>1</v>
      </c>
      <c r="M720" s="10">
        <v>32293</v>
      </c>
      <c r="N720" s="7">
        <v>32293</v>
      </c>
    </row>
    <row r="721" spans="1:14" x14ac:dyDescent="0.3">
      <c r="A721">
        <v>1246</v>
      </c>
      <c r="B721" s="1">
        <v>45653</v>
      </c>
      <c r="C721">
        <v>2024</v>
      </c>
      <c r="D721">
        <v>12</v>
      </c>
      <c r="E721" t="str">
        <f t="shared" si="11"/>
        <v>Desember</v>
      </c>
      <c r="F721">
        <v>4</v>
      </c>
      <c r="G721" t="s">
        <v>1523</v>
      </c>
      <c r="H721" t="s">
        <v>1512</v>
      </c>
      <c r="I721" t="s">
        <v>1521</v>
      </c>
      <c r="J721" t="s">
        <v>1566</v>
      </c>
      <c r="K721" t="s">
        <v>1518</v>
      </c>
      <c r="L721" s="2">
        <v>1</v>
      </c>
      <c r="M721" s="10">
        <v>32293</v>
      </c>
      <c r="N721" s="7">
        <v>32293</v>
      </c>
    </row>
    <row r="722" spans="1:14" x14ac:dyDescent="0.3">
      <c r="A722">
        <v>1246</v>
      </c>
      <c r="B722" s="1">
        <v>45011</v>
      </c>
      <c r="C722">
        <v>2023</v>
      </c>
      <c r="D722">
        <v>3</v>
      </c>
      <c r="E722" t="str">
        <f t="shared" si="11"/>
        <v>Maret</v>
      </c>
      <c r="F722">
        <v>1</v>
      </c>
      <c r="G722" t="s">
        <v>1523</v>
      </c>
      <c r="H722" t="s">
        <v>1512</v>
      </c>
      <c r="I722" t="s">
        <v>1521</v>
      </c>
      <c r="J722" t="s">
        <v>1566</v>
      </c>
      <c r="K722" t="s">
        <v>1518</v>
      </c>
      <c r="L722" s="2">
        <v>1</v>
      </c>
      <c r="M722" s="10">
        <v>32293</v>
      </c>
      <c r="N722" s="7">
        <v>32293</v>
      </c>
    </row>
    <row r="723" spans="1:14" x14ac:dyDescent="0.3">
      <c r="A723">
        <v>1247</v>
      </c>
      <c r="B723" s="1">
        <v>45402</v>
      </c>
      <c r="C723">
        <v>2024</v>
      </c>
      <c r="D723">
        <v>4</v>
      </c>
      <c r="E723" t="str">
        <f t="shared" si="11"/>
        <v>April</v>
      </c>
      <c r="F723">
        <v>2</v>
      </c>
      <c r="G723" t="s">
        <v>1526</v>
      </c>
      <c r="H723" t="s">
        <v>1527</v>
      </c>
      <c r="I723" t="s">
        <v>1535</v>
      </c>
      <c r="J723" t="s">
        <v>1524</v>
      </c>
      <c r="K723" t="s">
        <v>1525</v>
      </c>
      <c r="L723" s="2">
        <v>2</v>
      </c>
      <c r="M723" s="10">
        <v>750</v>
      </c>
      <c r="N723" s="7">
        <v>1500</v>
      </c>
    </row>
    <row r="724" spans="1:14" x14ac:dyDescent="0.3">
      <c r="A724">
        <v>1247</v>
      </c>
      <c r="B724" s="1">
        <v>45398</v>
      </c>
      <c r="C724">
        <v>2024</v>
      </c>
      <c r="D724">
        <v>4</v>
      </c>
      <c r="E724" t="str">
        <f t="shared" si="11"/>
        <v>April</v>
      </c>
      <c r="F724">
        <v>2</v>
      </c>
      <c r="G724" t="s">
        <v>1526</v>
      </c>
      <c r="H724" t="s">
        <v>1527</v>
      </c>
      <c r="I724" t="s">
        <v>1535</v>
      </c>
      <c r="J724" t="s">
        <v>1524</v>
      </c>
      <c r="K724" t="s">
        <v>1525</v>
      </c>
      <c r="L724" s="2">
        <v>2</v>
      </c>
      <c r="M724" s="10">
        <v>750</v>
      </c>
      <c r="N724" s="7">
        <v>1500</v>
      </c>
    </row>
    <row r="725" spans="1:14" x14ac:dyDescent="0.3">
      <c r="A725">
        <v>1247</v>
      </c>
      <c r="B725" s="1">
        <v>45240</v>
      </c>
      <c r="C725">
        <v>2023</v>
      </c>
      <c r="D725">
        <v>11</v>
      </c>
      <c r="E725" t="str">
        <f t="shared" si="11"/>
        <v>November</v>
      </c>
      <c r="F725">
        <v>4</v>
      </c>
      <c r="G725" t="s">
        <v>1526</v>
      </c>
      <c r="H725" t="s">
        <v>1527</v>
      </c>
      <c r="I725" t="s">
        <v>1535</v>
      </c>
      <c r="J725" t="s">
        <v>1524</v>
      </c>
      <c r="K725" t="s">
        <v>1525</v>
      </c>
      <c r="L725" s="2">
        <v>2</v>
      </c>
      <c r="M725" s="10">
        <v>750</v>
      </c>
      <c r="N725" s="7">
        <v>1500</v>
      </c>
    </row>
    <row r="726" spans="1:14" x14ac:dyDescent="0.3">
      <c r="A726">
        <v>1248</v>
      </c>
      <c r="B726" s="1">
        <v>45216</v>
      </c>
      <c r="C726">
        <v>2023</v>
      </c>
      <c r="D726">
        <v>10</v>
      </c>
      <c r="E726" t="str">
        <f t="shared" si="11"/>
        <v>Oktober</v>
      </c>
      <c r="F726">
        <v>4</v>
      </c>
      <c r="G726" t="s">
        <v>1529</v>
      </c>
      <c r="H726" t="s">
        <v>1530</v>
      </c>
      <c r="I726" t="s">
        <v>1535</v>
      </c>
      <c r="J726" t="s">
        <v>1566</v>
      </c>
      <c r="K726" t="s">
        <v>1525</v>
      </c>
      <c r="L726" s="2">
        <v>3</v>
      </c>
      <c r="M726" s="10">
        <v>1702</v>
      </c>
      <c r="N726" s="7">
        <v>5106</v>
      </c>
    </row>
    <row r="727" spans="1:14" x14ac:dyDescent="0.3">
      <c r="A727">
        <v>1248</v>
      </c>
      <c r="B727" s="1">
        <v>45079</v>
      </c>
      <c r="C727">
        <v>2023</v>
      </c>
      <c r="D727">
        <v>6</v>
      </c>
      <c r="E727" t="str">
        <f t="shared" si="11"/>
        <v>Juni</v>
      </c>
      <c r="F727">
        <v>2</v>
      </c>
      <c r="G727" t="s">
        <v>1529</v>
      </c>
      <c r="H727" t="s">
        <v>1530</v>
      </c>
      <c r="I727" t="s">
        <v>1535</v>
      </c>
      <c r="J727" t="s">
        <v>1566</v>
      </c>
      <c r="K727" t="s">
        <v>1525</v>
      </c>
      <c r="L727" s="2">
        <v>3</v>
      </c>
      <c r="M727" s="10">
        <v>1702</v>
      </c>
      <c r="N727" s="7">
        <v>5106</v>
      </c>
    </row>
    <row r="728" spans="1:14" x14ac:dyDescent="0.3">
      <c r="A728">
        <v>1248</v>
      </c>
      <c r="B728" s="1">
        <v>45598</v>
      </c>
      <c r="C728">
        <v>2024</v>
      </c>
      <c r="D728">
        <v>11</v>
      </c>
      <c r="E728" t="str">
        <f t="shared" si="11"/>
        <v>November</v>
      </c>
      <c r="F728">
        <v>4</v>
      </c>
      <c r="G728" t="s">
        <v>1529</v>
      </c>
      <c r="H728" t="s">
        <v>1530</v>
      </c>
      <c r="I728" t="s">
        <v>1535</v>
      </c>
      <c r="J728" t="s">
        <v>1566</v>
      </c>
      <c r="K728" t="s">
        <v>1525</v>
      </c>
      <c r="L728" s="2">
        <v>3</v>
      </c>
      <c r="M728" s="10">
        <v>1702</v>
      </c>
      <c r="N728" s="7">
        <v>5106</v>
      </c>
    </row>
    <row r="729" spans="1:14" x14ac:dyDescent="0.3">
      <c r="A729">
        <v>1249</v>
      </c>
      <c r="B729" s="1">
        <v>45047</v>
      </c>
      <c r="C729">
        <v>2023</v>
      </c>
      <c r="D729">
        <v>5</v>
      </c>
      <c r="E729" t="str">
        <f t="shared" si="11"/>
        <v>Mei</v>
      </c>
      <c r="F729">
        <v>2</v>
      </c>
      <c r="G729" t="s">
        <v>1532</v>
      </c>
      <c r="H729" t="s">
        <v>1512</v>
      </c>
      <c r="I729" t="s">
        <v>1516</v>
      </c>
      <c r="J729" t="s">
        <v>1517</v>
      </c>
      <c r="K729" t="s">
        <v>1514</v>
      </c>
      <c r="L729" s="2">
        <v>1</v>
      </c>
      <c r="M729" s="10">
        <v>10698</v>
      </c>
      <c r="N729" s="7">
        <v>10698</v>
      </c>
    </row>
    <row r="730" spans="1:14" x14ac:dyDescent="0.3">
      <c r="A730">
        <v>1250</v>
      </c>
      <c r="B730" s="1">
        <v>44602</v>
      </c>
      <c r="C730">
        <v>2022</v>
      </c>
      <c r="D730">
        <v>2</v>
      </c>
      <c r="E730" t="str">
        <f t="shared" si="11"/>
        <v>Februari</v>
      </c>
      <c r="F730">
        <v>1</v>
      </c>
      <c r="G730" t="s">
        <v>1533</v>
      </c>
      <c r="H730" t="s">
        <v>1520</v>
      </c>
      <c r="I730" t="s">
        <v>1516</v>
      </c>
      <c r="J730" t="s">
        <v>1566</v>
      </c>
      <c r="K730" t="s">
        <v>1518</v>
      </c>
      <c r="L730" s="2">
        <v>3</v>
      </c>
      <c r="M730" s="10">
        <v>468</v>
      </c>
      <c r="N730" s="7">
        <v>1404</v>
      </c>
    </row>
    <row r="731" spans="1:14" x14ac:dyDescent="0.3">
      <c r="A731">
        <v>1250</v>
      </c>
      <c r="B731" s="1">
        <v>45048</v>
      </c>
      <c r="C731">
        <v>2023</v>
      </c>
      <c r="D731">
        <v>5</v>
      </c>
      <c r="E731" t="str">
        <f t="shared" si="11"/>
        <v>Mei</v>
      </c>
      <c r="F731">
        <v>2</v>
      </c>
      <c r="G731" t="s">
        <v>1533</v>
      </c>
      <c r="H731" t="s">
        <v>1520</v>
      </c>
      <c r="I731" t="s">
        <v>1516</v>
      </c>
      <c r="J731" t="s">
        <v>1566</v>
      </c>
      <c r="K731" t="s">
        <v>1518</v>
      </c>
      <c r="L731" s="2">
        <v>3</v>
      </c>
      <c r="M731" s="10">
        <v>468</v>
      </c>
      <c r="N731" s="7">
        <v>1404</v>
      </c>
    </row>
    <row r="732" spans="1:14" x14ac:dyDescent="0.3">
      <c r="A732">
        <v>1250</v>
      </c>
      <c r="B732" s="1">
        <v>44707</v>
      </c>
      <c r="C732">
        <v>2022</v>
      </c>
      <c r="D732">
        <v>5</v>
      </c>
      <c r="E732" t="str">
        <f t="shared" si="11"/>
        <v>Mei</v>
      </c>
      <c r="F732">
        <v>2</v>
      </c>
      <c r="G732" t="s">
        <v>1533</v>
      </c>
      <c r="H732" t="s">
        <v>1520</v>
      </c>
      <c r="I732" t="s">
        <v>1516</v>
      </c>
      <c r="J732" t="s">
        <v>1566</v>
      </c>
      <c r="K732" t="s">
        <v>1518</v>
      </c>
      <c r="L732" s="2">
        <v>3</v>
      </c>
      <c r="M732" s="10">
        <v>468</v>
      </c>
      <c r="N732" s="7">
        <v>1404</v>
      </c>
    </row>
    <row r="733" spans="1:14" x14ac:dyDescent="0.3">
      <c r="A733">
        <v>1250</v>
      </c>
      <c r="B733" s="1">
        <v>44615</v>
      </c>
      <c r="C733">
        <v>2022</v>
      </c>
      <c r="D733">
        <v>2</v>
      </c>
      <c r="E733" t="str">
        <f t="shared" si="11"/>
        <v>Februari</v>
      </c>
      <c r="F733">
        <v>1</v>
      </c>
      <c r="G733" t="s">
        <v>1533</v>
      </c>
      <c r="H733" t="s">
        <v>1520</v>
      </c>
      <c r="I733" t="s">
        <v>1516</v>
      </c>
      <c r="J733" t="s">
        <v>1566</v>
      </c>
      <c r="K733" t="s">
        <v>1518</v>
      </c>
      <c r="L733" s="2">
        <v>3</v>
      </c>
      <c r="M733" s="10">
        <v>468</v>
      </c>
      <c r="N733" s="7">
        <v>1404</v>
      </c>
    </row>
    <row r="734" spans="1:14" x14ac:dyDescent="0.3">
      <c r="A734">
        <v>1251</v>
      </c>
      <c r="B734" s="1">
        <v>44565</v>
      </c>
      <c r="C734">
        <v>2022</v>
      </c>
      <c r="D734">
        <v>1</v>
      </c>
      <c r="E734" t="str">
        <f t="shared" si="11"/>
        <v>Januari</v>
      </c>
      <c r="F734">
        <v>1</v>
      </c>
      <c r="G734" t="s">
        <v>1511</v>
      </c>
      <c r="H734" t="s">
        <v>1512</v>
      </c>
      <c r="I734" t="s">
        <v>1521</v>
      </c>
      <c r="J734" t="s">
        <v>1517</v>
      </c>
      <c r="K734" t="s">
        <v>1525</v>
      </c>
      <c r="L734" s="2">
        <v>2</v>
      </c>
      <c r="M734" s="10">
        <v>57310</v>
      </c>
      <c r="N734" s="7">
        <v>114620</v>
      </c>
    </row>
    <row r="735" spans="1:14" x14ac:dyDescent="0.3">
      <c r="A735">
        <v>1251</v>
      </c>
      <c r="B735" s="1">
        <v>45062</v>
      </c>
      <c r="C735">
        <v>2023</v>
      </c>
      <c r="D735">
        <v>5</v>
      </c>
      <c r="E735" t="str">
        <f t="shared" si="11"/>
        <v>Mei</v>
      </c>
      <c r="F735">
        <v>2</v>
      </c>
      <c r="G735" t="s">
        <v>1511</v>
      </c>
      <c r="H735" t="s">
        <v>1512</v>
      </c>
      <c r="I735" t="s">
        <v>1521</v>
      </c>
      <c r="J735" t="s">
        <v>1517</v>
      </c>
      <c r="K735" t="s">
        <v>1525</v>
      </c>
      <c r="L735" s="2">
        <v>2</v>
      </c>
      <c r="M735" s="10">
        <v>57310</v>
      </c>
      <c r="N735" s="7">
        <v>114620</v>
      </c>
    </row>
    <row r="736" spans="1:14" x14ac:dyDescent="0.3">
      <c r="A736">
        <v>1251</v>
      </c>
      <c r="B736" s="1">
        <v>45170</v>
      </c>
      <c r="C736">
        <v>2023</v>
      </c>
      <c r="D736">
        <v>9</v>
      </c>
      <c r="E736" t="str">
        <f t="shared" si="11"/>
        <v>September</v>
      </c>
      <c r="F736">
        <v>3</v>
      </c>
      <c r="G736" t="s">
        <v>1511</v>
      </c>
      <c r="H736" t="s">
        <v>1512</v>
      </c>
      <c r="I736" t="s">
        <v>1521</v>
      </c>
      <c r="J736" t="s">
        <v>1517</v>
      </c>
      <c r="K736" t="s">
        <v>1525</v>
      </c>
      <c r="L736" s="2">
        <v>2</v>
      </c>
      <c r="M736" s="10">
        <v>57310</v>
      </c>
      <c r="N736" s="7">
        <v>114620</v>
      </c>
    </row>
    <row r="737" spans="1:14" x14ac:dyDescent="0.3">
      <c r="A737">
        <v>1251</v>
      </c>
      <c r="B737" s="1">
        <v>45097</v>
      </c>
      <c r="C737">
        <v>2023</v>
      </c>
      <c r="D737">
        <v>6</v>
      </c>
      <c r="E737" t="str">
        <f t="shared" si="11"/>
        <v>Juni</v>
      </c>
      <c r="F737">
        <v>2</v>
      </c>
      <c r="G737" t="s">
        <v>1511</v>
      </c>
      <c r="H737" t="s">
        <v>1512</v>
      </c>
      <c r="I737" t="s">
        <v>1521</v>
      </c>
      <c r="J737" t="s">
        <v>1517</v>
      </c>
      <c r="K737" t="s">
        <v>1525</v>
      </c>
      <c r="L737" s="2">
        <v>2</v>
      </c>
      <c r="M737" s="10">
        <v>57310</v>
      </c>
      <c r="N737" s="7">
        <v>114620</v>
      </c>
    </row>
    <row r="738" spans="1:14" x14ac:dyDescent="0.3">
      <c r="A738">
        <v>1252</v>
      </c>
      <c r="B738" s="1">
        <v>45351</v>
      </c>
      <c r="C738">
        <v>2024</v>
      </c>
      <c r="D738">
        <v>2</v>
      </c>
      <c r="E738" t="str">
        <f t="shared" si="11"/>
        <v>Februari</v>
      </c>
      <c r="F738">
        <v>1</v>
      </c>
      <c r="G738" t="s">
        <v>1515</v>
      </c>
      <c r="H738" t="s">
        <v>1512</v>
      </c>
      <c r="I738" t="s">
        <v>1535</v>
      </c>
      <c r="J738" t="s">
        <v>1517</v>
      </c>
      <c r="K738" t="s">
        <v>1525</v>
      </c>
      <c r="L738" s="2">
        <v>1</v>
      </c>
      <c r="M738" s="10">
        <v>1155</v>
      </c>
      <c r="N738" s="7">
        <v>1155</v>
      </c>
    </row>
    <row r="739" spans="1:14" x14ac:dyDescent="0.3">
      <c r="A739">
        <v>1252</v>
      </c>
      <c r="B739" s="1">
        <v>45624</v>
      </c>
      <c r="C739">
        <v>2024</v>
      </c>
      <c r="D739">
        <v>11</v>
      </c>
      <c r="E739" t="str">
        <f t="shared" si="11"/>
        <v>November</v>
      </c>
      <c r="F739">
        <v>4</v>
      </c>
      <c r="G739" t="s">
        <v>1515</v>
      </c>
      <c r="H739" t="s">
        <v>1512</v>
      </c>
      <c r="I739" t="s">
        <v>1535</v>
      </c>
      <c r="J739" t="s">
        <v>1517</v>
      </c>
      <c r="K739" t="s">
        <v>1525</v>
      </c>
      <c r="L739" s="2">
        <v>1</v>
      </c>
      <c r="M739" s="10">
        <v>1155</v>
      </c>
      <c r="N739" s="7">
        <v>1155</v>
      </c>
    </row>
    <row r="740" spans="1:14" x14ac:dyDescent="0.3">
      <c r="A740">
        <v>1252</v>
      </c>
      <c r="B740" s="1">
        <v>45429</v>
      </c>
      <c r="C740">
        <v>2024</v>
      </c>
      <c r="D740">
        <v>5</v>
      </c>
      <c r="E740" t="str">
        <f t="shared" si="11"/>
        <v>Mei</v>
      </c>
      <c r="F740">
        <v>2</v>
      </c>
      <c r="G740" t="s">
        <v>1515</v>
      </c>
      <c r="H740" t="s">
        <v>1512</v>
      </c>
      <c r="I740" t="s">
        <v>1535</v>
      </c>
      <c r="J740" t="s">
        <v>1517</v>
      </c>
      <c r="K740" t="s">
        <v>1525</v>
      </c>
      <c r="L740" s="2">
        <v>1</v>
      </c>
      <c r="M740" s="10">
        <v>1155</v>
      </c>
      <c r="N740" s="7">
        <v>1155</v>
      </c>
    </row>
    <row r="741" spans="1:14" x14ac:dyDescent="0.3">
      <c r="A741">
        <v>1252</v>
      </c>
      <c r="B741" s="1">
        <v>45082</v>
      </c>
      <c r="C741">
        <v>2023</v>
      </c>
      <c r="D741">
        <v>6</v>
      </c>
      <c r="E741" t="str">
        <f t="shared" si="11"/>
        <v>Juni</v>
      </c>
      <c r="F741">
        <v>2</v>
      </c>
      <c r="G741" t="s">
        <v>1515</v>
      </c>
      <c r="H741" t="s">
        <v>1512</v>
      </c>
      <c r="I741" t="s">
        <v>1535</v>
      </c>
      <c r="J741" t="s">
        <v>1517</v>
      </c>
      <c r="K741" t="s">
        <v>1525</v>
      </c>
      <c r="L741" s="2">
        <v>1</v>
      </c>
      <c r="M741" s="10">
        <v>1155</v>
      </c>
      <c r="N741" s="7">
        <v>1155</v>
      </c>
    </row>
    <row r="742" spans="1:14" x14ac:dyDescent="0.3">
      <c r="A742">
        <v>1252</v>
      </c>
      <c r="B742" s="1">
        <v>44607</v>
      </c>
      <c r="C742">
        <v>2022</v>
      </c>
      <c r="D742">
        <v>2</v>
      </c>
      <c r="E742" t="str">
        <f t="shared" si="11"/>
        <v>Februari</v>
      </c>
      <c r="F742">
        <v>1</v>
      </c>
      <c r="G742" t="s">
        <v>1515</v>
      </c>
      <c r="H742" t="s">
        <v>1512</v>
      </c>
      <c r="I742" t="s">
        <v>1535</v>
      </c>
      <c r="J742" t="s">
        <v>1517</v>
      </c>
      <c r="K742" t="s">
        <v>1525</v>
      </c>
      <c r="L742" s="2">
        <v>1</v>
      </c>
      <c r="M742" s="10">
        <v>1155</v>
      </c>
      <c r="N742" s="7">
        <v>1155</v>
      </c>
    </row>
    <row r="743" spans="1:14" x14ac:dyDescent="0.3">
      <c r="A743">
        <v>1254</v>
      </c>
      <c r="B743" s="1">
        <v>45255</v>
      </c>
      <c r="C743">
        <v>2023</v>
      </c>
      <c r="D743">
        <v>11</v>
      </c>
      <c r="E743" t="str">
        <f t="shared" si="11"/>
        <v>November</v>
      </c>
      <c r="F743">
        <v>4</v>
      </c>
      <c r="G743" t="s">
        <v>1519</v>
      </c>
      <c r="H743" t="s">
        <v>1520</v>
      </c>
      <c r="I743" t="s">
        <v>1521</v>
      </c>
      <c r="J743" t="s">
        <v>1524</v>
      </c>
      <c r="K743" t="s">
        <v>1525</v>
      </c>
      <c r="L743" s="2">
        <v>2</v>
      </c>
      <c r="M743" s="10">
        <v>11560</v>
      </c>
      <c r="N743" s="7">
        <v>23120</v>
      </c>
    </row>
    <row r="744" spans="1:14" x14ac:dyDescent="0.3">
      <c r="A744">
        <v>1254</v>
      </c>
      <c r="B744" s="1">
        <v>44878</v>
      </c>
      <c r="C744">
        <v>2022</v>
      </c>
      <c r="D744">
        <v>11</v>
      </c>
      <c r="E744" t="str">
        <f t="shared" si="11"/>
        <v>November</v>
      </c>
      <c r="F744">
        <v>4</v>
      </c>
      <c r="G744" t="s">
        <v>1519</v>
      </c>
      <c r="H744" t="s">
        <v>1520</v>
      </c>
      <c r="I744" t="s">
        <v>1521</v>
      </c>
      <c r="J744" t="s">
        <v>1524</v>
      </c>
      <c r="K744" t="s">
        <v>1525</v>
      </c>
      <c r="L744" s="2">
        <v>2</v>
      </c>
      <c r="M744" s="10">
        <v>11560</v>
      </c>
      <c r="N744" s="7">
        <v>23120</v>
      </c>
    </row>
    <row r="745" spans="1:14" x14ac:dyDescent="0.3">
      <c r="A745">
        <v>1254</v>
      </c>
      <c r="B745" s="1">
        <v>44732</v>
      </c>
      <c r="C745">
        <v>2022</v>
      </c>
      <c r="D745">
        <v>6</v>
      </c>
      <c r="E745" t="str">
        <f t="shared" si="11"/>
        <v>Juni</v>
      </c>
      <c r="F745">
        <v>2</v>
      </c>
      <c r="G745" t="s">
        <v>1519</v>
      </c>
      <c r="H745" t="s">
        <v>1520</v>
      </c>
      <c r="I745" t="s">
        <v>1521</v>
      </c>
      <c r="J745" t="s">
        <v>1524</v>
      </c>
      <c r="K745" t="s">
        <v>1525</v>
      </c>
      <c r="L745" s="2">
        <v>2</v>
      </c>
      <c r="M745" s="10">
        <v>11560</v>
      </c>
      <c r="N745" s="7">
        <v>23120</v>
      </c>
    </row>
    <row r="746" spans="1:14" x14ac:dyDescent="0.3">
      <c r="A746">
        <v>1254</v>
      </c>
      <c r="B746" s="1">
        <v>44656</v>
      </c>
      <c r="C746">
        <v>2022</v>
      </c>
      <c r="D746">
        <v>4</v>
      </c>
      <c r="E746" t="str">
        <f t="shared" si="11"/>
        <v>April</v>
      </c>
      <c r="F746">
        <v>2</v>
      </c>
      <c r="G746" t="s">
        <v>1519</v>
      </c>
      <c r="H746" t="s">
        <v>1520</v>
      </c>
      <c r="I746" t="s">
        <v>1521</v>
      </c>
      <c r="J746" t="s">
        <v>1524</v>
      </c>
      <c r="K746" t="s">
        <v>1525</v>
      </c>
      <c r="L746" s="2">
        <v>2</v>
      </c>
      <c r="M746" s="10">
        <v>11560</v>
      </c>
      <c r="N746" s="7">
        <v>23120</v>
      </c>
    </row>
    <row r="747" spans="1:14" x14ac:dyDescent="0.3">
      <c r="A747">
        <v>1254</v>
      </c>
      <c r="B747" s="1">
        <v>44883</v>
      </c>
      <c r="C747">
        <v>2022</v>
      </c>
      <c r="D747">
        <v>11</v>
      </c>
      <c r="E747" t="str">
        <f t="shared" si="11"/>
        <v>November</v>
      </c>
      <c r="F747">
        <v>4</v>
      </c>
      <c r="G747" t="s">
        <v>1519</v>
      </c>
      <c r="H747" t="s">
        <v>1520</v>
      </c>
      <c r="I747" t="s">
        <v>1521</v>
      </c>
      <c r="J747" t="s">
        <v>1524</v>
      </c>
      <c r="K747" t="s">
        <v>1525</v>
      </c>
      <c r="L747" s="2">
        <v>2</v>
      </c>
      <c r="M747" s="10">
        <v>11560</v>
      </c>
      <c r="N747" s="7">
        <v>23120</v>
      </c>
    </row>
    <row r="748" spans="1:14" x14ac:dyDescent="0.3">
      <c r="A748">
        <v>1255</v>
      </c>
      <c r="B748" s="1">
        <v>45355</v>
      </c>
      <c r="C748">
        <v>2024</v>
      </c>
      <c r="D748">
        <v>3</v>
      </c>
      <c r="E748" t="str">
        <f t="shared" si="11"/>
        <v>Maret</v>
      </c>
      <c r="F748">
        <v>1</v>
      </c>
      <c r="G748" t="s">
        <v>1522</v>
      </c>
      <c r="H748" t="s">
        <v>1520</v>
      </c>
      <c r="I748" t="s">
        <v>1521</v>
      </c>
      <c r="J748" t="s">
        <v>1517</v>
      </c>
      <c r="K748" t="s">
        <v>1518</v>
      </c>
      <c r="L748" s="2">
        <v>3</v>
      </c>
      <c r="M748" s="10">
        <v>457</v>
      </c>
      <c r="N748" s="7">
        <v>1371</v>
      </c>
    </row>
    <row r="749" spans="1:14" x14ac:dyDescent="0.3">
      <c r="A749">
        <v>1255</v>
      </c>
      <c r="B749" s="1">
        <v>45133</v>
      </c>
      <c r="C749">
        <v>2023</v>
      </c>
      <c r="D749">
        <v>7</v>
      </c>
      <c r="E749" t="str">
        <f t="shared" si="11"/>
        <v>Juli</v>
      </c>
      <c r="F749">
        <v>3</v>
      </c>
      <c r="G749" t="s">
        <v>1522</v>
      </c>
      <c r="H749" t="s">
        <v>1520</v>
      </c>
      <c r="I749" t="s">
        <v>1521</v>
      </c>
      <c r="J749" t="s">
        <v>1517</v>
      </c>
      <c r="K749" t="s">
        <v>1518</v>
      </c>
      <c r="L749" s="2">
        <v>3</v>
      </c>
      <c r="M749" s="10">
        <v>457</v>
      </c>
      <c r="N749" s="7">
        <v>1371</v>
      </c>
    </row>
    <row r="750" spans="1:14" x14ac:dyDescent="0.3">
      <c r="A750">
        <v>1255</v>
      </c>
      <c r="B750" s="1">
        <v>45317</v>
      </c>
      <c r="C750">
        <v>2024</v>
      </c>
      <c r="D750">
        <v>1</v>
      </c>
      <c r="E750" t="str">
        <f t="shared" si="11"/>
        <v>Januari</v>
      </c>
      <c r="F750">
        <v>1</v>
      </c>
      <c r="G750" t="s">
        <v>1522</v>
      </c>
      <c r="H750" t="s">
        <v>1520</v>
      </c>
      <c r="I750" t="s">
        <v>1521</v>
      </c>
      <c r="J750" t="s">
        <v>1517</v>
      </c>
      <c r="K750" t="s">
        <v>1518</v>
      </c>
      <c r="L750" s="2">
        <v>3</v>
      </c>
      <c r="M750" s="10">
        <v>457</v>
      </c>
      <c r="N750" s="7">
        <v>1371</v>
      </c>
    </row>
    <row r="751" spans="1:14" x14ac:dyDescent="0.3">
      <c r="A751">
        <v>1256</v>
      </c>
      <c r="B751" s="1">
        <v>45166</v>
      </c>
      <c r="C751">
        <v>2023</v>
      </c>
      <c r="D751">
        <v>8</v>
      </c>
      <c r="E751" t="str">
        <f t="shared" si="11"/>
        <v>Agustus</v>
      </c>
      <c r="F751">
        <v>3</v>
      </c>
      <c r="G751" t="s">
        <v>1523</v>
      </c>
      <c r="H751" t="s">
        <v>1512</v>
      </c>
      <c r="I751" t="s">
        <v>1535</v>
      </c>
      <c r="J751" t="s">
        <v>1517</v>
      </c>
      <c r="K751" t="s">
        <v>1514</v>
      </c>
      <c r="L751" s="2">
        <v>2</v>
      </c>
      <c r="M751" s="10">
        <v>22337</v>
      </c>
      <c r="N751" s="7">
        <v>44674</v>
      </c>
    </row>
    <row r="752" spans="1:14" x14ac:dyDescent="0.3">
      <c r="A752">
        <v>1256</v>
      </c>
      <c r="B752" s="1">
        <v>44853</v>
      </c>
      <c r="C752">
        <v>2022</v>
      </c>
      <c r="D752">
        <v>10</v>
      </c>
      <c r="E752" t="str">
        <f t="shared" si="11"/>
        <v>Oktober</v>
      </c>
      <c r="F752">
        <v>4</v>
      </c>
      <c r="G752" t="s">
        <v>1523</v>
      </c>
      <c r="H752" t="s">
        <v>1512</v>
      </c>
      <c r="I752" t="s">
        <v>1535</v>
      </c>
      <c r="J752" t="s">
        <v>1517</v>
      </c>
      <c r="K752" t="s">
        <v>1514</v>
      </c>
      <c r="L752" s="2">
        <v>2</v>
      </c>
      <c r="M752" s="10">
        <v>22337</v>
      </c>
      <c r="N752" s="7">
        <v>44674</v>
      </c>
    </row>
    <row r="753" spans="1:14" x14ac:dyDescent="0.3">
      <c r="A753">
        <v>1256</v>
      </c>
      <c r="B753" s="1">
        <v>45405</v>
      </c>
      <c r="C753">
        <v>2024</v>
      </c>
      <c r="D753">
        <v>4</v>
      </c>
      <c r="E753" t="str">
        <f t="shared" si="11"/>
        <v>April</v>
      </c>
      <c r="F753">
        <v>2</v>
      </c>
      <c r="G753" t="s">
        <v>1523</v>
      </c>
      <c r="H753" t="s">
        <v>1512</v>
      </c>
      <c r="I753" t="s">
        <v>1535</v>
      </c>
      <c r="J753" t="s">
        <v>1517</v>
      </c>
      <c r="K753" t="s">
        <v>1514</v>
      </c>
      <c r="L753" s="2">
        <v>2</v>
      </c>
      <c r="M753" s="10">
        <v>22337</v>
      </c>
      <c r="N753" s="7">
        <v>44674</v>
      </c>
    </row>
    <row r="754" spans="1:14" x14ac:dyDescent="0.3">
      <c r="A754">
        <v>1257</v>
      </c>
      <c r="B754" s="1">
        <v>45188</v>
      </c>
      <c r="C754">
        <v>2023</v>
      </c>
      <c r="D754">
        <v>9</v>
      </c>
      <c r="E754" t="str">
        <f t="shared" si="11"/>
        <v>September</v>
      </c>
      <c r="F754">
        <v>3</v>
      </c>
      <c r="G754" t="s">
        <v>1526</v>
      </c>
      <c r="H754" t="s">
        <v>1527</v>
      </c>
      <c r="I754" t="s">
        <v>1535</v>
      </c>
      <c r="J754" t="s">
        <v>1524</v>
      </c>
      <c r="K754" t="s">
        <v>1525</v>
      </c>
      <c r="L754" s="2">
        <v>5</v>
      </c>
      <c r="M754" s="10">
        <v>379</v>
      </c>
      <c r="N754" s="7">
        <v>1895</v>
      </c>
    </row>
    <row r="755" spans="1:14" x14ac:dyDescent="0.3">
      <c r="A755">
        <v>1257</v>
      </c>
      <c r="B755" s="1">
        <v>44787</v>
      </c>
      <c r="C755">
        <v>2022</v>
      </c>
      <c r="D755">
        <v>8</v>
      </c>
      <c r="E755" t="str">
        <f t="shared" si="11"/>
        <v>Agustus</v>
      </c>
      <c r="F755">
        <v>3</v>
      </c>
      <c r="G755" t="s">
        <v>1526</v>
      </c>
      <c r="H755" t="s">
        <v>1527</v>
      </c>
      <c r="I755" t="s">
        <v>1535</v>
      </c>
      <c r="J755" t="s">
        <v>1524</v>
      </c>
      <c r="K755" t="s">
        <v>1525</v>
      </c>
      <c r="L755" s="2">
        <v>5</v>
      </c>
      <c r="M755" s="10">
        <v>379</v>
      </c>
      <c r="N755" s="7">
        <v>1895</v>
      </c>
    </row>
    <row r="756" spans="1:14" x14ac:dyDescent="0.3">
      <c r="A756">
        <v>1257</v>
      </c>
      <c r="B756" s="1">
        <v>45007</v>
      </c>
      <c r="C756">
        <v>2023</v>
      </c>
      <c r="D756">
        <v>3</v>
      </c>
      <c r="E756" t="str">
        <f t="shared" si="11"/>
        <v>Maret</v>
      </c>
      <c r="F756">
        <v>1</v>
      </c>
      <c r="G756" t="s">
        <v>1526</v>
      </c>
      <c r="H756" t="s">
        <v>1527</v>
      </c>
      <c r="I756" t="s">
        <v>1535</v>
      </c>
      <c r="J756" t="s">
        <v>1524</v>
      </c>
      <c r="K756" t="s">
        <v>1525</v>
      </c>
      <c r="L756" s="2">
        <v>5</v>
      </c>
      <c r="M756" s="10">
        <v>379</v>
      </c>
      <c r="N756" s="7">
        <v>1895</v>
      </c>
    </row>
    <row r="757" spans="1:14" x14ac:dyDescent="0.3">
      <c r="A757">
        <v>1259</v>
      </c>
      <c r="B757" s="1">
        <v>44822</v>
      </c>
      <c r="C757">
        <v>2022</v>
      </c>
      <c r="D757">
        <v>9</v>
      </c>
      <c r="E757" t="str">
        <f t="shared" si="11"/>
        <v>September</v>
      </c>
      <c r="F757">
        <v>3</v>
      </c>
      <c r="G757" t="s">
        <v>1532</v>
      </c>
      <c r="H757" t="s">
        <v>1512</v>
      </c>
      <c r="I757" t="s">
        <v>1528</v>
      </c>
      <c r="J757" t="s">
        <v>1517</v>
      </c>
      <c r="K757" t="s">
        <v>1518</v>
      </c>
      <c r="L757" s="2">
        <v>2</v>
      </c>
      <c r="M757" s="10">
        <v>13263</v>
      </c>
      <c r="N757" s="7">
        <v>26526</v>
      </c>
    </row>
    <row r="758" spans="1:14" x14ac:dyDescent="0.3">
      <c r="A758">
        <v>1259</v>
      </c>
      <c r="B758" s="1">
        <v>44995</v>
      </c>
      <c r="C758">
        <v>2023</v>
      </c>
      <c r="D758">
        <v>3</v>
      </c>
      <c r="E758" t="str">
        <f t="shared" si="11"/>
        <v>Maret</v>
      </c>
      <c r="F758">
        <v>1</v>
      </c>
      <c r="G758" t="s">
        <v>1532</v>
      </c>
      <c r="H758" t="s">
        <v>1512</v>
      </c>
      <c r="I758" t="s">
        <v>1528</v>
      </c>
      <c r="J758" t="s">
        <v>1517</v>
      </c>
      <c r="K758" t="s">
        <v>1518</v>
      </c>
      <c r="L758" s="2">
        <v>2</v>
      </c>
      <c r="M758" s="10">
        <v>13263</v>
      </c>
      <c r="N758" s="7">
        <v>26526</v>
      </c>
    </row>
    <row r="759" spans="1:14" x14ac:dyDescent="0.3">
      <c r="A759">
        <v>1260</v>
      </c>
      <c r="B759" s="1">
        <v>44693</v>
      </c>
      <c r="C759">
        <v>2022</v>
      </c>
      <c r="D759">
        <v>5</v>
      </c>
      <c r="E759" t="str">
        <f t="shared" si="11"/>
        <v>Mei</v>
      </c>
      <c r="F759">
        <v>2</v>
      </c>
      <c r="G759" t="s">
        <v>1533</v>
      </c>
      <c r="H759" t="s">
        <v>1520</v>
      </c>
      <c r="I759" t="s">
        <v>1521</v>
      </c>
      <c r="J759" t="s">
        <v>1566</v>
      </c>
      <c r="K759" t="s">
        <v>1518</v>
      </c>
      <c r="L759" s="2">
        <v>4</v>
      </c>
      <c r="M759" s="10">
        <v>503</v>
      </c>
      <c r="N759" s="7">
        <v>2012</v>
      </c>
    </row>
    <row r="760" spans="1:14" x14ac:dyDescent="0.3">
      <c r="A760">
        <v>1260</v>
      </c>
      <c r="B760" s="1">
        <v>45282</v>
      </c>
      <c r="C760">
        <v>2023</v>
      </c>
      <c r="D760">
        <v>12</v>
      </c>
      <c r="E760" t="str">
        <f t="shared" si="11"/>
        <v>Desember</v>
      </c>
      <c r="F760">
        <v>4</v>
      </c>
      <c r="G760" t="s">
        <v>1533</v>
      </c>
      <c r="H760" t="s">
        <v>1520</v>
      </c>
      <c r="I760" t="s">
        <v>1521</v>
      </c>
      <c r="J760" t="s">
        <v>1566</v>
      </c>
      <c r="K760" t="s">
        <v>1518</v>
      </c>
      <c r="L760" s="2">
        <v>4</v>
      </c>
      <c r="M760" s="10">
        <v>503</v>
      </c>
      <c r="N760" s="7">
        <v>2012</v>
      </c>
    </row>
    <row r="761" spans="1:14" x14ac:dyDescent="0.3">
      <c r="A761">
        <v>1260</v>
      </c>
      <c r="B761" s="1">
        <v>45035</v>
      </c>
      <c r="C761">
        <v>2023</v>
      </c>
      <c r="D761">
        <v>4</v>
      </c>
      <c r="E761" t="str">
        <f t="shared" si="11"/>
        <v>April</v>
      </c>
      <c r="F761">
        <v>2</v>
      </c>
      <c r="G761" t="s">
        <v>1533</v>
      </c>
      <c r="H761" t="s">
        <v>1520</v>
      </c>
      <c r="I761" t="s">
        <v>1521</v>
      </c>
      <c r="J761" t="s">
        <v>1566</v>
      </c>
      <c r="K761" t="s">
        <v>1518</v>
      </c>
      <c r="L761" s="2">
        <v>4</v>
      </c>
      <c r="M761" s="10">
        <v>503</v>
      </c>
      <c r="N761" s="7">
        <v>2012</v>
      </c>
    </row>
    <row r="762" spans="1:14" x14ac:dyDescent="0.3">
      <c r="A762">
        <v>1260</v>
      </c>
      <c r="B762" s="1">
        <v>44865</v>
      </c>
      <c r="C762">
        <v>2022</v>
      </c>
      <c r="D762">
        <v>10</v>
      </c>
      <c r="E762" t="str">
        <f t="shared" si="11"/>
        <v>Oktober</v>
      </c>
      <c r="F762">
        <v>4</v>
      </c>
      <c r="G762" t="s">
        <v>1533</v>
      </c>
      <c r="H762" t="s">
        <v>1520</v>
      </c>
      <c r="I762" t="s">
        <v>1521</v>
      </c>
      <c r="J762" t="s">
        <v>1566</v>
      </c>
      <c r="K762" t="s">
        <v>1518</v>
      </c>
      <c r="L762" s="2">
        <v>4</v>
      </c>
      <c r="M762" s="10">
        <v>503</v>
      </c>
      <c r="N762" s="7">
        <v>2012</v>
      </c>
    </row>
    <row r="763" spans="1:14" x14ac:dyDescent="0.3">
      <c r="A763">
        <v>1261</v>
      </c>
      <c r="B763" s="1">
        <v>45463</v>
      </c>
      <c r="C763">
        <v>2024</v>
      </c>
      <c r="D763">
        <v>6</v>
      </c>
      <c r="E763" t="str">
        <f t="shared" si="11"/>
        <v>Juni</v>
      </c>
      <c r="F763">
        <v>2</v>
      </c>
      <c r="G763" t="s">
        <v>1511</v>
      </c>
      <c r="H763" t="s">
        <v>1512</v>
      </c>
      <c r="I763" t="s">
        <v>1513</v>
      </c>
      <c r="J763" t="s">
        <v>1566</v>
      </c>
      <c r="K763" t="s">
        <v>1514</v>
      </c>
      <c r="L763" s="2">
        <v>1</v>
      </c>
      <c r="M763" s="10">
        <v>53499</v>
      </c>
      <c r="N763" s="7">
        <v>53499</v>
      </c>
    </row>
    <row r="764" spans="1:14" x14ac:dyDescent="0.3">
      <c r="A764">
        <v>1261</v>
      </c>
      <c r="B764" s="1">
        <v>45446</v>
      </c>
      <c r="C764">
        <v>2024</v>
      </c>
      <c r="D764">
        <v>6</v>
      </c>
      <c r="E764" t="str">
        <f t="shared" si="11"/>
        <v>Juni</v>
      </c>
      <c r="F764">
        <v>2</v>
      </c>
      <c r="G764" t="s">
        <v>1511</v>
      </c>
      <c r="H764" t="s">
        <v>1512</v>
      </c>
      <c r="I764" t="s">
        <v>1513</v>
      </c>
      <c r="J764" t="s">
        <v>1566</v>
      </c>
      <c r="K764" t="s">
        <v>1514</v>
      </c>
      <c r="L764" s="2">
        <v>1</v>
      </c>
      <c r="M764" s="10">
        <v>53499</v>
      </c>
      <c r="N764" s="7">
        <v>53499</v>
      </c>
    </row>
    <row r="765" spans="1:14" x14ac:dyDescent="0.3">
      <c r="A765">
        <v>1261</v>
      </c>
      <c r="B765" s="1">
        <v>45081</v>
      </c>
      <c r="C765">
        <v>2023</v>
      </c>
      <c r="D765">
        <v>6</v>
      </c>
      <c r="E765" t="str">
        <f t="shared" si="11"/>
        <v>Juni</v>
      </c>
      <c r="F765">
        <v>2</v>
      </c>
      <c r="G765" t="s">
        <v>1511</v>
      </c>
      <c r="H765" t="s">
        <v>1512</v>
      </c>
      <c r="I765" t="s">
        <v>1513</v>
      </c>
      <c r="J765" t="s">
        <v>1566</v>
      </c>
      <c r="K765" t="s">
        <v>1514</v>
      </c>
      <c r="L765" s="2">
        <v>1</v>
      </c>
      <c r="M765" s="10">
        <v>53499</v>
      </c>
      <c r="N765" s="7">
        <v>53499</v>
      </c>
    </row>
    <row r="766" spans="1:14" x14ac:dyDescent="0.3">
      <c r="A766">
        <v>1261</v>
      </c>
      <c r="B766" s="1">
        <v>44655</v>
      </c>
      <c r="C766">
        <v>2022</v>
      </c>
      <c r="D766">
        <v>4</v>
      </c>
      <c r="E766" t="str">
        <f t="shared" si="11"/>
        <v>April</v>
      </c>
      <c r="F766">
        <v>2</v>
      </c>
      <c r="G766" t="s">
        <v>1511</v>
      </c>
      <c r="H766" t="s">
        <v>1512</v>
      </c>
      <c r="I766" t="s">
        <v>1513</v>
      </c>
      <c r="J766" t="s">
        <v>1566</v>
      </c>
      <c r="K766" t="s">
        <v>1514</v>
      </c>
      <c r="L766" s="2">
        <v>1</v>
      </c>
      <c r="M766" s="10">
        <v>53499</v>
      </c>
      <c r="N766" s="7">
        <v>53499</v>
      </c>
    </row>
    <row r="767" spans="1:14" x14ac:dyDescent="0.3">
      <c r="A767">
        <v>1261</v>
      </c>
      <c r="B767" s="1">
        <v>45106</v>
      </c>
      <c r="C767">
        <v>2023</v>
      </c>
      <c r="D767">
        <v>6</v>
      </c>
      <c r="E767" t="str">
        <f t="shared" si="11"/>
        <v>Juni</v>
      </c>
      <c r="F767">
        <v>2</v>
      </c>
      <c r="G767" t="s">
        <v>1511</v>
      </c>
      <c r="H767" t="s">
        <v>1512</v>
      </c>
      <c r="I767" t="s">
        <v>1513</v>
      </c>
      <c r="J767" t="s">
        <v>1566</v>
      </c>
      <c r="K767" t="s">
        <v>1514</v>
      </c>
      <c r="L767" s="2">
        <v>1</v>
      </c>
      <c r="M767" s="10">
        <v>53499</v>
      </c>
      <c r="N767" s="7">
        <v>53499</v>
      </c>
    </row>
    <row r="768" spans="1:14" x14ac:dyDescent="0.3">
      <c r="A768">
        <v>1262</v>
      </c>
      <c r="B768" s="1">
        <v>44856</v>
      </c>
      <c r="C768">
        <v>2022</v>
      </c>
      <c r="D768">
        <v>10</v>
      </c>
      <c r="E768" t="str">
        <f t="shared" si="11"/>
        <v>Oktober</v>
      </c>
      <c r="F768">
        <v>4</v>
      </c>
      <c r="G768" t="s">
        <v>1515</v>
      </c>
      <c r="H768" t="s">
        <v>1512</v>
      </c>
      <c r="I768" t="s">
        <v>1531</v>
      </c>
      <c r="J768" t="s">
        <v>1566</v>
      </c>
      <c r="K768" t="s">
        <v>1518</v>
      </c>
      <c r="L768" s="2">
        <v>1</v>
      </c>
      <c r="M768" s="10">
        <v>3910</v>
      </c>
      <c r="N768" s="7">
        <v>3910</v>
      </c>
    </row>
    <row r="769" spans="1:14" x14ac:dyDescent="0.3">
      <c r="A769">
        <v>1262</v>
      </c>
      <c r="B769" s="1">
        <v>45331</v>
      </c>
      <c r="C769">
        <v>2024</v>
      </c>
      <c r="D769">
        <v>2</v>
      </c>
      <c r="E769" t="str">
        <f t="shared" si="11"/>
        <v>Februari</v>
      </c>
      <c r="F769">
        <v>1</v>
      </c>
      <c r="G769" t="s">
        <v>1515</v>
      </c>
      <c r="H769" t="s">
        <v>1512</v>
      </c>
      <c r="I769" t="s">
        <v>1531</v>
      </c>
      <c r="J769" t="s">
        <v>1566</v>
      </c>
      <c r="K769" t="s">
        <v>1518</v>
      </c>
      <c r="L769" s="2">
        <v>1</v>
      </c>
      <c r="M769" s="10">
        <v>3910</v>
      </c>
      <c r="N769" s="7">
        <v>3910</v>
      </c>
    </row>
    <row r="770" spans="1:14" x14ac:dyDescent="0.3">
      <c r="A770">
        <v>1262</v>
      </c>
      <c r="B770" s="1">
        <v>44773</v>
      </c>
      <c r="C770">
        <v>2022</v>
      </c>
      <c r="D770">
        <v>7</v>
      </c>
      <c r="E770" t="str">
        <f t="shared" si="11"/>
        <v>Juli</v>
      </c>
      <c r="F770">
        <v>3</v>
      </c>
      <c r="G770" t="s">
        <v>1515</v>
      </c>
      <c r="H770" t="s">
        <v>1512</v>
      </c>
      <c r="I770" t="s">
        <v>1531</v>
      </c>
      <c r="J770" t="s">
        <v>1566</v>
      </c>
      <c r="K770" t="s">
        <v>1518</v>
      </c>
      <c r="L770" s="2">
        <v>1</v>
      </c>
      <c r="M770" s="10">
        <v>3910</v>
      </c>
      <c r="N770" s="7">
        <v>3910</v>
      </c>
    </row>
    <row r="771" spans="1:14" x14ac:dyDescent="0.3">
      <c r="A771">
        <v>1262</v>
      </c>
      <c r="B771" s="1">
        <v>45275</v>
      </c>
      <c r="C771">
        <v>2023</v>
      </c>
      <c r="D771">
        <v>12</v>
      </c>
      <c r="E771" t="str">
        <f t="shared" ref="E771:E834" si="12">TEXT(DATE(2026, D771, 1), "[$-id-ID]mmmm")</f>
        <v>Desember</v>
      </c>
      <c r="F771">
        <v>4</v>
      </c>
      <c r="G771" t="s">
        <v>1515</v>
      </c>
      <c r="H771" t="s">
        <v>1512</v>
      </c>
      <c r="I771" t="s">
        <v>1531</v>
      </c>
      <c r="J771" t="s">
        <v>1566</v>
      </c>
      <c r="K771" t="s">
        <v>1518</v>
      </c>
      <c r="L771" s="2">
        <v>1</v>
      </c>
      <c r="M771" s="10">
        <v>3910</v>
      </c>
      <c r="N771" s="7">
        <v>3910</v>
      </c>
    </row>
    <row r="772" spans="1:14" x14ac:dyDescent="0.3">
      <c r="A772">
        <v>1262</v>
      </c>
      <c r="B772" s="1">
        <v>44879</v>
      </c>
      <c r="C772">
        <v>2022</v>
      </c>
      <c r="D772">
        <v>11</v>
      </c>
      <c r="E772" t="str">
        <f t="shared" si="12"/>
        <v>November</v>
      </c>
      <c r="F772">
        <v>4</v>
      </c>
      <c r="G772" t="s">
        <v>1515</v>
      </c>
      <c r="H772" t="s">
        <v>1512</v>
      </c>
      <c r="I772" t="s">
        <v>1531</v>
      </c>
      <c r="J772" t="s">
        <v>1566</v>
      </c>
      <c r="K772" t="s">
        <v>1518</v>
      </c>
      <c r="L772" s="2">
        <v>1</v>
      </c>
      <c r="M772" s="10">
        <v>3910</v>
      </c>
      <c r="N772" s="7">
        <v>3910</v>
      </c>
    </row>
    <row r="773" spans="1:14" x14ac:dyDescent="0.3">
      <c r="A773">
        <v>1263</v>
      </c>
      <c r="B773" s="1">
        <v>44565</v>
      </c>
      <c r="C773">
        <v>2022</v>
      </c>
      <c r="D773">
        <v>1</v>
      </c>
      <c r="E773" t="str">
        <f t="shared" si="12"/>
        <v>Januari</v>
      </c>
      <c r="F773">
        <v>1</v>
      </c>
      <c r="G773" t="s">
        <v>1534</v>
      </c>
      <c r="H773" t="s">
        <v>1530</v>
      </c>
      <c r="I773" t="s">
        <v>1528</v>
      </c>
      <c r="J773" t="s">
        <v>1524</v>
      </c>
      <c r="K773" t="s">
        <v>1514</v>
      </c>
      <c r="L773" s="2">
        <v>1</v>
      </c>
      <c r="M773" s="10">
        <v>3590</v>
      </c>
      <c r="N773" s="7">
        <v>3590</v>
      </c>
    </row>
    <row r="774" spans="1:14" x14ac:dyDescent="0.3">
      <c r="A774">
        <v>1263</v>
      </c>
      <c r="B774" s="1">
        <v>45479</v>
      </c>
      <c r="C774">
        <v>2024</v>
      </c>
      <c r="D774">
        <v>7</v>
      </c>
      <c r="E774" t="str">
        <f t="shared" si="12"/>
        <v>Juli</v>
      </c>
      <c r="F774">
        <v>3</v>
      </c>
      <c r="G774" t="s">
        <v>1534</v>
      </c>
      <c r="H774" t="s">
        <v>1530</v>
      </c>
      <c r="I774" t="s">
        <v>1528</v>
      </c>
      <c r="J774" t="s">
        <v>1524</v>
      </c>
      <c r="K774" t="s">
        <v>1514</v>
      </c>
      <c r="L774" s="2">
        <v>1</v>
      </c>
      <c r="M774" s="10">
        <v>3590</v>
      </c>
      <c r="N774" s="7">
        <v>3590</v>
      </c>
    </row>
    <row r="775" spans="1:14" x14ac:dyDescent="0.3">
      <c r="A775">
        <v>1263</v>
      </c>
      <c r="B775" s="1">
        <v>44936</v>
      </c>
      <c r="C775">
        <v>2023</v>
      </c>
      <c r="D775">
        <v>1</v>
      </c>
      <c r="E775" t="str">
        <f t="shared" si="12"/>
        <v>Januari</v>
      </c>
      <c r="F775">
        <v>1</v>
      </c>
      <c r="G775" t="s">
        <v>1534</v>
      </c>
      <c r="H775" t="s">
        <v>1530</v>
      </c>
      <c r="I775" t="s">
        <v>1528</v>
      </c>
      <c r="J775" t="s">
        <v>1524</v>
      </c>
      <c r="K775" t="s">
        <v>1514</v>
      </c>
      <c r="L775" s="2">
        <v>1</v>
      </c>
      <c r="M775" s="10">
        <v>3590</v>
      </c>
      <c r="N775" s="7">
        <v>3590</v>
      </c>
    </row>
    <row r="776" spans="1:14" x14ac:dyDescent="0.3">
      <c r="A776">
        <v>1263</v>
      </c>
      <c r="B776" s="1">
        <v>45348</v>
      </c>
      <c r="C776">
        <v>2024</v>
      </c>
      <c r="D776">
        <v>2</v>
      </c>
      <c r="E776" t="str">
        <f t="shared" si="12"/>
        <v>Februari</v>
      </c>
      <c r="F776">
        <v>1</v>
      </c>
      <c r="G776" t="s">
        <v>1534</v>
      </c>
      <c r="H776" t="s">
        <v>1530</v>
      </c>
      <c r="I776" t="s">
        <v>1528</v>
      </c>
      <c r="J776" t="s">
        <v>1524</v>
      </c>
      <c r="K776" t="s">
        <v>1514</v>
      </c>
      <c r="L776" s="2">
        <v>1</v>
      </c>
      <c r="M776" s="10">
        <v>3590</v>
      </c>
      <c r="N776" s="7">
        <v>3590</v>
      </c>
    </row>
    <row r="777" spans="1:14" x14ac:dyDescent="0.3">
      <c r="A777">
        <v>1264</v>
      </c>
      <c r="B777" s="1">
        <v>45575</v>
      </c>
      <c r="C777">
        <v>2024</v>
      </c>
      <c r="D777">
        <v>10</v>
      </c>
      <c r="E777" t="str">
        <f t="shared" si="12"/>
        <v>Oktober</v>
      </c>
      <c r="F777">
        <v>4</v>
      </c>
      <c r="G777" t="s">
        <v>1519</v>
      </c>
      <c r="H777" t="s">
        <v>1520</v>
      </c>
      <c r="I777" t="s">
        <v>1531</v>
      </c>
      <c r="J777" t="s">
        <v>1524</v>
      </c>
      <c r="K777" t="s">
        <v>1518</v>
      </c>
      <c r="L777" s="2">
        <v>5</v>
      </c>
      <c r="M777" s="10">
        <v>4354</v>
      </c>
      <c r="N777" s="7">
        <v>21770</v>
      </c>
    </row>
    <row r="778" spans="1:14" x14ac:dyDescent="0.3">
      <c r="A778">
        <v>1264</v>
      </c>
      <c r="B778" s="1">
        <v>44669</v>
      </c>
      <c r="C778">
        <v>2022</v>
      </c>
      <c r="D778">
        <v>4</v>
      </c>
      <c r="E778" t="str">
        <f t="shared" si="12"/>
        <v>April</v>
      </c>
      <c r="F778">
        <v>2</v>
      </c>
      <c r="G778" t="s">
        <v>1519</v>
      </c>
      <c r="H778" t="s">
        <v>1520</v>
      </c>
      <c r="I778" t="s">
        <v>1531</v>
      </c>
      <c r="J778" t="s">
        <v>1524</v>
      </c>
      <c r="K778" t="s">
        <v>1518</v>
      </c>
      <c r="L778" s="2">
        <v>5</v>
      </c>
      <c r="M778" s="10">
        <v>4354</v>
      </c>
      <c r="N778" s="7">
        <v>21770</v>
      </c>
    </row>
    <row r="779" spans="1:14" x14ac:dyDescent="0.3">
      <c r="A779">
        <v>1264</v>
      </c>
      <c r="B779" s="1">
        <v>45529</v>
      </c>
      <c r="C779">
        <v>2024</v>
      </c>
      <c r="D779">
        <v>8</v>
      </c>
      <c r="E779" t="str">
        <f t="shared" si="12"/>
        <v>Agustus</v>
      </c>
      <c r="F779">
        <v>3</v>
      </c>
      <c r="G779" t="s">
        <v>1519</v>
      </c>
      <c r="H779" t="s">
        <v>1520</v>
      </c>
      <c r="I779" t="s">
        <v>1531</v>
      </c>
      <c r="J779" t="s">
        <v>1524</v>
      </c>
      <c r="K779" t="s">
        <v>1518</v>
      </c>
      <c r="L779" s="2">
        <v>5</v>
      </c>
      <c r="M779" s="10">
        <v>4354</v>
      </c>
      <c r="N779" s="7">
        <v>21770</v>
      </c>
    </row>
    <row r="780" spans="1:14" x14ac:dyDescent="0.3">
      <c r="A780">
        <v>1265</v>
      </c>
      <c r="B780" s="1">
        <v>44869</v>
      </c>
      <c r="C780">
        <v>2022</v>
      </c>
      <c r="D780">
        <v>11</v>
      </c>
      <c r="E780" t="str">
        <f t="shared" si="12"/>
        <v>November</v>
      </c>
      <c r="F780">
        <v>4</v>
      </c>
      <c r="G780" t="s">
        <v>1522</v>
      </c>
      <c r="H780" t="s">
        <v>1520</v>
      </c>
      <c r="I780" t="s">
        <v>1513</v>
      </c>
      <c r="J780" t="s">
        <v>1566</v>
      </c>
      <c r="K780" t="s">
        <v>1514</v>
      </c>
      <c r="L780" s="2">
        <v>1</v>
      </c>
      <c r="M780" s="10">
        <v>878</v>
      </c>
      <c r="N780" s="7">
        <v>878</v>
      </c>
    </row>
    <row r="781" spans="1:14" x14ac:dyDescent="0.3">
      <c r="A781">
        <v>1265</v>
      </c>
      <c r="B781" s="1">
        <v>44783</v>
      </c>
      <c r="C781">
        <v>2022</v>
      </c>
      <c r="D781">
        <v>8</v>
      </c>
      <c r="E781" t="str">
        <f t="shared" si="12"/>
        <v>Agustus</v>
      </c>
      <c r="F781">
        <v>3</v>
      </c>
      <c r="G781" t="s">
        <v>1522</v>
      </c>
      <c r="H781" t="s">
        <v>1520</v>
      </c>
      <c r="I781" t="s">
        <v>1513</v>
      </c>
      <c r="J781" t="s">
        <v>1566</v>
      </c>
      <c r="K781" t="s">
        <v>1514</v>
      </c>
      <c r="L781" s="2">
        <v>1</v>
      </c>
      <c r="M781" s="10">
        <v>878</v>
      </c>
      <c r="N781" s="7">
        <v>878</v>
      </c>
    </row>
    <row r="782" spans="1:14" x14ac:dyDescent="0.3">
      <c r="A782">
        <v>1265</v>
      </c>
      <c r="B782" s="1">
        <v>44631</v>
      </c>
      <c r="C782">
        <v>2022</v>
      </c>
      <c r="D782">
        <v>3</v>
      </c>
      <c r="E782" t="str">
        <f t="shared" si="12"/>
        <v>Maret</v>
      </c>
      <c r="F782">
        <v>1</v>
      </c>
      <c r="G782" t="s">
        <v>1522</v>
      </c>
      <c r="H782" t="s">
        <v>1520</v>
      </c>
      <c r="I782" t="s">
        <v>1513</v>
      </c>
      <c r="J782" t="s">
        <v>1566</v>
      </c>
      <c r="K782" t="s">
        <v>1514</v>
      </c>
      <c r="L782" s="2">
        <v>1</v>
      </c>
      <c r="M782" s="10">
        <v>878</v>
      </c>
      <c r="N782" s="7">
        <v>878</v>
      </c>
    </row>
    <row r="783" spans="1:14" x14ac:dyDescent="0.3">
      <c r="A783">
        <v>1265</v>
      </c>
      <c r="B783" s="1">
        <v>45644</v>
      </c>
      <c r="C783">
        <v>2024</v>
      </c>
      <c r="D783">
        <v>12</v>
      </c>
      <c r="E783" t="str">
        <f t="shared" si="12"/>
        <v>Desember</v>
      </c>
      <c r="F783">
        <v>4</v>
      </c>
      <c r="G783" t="s">
        <v>1522</v>
      </c>
      <c r="H783" t="s">
        <v>1520</v>
      </c>
      <c r="I783" t="s">
        <v>1513</v>
      </c>
      <c r="J783" t="s">
        <v>1566</v>
      </c>
      <c r="K783" t="s">
        <v>1514</v>
      </c>
      <c r="L783" s="2">
        <v>1</v>
      </c>
      <c r="M783" s="10">
        <v>878</v>
      </c>
      <c r="N783" s="7">
        <v>878</v>
      </c>
    </row>
    <row r="784" spans="1:14" x14ac:dyDescent="0.3">
      <c r="A784">
        <v>1266</v>
      </c>
      <c r="B784" s="1">
        <v>45577</v>
      </c>
      <c r="C784">
        <v>2024</v>
      </c>
      <c r="D784">
        <v>10</v>
      </c>
      <c r="E784" t="str">
        <f t="shared" si="12"/>
        <v>Oktober</v>
      </c>
      <c r="F784">
        <v>4</v>
      </c>
      <c r="G784" t="s">
        <v>1523</v>
      </c>
      <c r="H784" t="s">
        <v>1512</v>
      </c>
      <c r="I784" t="s">
        <v>1535</v>
      </c>
      <c r="J784" t="s">
        <v>1524</v>
      </c>
      <c r="K784" t="s">
        <v>1525</v>
      </c>
      <c r="L784" s="2">
        <v>1</v>
      </c>
      <c r="M784" s="10">
        <v>28657</v>
      </c>
      <c r="N784" s="7">
        <v>28657</v>
      </c>
    </row>
    <row r="785" spans="1:14" x14ac:dyDescent="0.3">
      <c r="A785">
        <v>1266</v>
      </c>
      <c r="B785" s="1">
        <v>44914</v>
      </c>
      <c r="C785">
        <v>2022</v>
      </c>
      <c r="D785">
        <v>12</v>
      </c>
      <c r="E785" t="str">
        <f t="shared" si="12"/>
        <v>Desember</v>
      </c>
      <c r="F785">
        <v>4</v>
      </c>
      <c r="G785" t="s">
        <v>1523</v>
      </c>
      <c r="H785" t="s">
        <v>1512</v>
      </c>
      <c r="I785" t="s">
        <v>1535</v>
      </c>
      <c r="J785" t="s">
        <v>1524</v>
      </c>
      <c r="K785" t="s">
        <v>1525</v>
      </c>
      <c r="L785" s="2">
        <v>1</v>
      </c>
      <c r="M785" s="10">
        <v>28657</v>
      </c>
      <c r="N785" s="7">
        <v>28657</v>
      </c>
    </row>
    <row r="786" spans="1:14" x14ac:dyDescent="0.3">
      <c r="A786">
        <v>1267</v>
      </c>
      <c r="B786" s="1">
        <v>45637</v>
      </c>
      <c r="C786">
        <v>2024</v>
      </c>
      <c r="D786">
        <v>12</v>
      </c>
      <c r="E786" t="str">
        <f t="shared" si="12"/>
        <v>Desember</v>
      </c>
      <c r="F786">
        <v>4</v>
      </c>
      <c r="G786" t="s">
        <v>1526</v>
      </c>
      <c r="H786" t="s">
        <v>1527</v>
      </c>
      <c r="I786" t="s">
        <v>1516</v>
      </c>
      <c r="J786" t="s">
        <v>1566</v>
      </c>
      <c r="K786" t="s">
        <v>1525</v>
      </c>
      <c r="L786" s="2">
        <v>1</v>
      </c>
      <c r="M786" s="10">
        <v>394</v>
      </c>
      <c r="N786" s="7">
        <v>394</v>
      </c>
    </row>
    <row r="787" spans="1:14" x14ac:dyDescent="0.3">
      <c r="A787">
        <v>1267</v>
      </c>
      <c r="B787" s="1">
        <v>45144</v>
      </c>
      <c r="C787">
        <v>2023</v>
      </c>
      <c r="D787">
        <v>8</v>
      </c>
      <c r="E787" t="str">
        <f t="shared" si="12"/>
        <v>Agustus</v>
      </c>
      <c r="F787">
        <v>3</v>
      </c>
      <c r="G787" t="s">
        <v>1526</v>
      </c>
      <c r="H787" t="s">
        <v>1527</v>
      </c>
      <c r="I787" t="s">
        <v>1516</v>
      </c>
      <c r="J787" t="s">
        <v>1566</v>
      </c>
      <c r="K787" t="s">
        <v>1525</v>
      </c>
      <c r="L787" s="2">
        <v>1</v>
      </c>
      <c r="M787" s="10">
        <v>394</v>
      </c>
      <c r="N787" s="7">
        <v>394</v>
      </c>
    </row>
    <row r="788" spans="1:14" x14ac:dyDescent="0.3">
      <c r="A788">
        <v>1267</v>
      </c>
      <c r="B788" s="1">
        <v>44585</v>
      </c>
      <c r="C788">
        <v>2022</v>
      </c>
      <c r="D788">
        <v>1</v>
      </c>
      <c r="E788" t="str">
        <f t="shared" si="12"/>
        <v>Januari</v>
      </c>
      <c r="F788">
        <v>1</v>
      </c>
      <c r="G788" t="s">
        <v>1526</v>
      </c>
      <c r="H788" t="s">
        <v>1527</v>
      </c>
      <c r="I788" t="s">
        <v>1516</v>
      </c>
      <c r="J788" t="s">
        <v>1566</v>
      </c>
      <c r="K788" t="s">
        <v>1525</v>
      </c>
      <c r="L788" s="2">
        <v>1</v>
      </c>
      <c r="M788" s="10">
        <v>394</v>
      </c>
      <c r="N788" s="7">
        <v>394</v>
      </c>
    </row>
    <row r="789" spans="1:14" x14ac:dyDescent="0.3">
      <c r="A789">
        <v>1268</v>
      </c>
      <c r="B789" s="1">
        <v>45430</v>
      </c>
      <c r="C789">
        <v>2024</v>
      </c>
      <c r="D789">
        <v>5</v>
      </c>
      <c r="E789" t="str">
        <f t="shared" si="12"/>
        <v>Mei</v>
      </c>
      <c r="F789">
        <v>2</v>
      </c>
      <c r="G789" t="s">
        <v>1529</v>
      </c>
      <c r="H789" t="s">
        <v>1530</v>
      </c>
      <c r="I789" t="s">
        <v>1528</v>
      </c>
      <c r="J789" t="s">
        <v>1566</v>
      </c>
      <c r="K789" t="s">
        <v>1518</v>
      </c>
      <c r="L789" s="2">
        <v>3</v>
      </c>
      <c r="M789" s="10">
        <v>1554</v>
      </c>
      <c r="N789" s="7">
        <v>4662</v>
      </c>
    </row>
    <row r="790" spans="1:14" x14ac:dyDescent="0.3">
      <c r="A790">
        <v>1268</v>
      </c>
      <c r="B790" s="1">
        <v>44967</v>
      </c>
      <c r="C790">
        <v>2023</v>
      </c>
      <c r="D790">
        <v>2</v>
      </c>
      <c r="E790" t="str">
        <f t="shared" si="12"/>
        <v>Februari</v>
      </c>
      <c r="F790">
        <v>1</v>
      </c>
      <c r="G790" t="s">
        <v>1529</v>
      </c>
      <c r="H790" t="s">
        <v>1530</v>
      </c>
      <c r="I790" t="s">
        <v>1528</v>
      </c>
      <c r="J790" t="s">
        <v>1566</v>
      </c>
      <c r="K790" t="s">
        <v>1518</v>
      </c>
      <c r="L790" s="2">
        <v>3</v>
      </c>
      <c r="M790" s="10">
        <v>1554</v>
      </c>
      <c r="N790" s="7">
        <v>4662</v>
      </c>
    </row>
    <row r="791" spans="1:14" x14ac:dyDescent="0.3">
      <c r="A791">
        <v>1268</v>
      </c>
      <c r="B791" s="1">
        <v>45230</v>
      </c>
      <c r="C791">
        <v>2023</v>
      </c>
      <c r="D791">
        <v>10</v>
      </c>
      <c r="E791" t="str">
        <f t="shared" si="12"/>
        <v>Oktober</v>
      </c>
      <c r="F791">
        <v>4</v>
      </c>
      <c r="G791" t="s">
        <v>1529</v>
      </c>
      <c r="H791" t="s">
        <v>1530</v>
      </c>
      <c r="I791" t="s">
        <v>1528</v>
      </c>
      <c r="J791" t="s">
        <v>1566</v>
      </c>
      <c r="K791" t="s">
        <v>1518</v>
      </c>
      <c r="L791" s="2">
        <v>3</v>
      </c>
      <c r="M791" s="10">
        <v>1554</v>
      </c>
      <c r="N791" s="7">
        <v>4662</v>
      </c>
    </row>
    <row r="792" spans="1:14" x14ac:dyDescent="0.3">
      <c r="A792">
        <v>1269</v>
      </c>
      <c r="B792" s="1">
        <v>45469</v>
      </c>
      <c r="C792">
        <v>2024</v>
      </c>
      <c r="D792">
        <v>6</v>
      </c>
      <c r="E792" t="str">
        <f t="shared" si="12"/>
        <v>Juni</v>
      </c>
      <c r="F792">
        <v>2</v>
      </c>
      <c r="G792" t="s">
        <v>1532</v>
      </c>
      <c r="H792" t="s">
        <v>1512</v>
      </c>
      <c r="I792" t="s">
        <v>1531</v>
      </c>
      <c r="J792" t="s">
        <v>1524</v>
      </c>
      <c r="K792" t="s">
        <v>1518</v>
      </c>
      <c r="L792" s="2">
        <v>1</v>
      </c>
      <c r="M792" s="10">
        <v>4066</v>
      </c>
      <c r="N792" s="7">
        <v>4066</v>
      </c>
    </row>
    <row r="793" spans="1:14" x14ac:dyDescent="0.3">
      <c r="A793">
        <v>1269</v>
      </c>
      <c r="B793" s="1">
        <v>44618</v>
      </c>
      <c r="C793">
        <v>2022</v>
      </c>
      <c r="D793">
        <v>2</v>
      </c>
      <c r="E793" t="str">
        <f t="shared" si="12"/>
        <v>Februari</v>
      </c>
      <c r="F793">
        <v>1</v>
      </c>
      <c r="G793" t="s">
        <v>1532</v>
      </c>
      <c r="H793" t="s">
        <v>1512</v>
      </c>
      <c r="I793" t="s">
        <v>1531</v>
      </c>
      <c r="J793" t="s">
        <v>1524</v>
      </c>
      <c r="K793" t="s">
        <v>1518</v>
      </c>
      <c r="L793" s="2">
        <v>1</v>
      </c>
      <c r="M793" s="10">
        <v>4066</v>
      </c>
      <c r="N793" s="7">
        <v>4066</v>
      </c>
    </row>
    <row r="794" spans="1:14" x14ac:dyDescent="0.3">
      <c r="A794">
        <v>1269</v>
      </c>
      <c r="B794" s="1">
        <v>45029</v>
      </c>
      <c r="C794">
        <v>2023</v>
      </c>
      <c r="D794">
        <v>4</v>
      </c>
      <c r="E794" t="str">
        <f t="shared" si="12"/>
        <v>April</v>
      </c>
      <c r="F794">
        <v>2</v>
      </c>
      <c r="G794" t="s">
        <v>1532</v>
      </c>
      <c r="H794" t="s">
        <v>1512</v>
      </c>
      <c r="I794" t="s">
        <v>1531</v>
      </c>
      <c r="J794" t="s">
        <v>1524</v>
      </c>
      <c r="K794" t="s">
        <v>1518</v>
      </c>
      <c r="L794" s="2">
        <v>1</v>
      </c>
      <c r="M794" s="10">
        <v>4066</v>
      </c>
      <c r="N794" s="7">
        <v>4066</v>
      </c>
    </row>
    <row r="795" spans="1:14" x14ac:dyDescent="0.3">
      <c r="A795">
        <v>1270</v>
      </c>
      <c r="B795" s="1">
        <v>44912</v>
      </c>
      <c r="C795">
        <v>2022</v>
      </c>
      <c r="D795">
        <v>12</v>
      </c>
      <c r="E795" t="str">
        <f t="shared" si="12"/>
        <v>Desember</v>
      </c>
      <c r="F795">
        <v>4</v>
      </c>
      <c r="G795" t="s">
        <v>1533</v>
      </c>
      <c r="H795" t="s">
        <v>1520</v>
      </c>
      <c r="I795" t="s">
        <v>1516</v>
      </c>
      <c r="J795" t="s">
        <v>1517</v>
      </c>
      <c r="K795" t="s">
        <v>1518</v>
      </c>
      <c r="L795" s="2">
        <v>5</v>
      </c>
      <c r="M795" s="10">
        <v>210</v>
      </c>
      <c r="N795" s="7">
        <v>1050</v>
      </c>
    </row>
    <row r="796" spans="1:14" x14ac:dyDescent="0.3">
      <c r="A796">
        <v>1270</v>
      </c>
      <c r="B796" s="1">
        <v>45058</v>
      </c>
      <c r="C796">
        <v>2023</v>
      </c>
      <c r="D796">
        <v>5</v>
      </c>
      <c r="E796" t="str">
        <f t="shared" si="12"/>
        <v>Mei</v>
      </c>
      <c r="F796">
        <v>2</v>
      </c>
      <c r="G796" t="s">
        <v>1533</v>
      </c>
      <c r="H796" t="s">
        <v>1520</v>
      </c>
      <c r="I796" t="s">
        <v>1516</v>
      </c>
      <c r="J796" t="s">
        <v>1517</v>
      </c>
      <c r="K796" t="s">
        <v>1518</v>
      </c>
      <c r="L796" s="2">
        <v>5</v>
      </c>
      <c r="M796" s="10">
        <v>210</v>
      </c>
      <c r="N796" s="7">
        <v>1050</v>
      </c>
    </row>
    <row r="797" spans="1:14" x14ac:dyDescent="0.3">
      <c r="A797">
        <v>1270</v>
      </c>
      <c r="B797" s="1">
        <v>45187</v>
      </c>
      <c r="C797">
        <v>2023</v>
      </c>
      <c r="D797">
        <v>9</v>
      </c>
      <c r="E797" t="str">
        <f t="shared" si="12"/>
        <v>September</v>
      </c>
      <c r="F797">
        <v>3</v>
      </c>
      <c r="G797" t="s">
        <v>1533</v>
      </c>
      <c r="H797" t="s">
        <v>1520</v>
      </c>
      <c r="I797" t="s">
        <v>1516</v>
      </c>
      <c r="J797" t="s">
        <v>1517</v>
      </c>
      <c r="K797" t="s">
        <v>1518</v>
      </c>
      <c r="L797" s="2">
        <v>5</v>
      </c>
      <c r="M797" s="10">
        <v>210</v>
      </c>
      <c r="N797" s="7">
        <v>1050</v>
      </c>
    </row>
    <row r="798" spans="1:14" x14ac:dyDescent="0.3">
      <c r="A798">
        <v>1270</v>
      </c>
      <c r="B798" s="1">
        <v>44906</v>
      </c>
      <c r="C798">
        <v>2022</v>
      </c>
      <c r="D798">
        <v>12</v>
      </c>
      <c r="E798" t="str">
        <f t="shared" si="12"/>
        <v>Desember</v>
      </c>
      <c r="F798">
        <v>4</v>
      </c>
      <c r="G798" t="s">
        <v>1533</v>
      </c>
      <c r="H798" t="s">
        <v>1520</v>
      </c>
      <c r="I798" t="s">
        <v>1516</v>
      </c>
      <c r="J798" t="s">
        <v>1517</v>
      </c>
      <c r="K798" t="s">
        <v>1518</v>
      </c>
      <c r="L798" s="2">
        <v>5</v>
      </c>
      <c r="M798" s="10">
        <v>210</v>
      </c>
      <c r="N798" s="7">
        <v>1050</v>
      </c>
    </row>
    <row r="799" spans="1:14" x14ac:dyDescent="0.3">
      <c r="A799">
        <v>1270</v>
      </c>
      <c r="B799" s="1">
        <v>45225</v>
      </c>
      <c r="C799">
        <v>2023</v>
      </c>
      <c r="D799">
        <v>10</v>
      </c>
      <c r="E799" t="str">
        <f t="shared" si="12"/>
        <v>Oktober</v>
      </c>
      <c r="F799">
        <v>4</v>
      </c>
      <c r="G799" t="s">
        <v>1533</v>
      </c>
      <c r="H799" t="s">
        <v>1520</v>
      </c>
      <c r="I799" t="s">
        <v>1516</v>
      </c>
      <c r="J799" t="s">
        <v>1517</v>
      </c>
      <c r="K799" t="s">
        <v>1518</v>
      </c>
      <c r="L799" s="2">
        <v>5</v>
      </c>
      <c r="M799" s="10">
        <v>210</v>
      </c>
      <c r="N799" s="7">
        <v>1050</v>
      </c>
    </row>
    <row r="800" spans="1:14" x14ac:dyDescent="0.3">
      <c r="A800">
        <v>1270</v>
      </c>
      <c r="B800" s="1">
        <v>45200</v>
      </c>
      <c r="C800">
        <v>2023</v>
      </c>
      <c r="D800">
        <v>10</v>
      </c>
      <c r="E800" t="str">
        <f t="shared" si="12"/>
        <v>Oktober</v>
      </c>
      <c r="F800">
        <v>4</v>
      </c>
      <c r="G800" t="s">
        <v>1533</v>
      </c>
      <c r="H800" t="s">
        <v>1520</v>
      </c>
      <c r="I800" t="s">
        <v>1516</v>
      </c>
      <c r="J800" t="s">
        <v>1517</v>
      </c>
      <c r="K800" t="s">
        <v>1518</v>
      </c>
      <c r="L800" s="2">
        <v>5</v>
      </c>
      <c r="M800" s="10">
        <v>210</v>
      </c>
      <c r="N800" s="7">
        <v>1050</v>
      </c>
    </row>
    <row r="801" spans="1:14" x14ac:dyDescent="0.3">
      <c r="A801">
        <v>1271</v>
      </c>
      <c r="B801" s="1">
        <v>45078</v>
      </c>
      <c r="C801">
        <v>2023</v>
      </c>
      <c r="D801">
        <v>6</v>
      </c>
      <c r="E801" t="str">
        <f t="shared" si="12"/>
        <v>Juni</v>
      </c>
      <c r="F801">
        <v>2</v>
      </c>
      <c r="G801" t="s">
        <v>1511</v>
      </c>
      <c r="H801" t="s">
        <v>1512</v>
      </c>
      <c r="I801" t="s">
        <v>1531</v>
      </c>
      <c r="J801" t="s">
        <v>1524</v>
      </c>
      <c r="K801" t="s">
        <v>1514</v>
      </c>
      <c r="L801" s="2">
        <v>1</v>
      </c>
      <c r="M801" s="10">
        <v>40792</v>
      </c>
      <c r="N801" s="7">
        <v>40792</v>
      </c>
    </row>
    <row r="802" spans="1:14" x14ac:dyDescent="0.3">
      <c r="A802">
        <v>1272</v>
      </c>
      <c r="B802" s="1">
        <v>44593</v>
      </c>
      <c r="C802">
        <v>2022</v>
      </c>
      <c r="D802">
        <v>2</v>
      </c>
      <c r="E802" t="str">
        <f t="shared" si="12"/>
        <v>Februari</v>
      </c>
      <c r="F802">
        <v>1</v>
      </c>
      <c r="G802" t="s">
        <v>1515</v>
      </c>
      <c r="H802" t="s">
        <v>1512</v>
      </c>
      <c r="I802" t="s">
        <v>1516</v>
      </c>
      <c r="J802" t="s">
        <v>1517</v>
      </c>
      <c r="K802" t="s">
        <v>1514</v>
      </c>
      <c r="L802" s="2">
        <v>2</v>
      </c>
      <c r="M802" s="10">
        <v>3380</v>
      </c>
      <c r="N802" s="7">
        <v>6760</v>
      </c>
    </row>
    <row r="803" spans="1:14" x14ac:dyDescent="0.3">
      <c r="A803">
        <v>1272</v>
      </c>
      <c r="B803" s="1">
        <v>45654</v>
      </c>
      <c r="C803">
        <v>2024</v>
      </c>
      <c r="D803">
        <v>12</v>
      </c>
      <c r="E803" t="str">
        <f t="shared" si="12"/>
        <v>Desember</v>
      </c>
      <c r="F803">
        <v>4</v>
      </c>
      <c r="G803" t="s">
        <v>1515</v>
      </c>
      <c r="H803" t="s">
        <v>1512</v>
      </c>
      <c r="I803" t="s">
        <v>1516</v>
      </c>
      <c r="J803" t="s">
        <v>1517</v>
      </c>
      <c r="K803" t="s">
        <v>1514</v>
      </c>
      <c r="L803" s="2">
        <v>2</v>
      </c>
      <c r="M803" s="10">
        <v>3380</v>
      </c>
      <c r="N803" s="7">
        <v>6760</v>
      </c>
    </row>
    <row r="804" spans="1:14" x14ac:dyDescent="0.3">
      <c r="A804">
        <v>1273</v>
      </c>
      <c r="B804" s="1">
        <v>44707</v>
      </c>
      <c r="C804">
        <v>2022</v>
      </c>
      <c r="D804">
        <v>5</v>
      </c>
      <c r="E804" t="str">
        <f t="shared" si="12"/>
        <v>Mei</v>
      </c>
      <c r="F804">
        <v>2</v>
      </c>
      <c r="G804" t="s">
        <v>1534</v>
      </c>
      <c r="H804" t="s">
        <v>1530</v>
      </c>
      <c r="I804" t="s">
        <v>1528</v>
      </c>
      <c r="J804" t="s">
        <v>1566</v>
      </c>
      <c r="K804" t="s">
        <v>1514</v>
      </c>
      <c r="L804" s="2">
        <v>2</v>
      </c>
      <c r="M804" s="10">
        <v>1061</v>
      </c>
      <c r="N804" s="7">
        <v>2122</v>
      </c>
    </row>
    <row r="805" spans="1:14" x14ac:dyDescent="0.3">
      <c r="A805">
        <v>1273</v>
      </c>
      <c r="B805" s="1">
        <v>45025</v>
      </c>
      <c r="C805">
        <v>2023</v>
      </c>
      <c r="D805">
        <v>4</v>
      </c>
      <c r="E805" t="str">
        <f t="shared" si="12"/>
        <v>April</v>
      </c>
      <c r="F805">
        <v>2</v>
      </c>
      <c r="G805" t="s">
        <v>1534</v>
      </c>
      <c r="H805" t="s">
        <v>1530</v>
      </c>
      <c r="I805" t="s">
        <v>1528</v>
      </c>
      <c r="J805" t="s">
        <v>1566</v>
      </c>
      <c r="K805" t="s">
        <v>1514</v>
      </c>
      <c r="L805" s="2">
        <v>2</v>
      </c>
      <c r="M805" s="10">
        <v>1061</v>
      </c>
      <c r="N805" s="7">
        <v>2122</v>
      </c>
    </row>
    <row r="806" spans="1:14" x14ac:dyDescent="0.3">
      <c r="A806">
        <v>1274</v>
      </c>
      <c r="B806" s="1">
        <v>44951</v>
      </c>
      <c r="C806">
        <v>2023</v>
      </c>
      <c r="D806">
        <v>1</v>
      </c>
      <c r="E806" t="str">
        <f t="shared" si="12"/>
        <v>Januari</v>
      </c>
      <c r="F806">
        <v>1</v>
      </c>
      <c r="G806" t="s">
        <v>1519</v>
      </c>
      <c r="H806" t="s">
        <v>1520</v>
      </c>
      <c r="I806" t="s">
        <v>1528</v>
      </c>
      <c r="J806" t="s">
        <v>1524</v>
      </c>
      <c r="K806" t="s">
        <v>1518</v>
      </c>
      <c r="L806" s="2">
        <v>5</v>
      </c>
      <c r="M806" s="10">
        <v>9610</v>
      </c>
      <c r="N806" s="7">
        <v>48050</v>
      </c>
    </row>
    <row r="807" spans="1:14" x14ac:dyDescent="0.3">
      <c r="A807">
        <v>1275</v>
      </c>
      <c r="B807" s="1">
        <v>44994</v>
      </c>
      <c r="C807">
        <v>2023</v>
      </c>
      <c r="D807">
        <v>3</v>
      </c>
      <c r="E807" t="str">
        <f t="shared" si="12"/>
        <v>Maret</v>
      </c>
      <c r="F807">
        <v>1</v>
      </c>
      <c r="G807" t="s">
        <v>1522</v>
      </c>
      <c r="H807" t="s">
        <v>1520</v>
      </c>
      <c r="I807" t="s">
        <v>1516</v>
      </c>
      <c r="J807" t="s">
        <v>1524</v>
      </c>
      <c r="K807" t="s">
        <v>1518</v>
      </c>
      <c r="L807" s="2">
        <v>1</v>
      </c>
      <c r="M807" s="10">
        <v>901</v>
      </c>
      <c r="N807" s="7">
        <v>901</v>
      </c>
    </row>
    <row r="808" spans="1:14" x14ac:dyDescent="0.3">
      <c r="A808">
        <v>1275</v>
      </c>
      <c r="B808" s="1">
        <v>44701</v>
      </c>
      <c r="C808">
        <v>2022</v>
      </c>
      <c r="D808">
        <v>5</v>
      </c>
      <c r="E808" t="str">
        <f t="shared" si="12"/>
        <v>Mei</v>
      </c>
      <c r="F808">
        <v>2</v>
      </c>
      <c r="G808" t="s">
        <v>1522</v>
      </c>
      <c r="H808" t="s">
        <v>1520</v>
      </c>
      <c r="I808" t="s">
        <v>1516</v>
      </c>
      <c r="J808" t="s">
        <v>1524</v>
      </c>
      <c r="K808" t="s">
        <v>1518</v>
      </c>
      <c r="L808" s="2">
        <v>1</v>
      </c>
      <c r="M808" s="10">
        <v>901</v>
      </c>
      <c r="N808" s="7">
        <v>901</v>
      </c>
    </row>
    <row r="809" spans="1:14" x14ac:dyDescent="0.3">
      <c r="A809">
        <v>1275</v>
      </c>
      <c r="B809" s="1">
        <v>44723</v>
      </c>
      <c r="C809">
        <v>2022</v>
      </c>
      <c r="D809">
        <v>6</v>
      </c>
      <c r="E809" t="str">
        <f t="shared" si="12"/>
        <v>Juni</v>
      </c>
      <c r="F809">
        <v>2</v>
      </c>
      <c r="G809" t="s">
        <v>1522</v>
      </c>
      <c r="H809" t="s">
        <v>1520</v>
      </c>
      <c r="I809" t="s">
        <v>1516</v>
      </c>
      <c r="J809" t="s">
        <v>1524</v>
      </c>
      <c r="K809" t="s">
        <v>1518</v>
      </c>
      <c r="L809" s="2">
        <v>1</v>
      </c>
      <c r="M809" s="10">
        <v>901</v>
      </c>
      <c r="N809" s="7">
        <v>901</v>
      </c>
    </row>
    <row r="810" spans="1:14" x14ac:dyDescent="0.3">
      <c r="A810">
        <v>1276</v>
      </c>
      <c r="B810" s="1">
        <v>44736</v>
      </c>
      <c r="C810">
        <v>2022</v>
      </c>
      <c r="D810">
        <v>6</v>
      </c>
      <c r="E810" t="str">
        <f t="shared" si="12"/>
        <v>Juni</v>
      </c>
      <c r="F810">
        <v>2</v>
      </c>
      <c r="G810" t="s">
        <v>1523</v>
      </c>
      <c r="H810" t="s">
        <v>1512</v>
      </c>
      <c r="I810" t="s">
        <v>1521</v>
      </c>
      <c r="J810" t="s">
        <v>1524</v>
      </c>
      <c r="K810" t="s">
        <v>1514</v>
      </c>
      <c r="L810" s="2">
        <v>2</v>
      </c>
      <c r="M810" s="10">
        <v>18752</v>
      </c>
      <c r="N810" s="7">
        <v>37504</v>
      </c>
    </row>
    <row r="811" spans="1:14" x14ac:dyDescent="0.3">
      <c r="A811">
        <v>1276</v>
      </c>
      <c r="B811" s="1">
        <v>44775</v>
      </c>
      <c r="C811">
        <v>2022</v>
      </c>
      <c r="D811">
        <v>8</v>
      </c>
      <c r="E811" t="str">
        <f t="shared" si="12"/>
        <v>Agustus</v>
      </c>
      <c r="F811">
        <v>3</v>
      </c>
      <c r="G811" t="s">
        <v>1523</v>
      </c>
      <c r="H811" t="s">
        <v>1512</v>
      </c>
      <c r="I811" t="s">
        <v>1521</v>
      </c>
      <c r="J811" t="s">
        <v>1524</v>
      </c>
      <c r="K811" t="s">
        <v>1514</v>
      </c>
      <c r="L811" s="2">
        <v>2</v>
      </c>
      <c r="M811" s="10">
        <v>18752</v>
      </c>
      <c r="N811" s="7">
        <v>37504</v>
      </c>
    </row>
    <row r="812" spans="1:14" x14ac:dyDescent="0.3">
      <c r="A812">
        <v>1276</v>
      </c>
      <c r="B812" s="1">
        <v>45190</v>
      </c>
      <c r="C812">
        <v>2023</v>
      </c>
      <c r="D812">
        <v>9</v>
      </c>
      <c r="E812" t="str">
        <f t="shared" si="12"/>
        <v>September</v>
      </c>
      <c r="F812">
        <v>3</v>
      </c>
      <c r="G812" t="s">
        <v>1523</v>
      </c>
      <c r="H812" t="s">
        <v>1512</v>
      </c>
      <c r="I812" t="s">
        <v>1521</v>
      </c>
      <c r="J812" t="s">
        <v>1524</v>
      </c>
      <c r="K812" t="s">
        <v>1514</v>
      </c>
      <c r="L812" s="2">
        <v>2</v>
      </c>
      <c r="M812" s="10">
        <v>18752</v>
      </c>
      <c r="N812" s="7">
        <v>37504</v>
      </c>
    </row>
    <row r="813" spans="1:14" x14ac:dyDescent="0.3">
      <c r="A813">
        <v>1276</v>
      </c>
      <c r="B813" s="1">
        <v>45280</v>
      </c>
      <c r="C813">
        <v>2023</v>
      </c>
      <c r="D813">
        <v>12</v>
      </c>
      <c r="E813" t="str">
        <f t="shared" si="12"/>
        <v>Desember</v>
      </c>
      <c r="F813">
        <v>4</v>
      </c>
      <c r="G813" t="s">
        <v>1523</v>
      </c>
      <c r="H813" t="s">
        <v>1512</v>
      </c>
      <c r="I813" t="s">
        <v>1521</v>
      </c>
      <c r="J813" t="s">
        <v>1524</v>
      </c>
      <c r="K813" t="s">
        <v>1514</v>
      </c>
      <c r="L813" s="2">
        <v>2</v>
      </c>
      <c r="M813" s="10">
        <v>18752</v>
      </c>
      <c r="N813" s="7">
        <v>37504</v>
      </c>
    </row>
    <row r="814" spans="1:14" x14ac:dyDescent="0.3">
      <c r="A814">
        <v>1276</v>
      </c>
      <c r="B814" s="1">
        <v>44780</v>
      </c>
      <c r="C814">
        <v>2022</v>
      </c>
      <c r="D814">
        <v>8</v>
      </c>
      <c r="E814" t="str">
        <f t="shared" si="12"/>
        <v>Agustus</v>
      </c>
      <c r="F814">
        <v>3</v>
      </c>
      <c r="G814" t="s">
        <v>1523</v>
      </c>
      <c r="H814" t="s">
        <v>1512</v>
      </c>
      <c r="I814" t="s">
        <v>1521</v>
      </c>
      <c r="J814" t="s">
        <v>1524</v>
      </c>
      <c r="K814" t="s">
        <v>1514</v>
      </c>
      <c r="L814" s="2">
        <v>2</v>
      </c>
      <c r="M814" s="10">
        <v>18752</v>
      </c>
      <c r="N814" s="7">
        <v>37504</v>
      </c>
    </row>
    <row r="815" spans="1:14" x14ac:dyDescent="0.3">
      <c r="A815">
        <v>1276</v>
      </c>
      <c r="B815" s="1">
        <v>44849</v>
      </c>
      <c r="C815">
        <v>2022</v>
      </c>
      <c r="D815">
        <v>10</v>
      </c>
      <c r="E815" t="str">
        <f t="shared" si="12"/>
        <v>Oktober</v>
      </c>
      <c r="F815">
        <v>4</v>
      </c>
      <c r="G815" t="s">
        <v>1523</v>
      </c>
      <c r="H815" t="s">
        <v>1512</v>
      </c>
      <c r="I815" t="s">
        <v>1521</v>
      </c>
      <c r="J815" t="s">
        <v>1524</v>
      </c>
      <c r="K815" t="s">
        <v>1514</v>
      </c>
      <c r="L815" s="2">
        <v>2</v>
      </c>
      <c r="M815" s="10">
        <v>18752</v>
      </c>
      <c r="N815" s="7">
        <v>37504</v>
      </c>
    </row>
    <row r="816" spans="1:14" x14ac:dyDescent="0.3">
      <c r="A816">
        <v>1277</v>
      </c>
      <c r="B816" s="1">
        <v>45293</v>
      </c>
      <c r="C816">
        <v>2024</v>
      </c>
      <c r="D816">
        <v>1</v>
      </c>
      <c r="E816" t="str">
        <f t="shared" si="12"/>
        <v>Januari</v>
      </c>
      <c r="F816">
        <v>1</v>
      </c>
      <c r="G816" t="s">
        <v>1526</v>
      </c>
      <c r="H816" t="s">
        <v>1527</v>
      </c>
      <c r="I816" t="s">
        <v>1516</v>
      </c>
      <c r="J816" t="s">
        <v>1566</v>
      </c>
      <c r="K816" t="s">
        <v>1514</v>
      </c>
      <c r="L816" s="2">
        <v>1</v>
      </c>
      <c r="M816" s="10">
        <v>129</v>
      </c>
      <c r="N816" s="7">
        <v>129</v>
      </c>
    </row>
    <row r="817" spans="1:14" x14ac:dyDescent="0.3">
      <c r="A817">
        <v>1277</v>
      </c>
      <c r="B817" s="1">
        <v>44752</v>
      </c>
      <c r="C817">
        <v>2022</v>
      </c>
      <c r="D817">
        <v>7</v>
      </c>
      <c r="E817" t="str">
        <f t="shared" si="12"/>
        <v>Juli</v>
      </c>
      <c r="F817">
        <v>3</v>
      </c>
      <c r="G817" t="s">
        <v>1526</v>
      </c>
      <c r="H817" t="s">
        <v>1527</v>
      </c>
      <c r="I817" t="s">
        <v>1516</v>
      </c>
      <c r="J817" t="s">
        <v>1566</v>
      </c>
      <c r="K817" t="s">
        <v>1514</v>
      </c>
      <c r="L817" s="2">
        <v>1</v>
      </c>
      <c r="M817" s="10">
        <v>129</v>
      </c>
      <c r="N817" s="7">
        <v>129</v>
      </c>
    </row>
    <row r="818" spans="1:14" x14ac:dyDescent="0.3">
      <c r="A818">
        <v>1277</v>
      </c>
      <c r="B818" s="1">
        <v>44946</v>
      </c>
      <c r="C818">
        <v>2023</v>
      </c>
      <c r="D818">
        <v>1</v>
      </c>
      <c r="E818" t="str">
        <f t="shared" si="12"/>
        <v>Januari</v>
      </c>
      <c r="F818">
        <v>1</v>
      </c>
      <c r="G818" t="s">
        <v>1526</v>
      </c>
      <c r="H818" t="s">
        <v>1527</v>
      </c>
      <c r="I818" t="s">
        <v>1516</v>
      </c>
      <c r="J818" t="s">
        <v>1566</v>
      </c>
      <c r="K818" t="s">
        <v>1514</v>
      </c>
      <c r="L818" s="2">
        <v>1</v>
      </c>
      <c r="M818" s="10">
        <v>129</v>
      </c>
      <c r="N818" s="7">
        <v>129</v>
      </c>
    </row>
    <row r="819" spans="1:14" x14ac:dyDescent="0.3">
      <c r="A819">
        <v>1278</v>
      </c>
      <c r="B819" s="1">
        <v>45190</v>
      </c>
      <c r="C819">
        <v>2023</v>
      </c>
      <c r="D819">
        <v>9</v>
      </c>
      <c r="E819" t="str">
        <f t="shared" si="12"/>
        <v>September</v>
      </c>
      <c r="F819">
        <v>3</v>
      </c>
      <c r="G819" t="s">
        <v>1529</v>
      </c>
      <c r="H819" t="s">
        <v>1530</v>
      </c>
      <c r="I819" t="s">
        <v>1528</v>
      </c>
      <c r="J819" t="s">
        <v>1566</v>
      </c>
      <c r="K819" t="s">
        <v>1518</v>
      </c>
      <c r="L819" s="2">
        <v>1</v>
      </c>
      <c r="M819" s="10">
        <v>828</v>
      </c>
      <c r="N819" s="7">
        <v>828</v>
      </c>
    </row>
    <row r="820" spans="1:14" x14ac:dyDescent="0.3">
      <c r="A820">
        <v>1278</v>
      </c>
      <c r="B820" s="1">
        <v>44883</v>
      </c>
      <c r="C820">
        <v>2022</v>
      </c>
      <c r="D820">
        <v>11</v>
      </c>
      <c r="E820" t="str">
        <f t="shared" si="12"/>
        <v>November</v>
      </c>
      <c r="F820">
        <v>4</v>
      </c>
      <c r="G820" t="s">
        <v>1529</v>
      </c>
      <c r="H820" t="s">
        <v>1530</v>
      </c>
      <c r="I820" t="s">
        <v>1528</v>
      </c>
      <c r="J820" t="s">
        <v>1566</v>
      </c>
      <c r="K820" t="s">
        <v>1518</v>
      </c>
      <c r="L820" s="2">
        <v>1</v>
      </c>
      <c r="M820" s="10">
        <v>828</v>
      </c>
      <c r="N820" s="7">
        <v>828</v>
      </c>
    </row>
    <row r="821" spans="1:14" x14ac:dyDescent="0.3">
      <c r="A821">
        <v>1279</v>
      </c>
      <c r="B821" s="1">
        <v>44935</v>
      </c>
      <c r="C821">
        <v>2023</v>
      </c>
      <c r="D821">
        <v>1</v>
      </c>
      <c r="E821" t="str">
        <f t="shared" si="12"/>
        <v>Januari</v>
      </c>
      <c r="F821">
        <v>1</v>
      </c>
      <c r="G821" t="s">
        <v>1532</v>
      </c>
      <c r="H821" t="s">
        <v>1512</v>
      </c>
      <c r="I821" t="s">
        <v>1531</v>
      </c>
      <c r="J821" t="s">
        <v>1517</v>
      </c>
      <c r="K821" t="s">
        <v>1518</v>
      </c>
      <c r="L821" s="2">
        <v>2</v>
      </c>
      <c r="M821" s="10">
        <v>4999</v>
      </c>
      <c r="N821" s="7">
        <v>9998</v>
      </c>
    </row>
    <row r="822" spans="1:14" x14ac:dyDescent="0.3">
      <c r="A822">
        <v>1279</v>
      </c>
      <c r="B822" s="1">
        <v>45476</v>
      </c>
      <c r="C822">
        <v>2024</v>
      </c>
      <c r="D822">
        <v>7</v>
      </c>
      <c r="E822" t="str">
        <f t="shared" si="12"/>
        <v>Juli</v>
      </c>
      <c r="F822">
        <v>3</v>
      </c>
      <c r="G822" t="s">
        <v>1532</v>
      </c>
      <c r="H822" t="s">
        <v>1512</v>
      </c>
      <c r="I822" t="s">
        <v>1531</v>
      </c>
      <c r="J822" t="s">
        <v>1517</v>
      </c>
      <c r="K822" t="s">
        <v>1518</v>
      </c>
      <c r="L822" s="2">
        <v>2</v>
      </c>
      <c r="M822" s="10">
        <v>4999</v>
      </c>
      <c r="N822" s="7">
        <v>9998</v>
      </c>
    </row>
    <row r="823" spans="1:14" x14ac:dyDescent="0.3">
      <c r="A823">
        <v>1279</v>
      </c>
      <c r="B823" s="1">
        <v>45241</v>
      </c>
      <c r="C823">
        <v>2023</v>
      </c>
      <c r="D823">
        <v>11</v>
      </c>
      <c r="E823" t="str">
        <f t="shared" si="12"/>
        <v>November</v>
      </c>
      <c r="F823">
        <v>4</v>
      </c>
      <c r="G823" t="s">
        <v>1532</v>
      </c>
      <c r="H823" t="s">
        <v>1512</v>
      </c>
      <c r="I823" t="s">
        <v>1531</v>
      </c>
      <c r="J823" t="s">
        <v>1517</v>
      </c>
      <c r="K823" t="s">
        <v>1518</v>
      </c>
      <c r="L823" s="2">
        <v>2</v>
      </c>
      <c r="M823" s="10">
        <v>4999</v>
      </c>
      <c r="N823" s="7">
        <v>9998</v>
      </c>
    </row>
    <row r="824" spans="1:14" x14ac:dyDescent="0.3">
      <c r="A824">
        <v>1279</v>
      </c>
      <c r="B824" s="1">
        <v>45122</v>
      </c>
      <c r="C824">
        <v>2023</v>
      </c>
      <c r="D824">
        <v>7</v>
      </c>
      <c r="E824" t="str">
        <f t="shared" si="12"/>
        <v>Juli</v>
      </c>
      <c r="F824">
        <v>3</v>
      </c>
      <c r="G824" t="s">
        <v>1532</v>
      </c>
      <c r="H824" t="s">
        <v>1512</v>
      </c>
      <c r="I824" t="s">
        <v>1531</v>
      </c>
      <c r="J824" t="s">
        <v>1517</v>
      </c>
      <c r="K824" t="s">
        <v>1518</v>
      </c>
      <c r="L824" s="2">
        <v>2</v>
      </c>
      <c r="M824" s="10">
        <v>4999</v>
      </c>
      <c r="N824" s="7">
        <v>9998</v>
      </c>
    </row>
    <row r="825" spans="1:14" x14ac:dyDescent="0.3">
      <c r="A825">
        <v>1280</v>
      </c>
      <c r="B825" s="1">
        <v>45106</v>
      </c>
      <c r="C825">
        <v>2023</v>
      </c>
      <c r="D825">
        <v>6</v>
      </c>
      <c r="E825" t="str">
        <f t="shared" si="12"/>
        <v>Juni</v>
      </c>
      <c r="F825">
        <v>2</v>
      </c>
      <c r="G825" t="s">
        <v>1533</v>
      </c>
      <c r="H825" t="s">
        <v>1520</v>
      </c>
      <c r="I825" t="s">
        <v>1521</v>
      </c>
      <c r="J825" t="s">
        <v>1517</v>
      </c>
      <c r="K825" t="s">
        <v>1514</v>
      </c>
      <c r="L825" s="2">
        <v>4</v>
      </c>
      <c r="M825" s="10">
        <v>677</v>
      </c>
      <c r="N825" s="7">
        <v>2708</v>
      </c>
    </row>
    <row r="826" spans="1:14" x14ac:dyDescent="0.3">
      <c r="A826">
        <v>1280</v>
      </c>
      <c r="B826" s="1">
        <v>45148</v>
      </c>
      <c r="C826">
        <v>2023</v>
      </c>
      <c r="D826">
        <v>8</v>
      </c>
      <c r="E826" t="str">
        <f t="shared" si="12"/>
        <v>Agustus</v>
      </c>
      <c r="F826">
        <v>3</v>
      </c>
      <c r="G826" t="s">
        <v>1533</v>
      </c>
      <c r="H826" t="s">
        <v>1520</v>
      </c>
      <c r="I826" t="s">
        <v>1521</v>
      </c>
      <c r="J826" t="s">
        <v>1517</v>
      </c>
      <c r="K826" t="s">
        <v>1514</v>
      </c>
      <c r="L826" s="2">
        <v>4</v>
      </c>
      <c r="M826" s="10">
        <v>677</v>
      </c>
      <c r="N826" s="7">
        <v>2708</v>
      </c>
    </row>
    <row r="827" spans="1:14" x14ac:dyDescent="0.3">
      <c r="A827">
        <v>1280</v>
      </c>
      <c r="B827" s="1">
        <v>45332</v>
      </c>
      <c r="C827">
        <v>2024</v>
      </c>
      <c r="D827">
        <v>2</v>
      </c>
      <c r="E827" t="str">
        <f t="shared" si="12"/>
        <v>Februari</v>
      </c>
      <c r="F827">
        <v>1</v>
      </c>
      <c r="G827" t="s">
        <v>1533</v>
      </c>
      <c r="H827" t="s">
        <v>1520</v>
      </c>
      <c r="I827" t="s">
        <v>1521</v>
      </c>
      <c r="J827" t="s">
        <v>1517</v>
      </c>
      <c r="K827" t="s">
        <v>1514</v>
      </c>
      <c r="L827" s="2">
        <v>4</v>
      </c>
      <c r="M827" s="10">
        <v>677</v>
      </c>
      <c r="N827" s="7">
        <v>2708</v>
      </c>
    </row>
    <row r="828" spans="1:14" x14ac:dyDescent="0.3">
      <c r="A828">
        <v>1281</v>
      </c>
      <c r="B828" s="1">
        <v>45622</v>
      </c>
      <c r="C828">
        <v>2024</v>
      </c>
      <c r="D828">
        <v>11</v>
      </c>
      <c r="E828" t="str">
        <f t="shared" si="12"/>
        <v>November</v>
      </c>
      <c r="F828">
        <v>4</v>
      </c>
      <c r="G828" t="s">
        <v>1511</v>
      </c>
      <c r="H828" t="s">
        <v>1512</v>
      </c>
      <c r="I828" t="s">
        <v>1528</v>
      </c>
      <c r="J828" t="s">
        <v>1524</v>
      </c>
      <c r="K828" t="s">
        <v>1514</v>
      </c>
      <c r="L828" s="2">
        <v>1</v>
      </c>
      <c r="M828" s="10">
        <v>47291</v>
      </c>
      <c r="N828" s="7">
        <v>47291</v>
      </c>
    </row>
    <row r="829" spans="1:14" x14ac:dyDescent="0.3">
      <c r="A829">
        <v>1281</v>
      </c>
      <c r="B829" s="1">
        <v>45459</v>
      </c>
      <c r="C829">
        <v>2024</v>
      </c>
      <c r="D829">
        <v>6</v>
      </c>
      <c r="E829" t="str">
        <f t="shared" si="12"/>
        <v>Juni</v>
      </c>
      <c r="F829">
        <v>2</v>
      </c>
      <c r="G829" t="s">
        <v>1511</v>
      </c>
      <c r="H829" t="s">
        <v>1512</v>
      </c>
      <c r="I829" t="s">
        <v>1528</v>
      </c>
      <c r="J829" t="s">
        <v>1524</v>
      </c>
      <c r="K829" t="s">
        <v>1514</v>
      </c>
      <c r="L829" s="2">
        <v>1</v>
      </c>
      <c r="M829" s="10">
        <v>47291</v>
      </c>
      <c r="N829" s="7">
        <v>47291</v>
      </c>
    </row>
    <row r="830" spans="1:14" x14ac:dyDescent="0.3">
      <c r="A830">
        <v>1281</v>
      </c>
      <c r="B830" s="1">
        <v>44621</v>
      </c>
      <c r="C830">
        <v>2022</v>
      </c>
      <c r="D830">
        <v>3</v>
      </c>
      <c r="E830" t="str">
        <f t="shared" si="12"/>
        <v>Maret</v>
      </c>
      <c r="F830">
        <v>1</v>
      </c>
      <c r="G830" t="s">
        <v>1511</v>
      </c>
      <c r="H830" t="s">
        <v>1512</v>
      </c>
      <c r="I830" t="s">
        <v>1528</v>
      </c>
      <c r="J830" t="s">
        <v>1524</v>
      </c>
      <c r="K830" t="s">
        <v>1514</v>
      </c>
      <c r="L830" s="2">
        <v>1</v>
      </c>
      <c r="M830" s="10">
        <v>47291</v>
      </c>
      <c r="N830" s="7">
        <v>47291</v>
      </c>
    </row>
    <row r="831" spans="1:14" x14ac:dyDescent="0.3">
      <c r="A831">
        <v>1282</v>
      </c>
      <c r="B831" s="1">
        <v>45262</v>
      </c>
      <c r="C831">
        <v>2023</v>
      </c>
      <c r="D831">
        <v>12</v>
      </c>
      <c r="E831" t="str">
        <f t="shared" si="12"/>
        <v>Desember</v>
      </c>
      <c r="F831">
        <v>4</v>
      </c>
      <c r="G831" t="s">
        <v>1515</v>
      </c>
      <c r="H831" t="s">
        <v>1512</v>
      </c>
      <c r="I831" t="s">
        <v>1521</v>
      </c>
      <c r="J831" t="s">
        <v>1524</v>
      </c>
      <c r="K831" t="s">
        <v>1514</v>
      </c>
      <c r="L831" s="2">
        <v>3</v>
      </c>
      <c r="M831" s="10">
        <v>2127</v>
      </c>
      <c r="N831" s="7">
        <v>6381</v>
      </c>
    </row>
    <row r="832" spans="1:14" x14ac:dyDescent="0.3">
      <c r="A832">
        <v>1282</v>
      </c>
      <c r="B832" s="1">
        <v>45214</v>
      </c>
      <c r="C832">
        <v>2023</v>
      </c>
      <c r="D832">
        <v>10</v>
      </c>
      <c r="E832" t="str">
        <f t="shared" si="12"/>
        <v>Oktober</v>
      </c>
      <c r="F832">
        <v>4</v>
      </c>
      <c r="G832" t="s">
        <v>1515</v>
      </c>
      <c r="H832" t="s">
        <v>1512</v>
      </c>
      <c r="I832" t="s">
        <v>1521</v>
      </c>
      <c r="J832" t="s">
        <v>1524</v>
      </c>
      <c r="K832" t="s">
        <v>1514</v>
      </c>
      <c r="L832" s="2">
        <v>3</v>
      </c>
      <c r="M832" s="10">
        <v>2127</v>
      </c>
      <c r="N832" s="7">
        <v>6381</v>
      </c>
    </row>
    <row r="833" spans="1:14" x14ac:dyDescent="0.3">
      <c r="A833">
        <v>1282</v>
      </c>
      <c r="B833" s="1">
        <v>45308</v>
      </c>
      <c r="C833">
        <v>2024</v>
      </c>
      <c r="D833">
        <v>1</v>
      </c>
      <c r="E833" t="str">
        <f t="shared" si="12"/>
        <v>Januari</v>
      </c>
      <c r="F833">
        <v>1</v>
      </c>
      <c r="G833" t="s">
        <v>1515</v>
      </c>
      <c r="H833" t="s">
        <v>1512</v>
      </c>
      <c r="I833" t="s">
        <v>1521</v>
      </c>
      <c r="J833" t="s">
        <v>1524</v>
      </c>
      <c r="K833" t="s">
        <v>1514</v>
      </c>
      <c r="L833" s="2">
        <v>3</v>
      </c>
      <c r="M833" s="10">
        <v>2127</v>
      </c>
      <c r="N833" s="7">
        <v>6381</v>
      </c>
    </row>
    <row r="834" spans="1:14" x14ac:dyDescent="0.3">
      <c r="A834">
        <v>1283</v>
      </c>
      <c r="B834" s="1">
        <v>45087</v>
      </c>
      <c r="C834">
        <v>2023</v>
      </c>
      <c r="D834">
        <v>6</v>
      </c>
      <c r="E834" t="str">
        <f t="shared" si="12"/>
        <v>Juni</v>
      </c>
      <c r="F834">
        <v>2</v>
      </c>
      <c r="G834" t="s">
        <v>1534</v>
      </c>
      <c r="H834" t="s">
        <v>1530</v>
      </c>
      <c r="I834" t="s">
        <v>1516</v>
      </c>
      <c r="J834" t="s">
        <v>1517</v>
      </c>
      <c r="K834" t="s">
        <v>1514</v>
      </c>
      <c r="L834" s="2">
        <v>3</v>
      </c>
      <c r="M834" s="10">
        <v>2869</v>
      </c>
      <c r="N834" s="7">
        <v>8607</v>
      </c>
    </row>
    <row r="835" spans="1:14" x14ac:dyDescent="0.3">
      <c r="A835">
        <v>1283</v>
      </c>
      <c r="B835" s="1">
        <v>45254</v>
      </c>
      <c r="C835">
        <v>2023</v>
      </c>
      <c r="D835">
        <v>11</v>
      </c>
      <c r="E835" t="str">
        <f t="shared" ref="E835:E898" si="13">TEXT(DATE(2026, D835, 1), "[$-id-ID]mmmm")</f>
        <v>November</v>
      </c>
      <c r="F835">
        <v>4</v>
      </c>
      <c r="G835" t="s">
        <v>1534</v>
      </c>
      <c r="H835" t="s">
        <v>1530</v>
      </c>
      <c r="I835" t="s">
        <v>1516</v>
      </c>
      <c r="J835" t="s">
        <v>1517</v>
      </c>
      <c r="K835" t="s">
        <v>1514</v>
      </c>
      <c r="L835" s="2">
        <v>3</v>
      </c>
      <c r="M835" s="10">
        <v>2869</v>
      </c>
      <c r="N835" s="7">
        <v>8607</v>
      </c>
    </row>
    <row r="836" spans="1:14" x14ac:dyDescent="0.3">
      <c r="A836">
        <v>1283</v>
      </c>
      <c r="B836" s="1">
        <v>45503</v>
      </c>
      <c r="C836">
        <v>2024</v>
      </c>
      <c r="D836">
        <v>7</v>
      </c>
      <c r="E836" t="str">
        <f t="shared" si="13"/>
        <v>Juli</v>
      </c>
      <c r="F836">
        <v>3</v>
      </c>
      <c r="G836" t="s">
        <v>1534</v>
      </c>
      <c r="H836" t="s">
        <v>1530</v>
      </c>
      <c r="I836" t="s">
        <v>1516</v>
      </c>
      <c r="J836" t="s">
        <v>1517</v>
      </c>
      <c r="K836" t="s">
        <v>1514</v>
      </c>
      <c r="L836" s="2">
        <v>3</v>
      </c>
      <c r="M836" s="10">
        <v>2869</v>
      </c>
      <c r="N836" s="7">
        <v>8607</v>
      </c>
    </row>
    <row r="837" spans="1:14" x14ac:dyDescent="0.3">
      <c r="A837">
        <v>1283</v>
      </c>
      <c r="B837" s="1">
        <v>45233</v>
      </c>
      <c r="C837">
        <v>2023</v>
      </c>
      <c r="D837">
        <v>11</v>
      </c>
      <c r="E837" t="str">
        <f t="shared" si="13"/>
        <v>November</v>
      </c>
      <c r="F837">
        <v>4</v>
      </c>
      <c r="G837" t="s">
        <v>1534</v>
      </c>
      <c r="H837" t="s">
        <v>1530</v>
      </c>
      <c r="I837" t="s">
        <v>1516</v>
      </c>
      <c r="J837" t="s">
        <v>1517</v>
      </c>
      <c r="K837" t="s">
        <v>1514</v>
      </c>
      <c r="L837" s="2">
        <v>3</v>
      </c>
      <c r="M837" s="10">
        <v>2869</v>
      </c>
      <c r="N837" s="7">
        <v>8607</v>
      </c>
    </row>
    <row r="838" spans="1:14" x14ac:dyDescent="0.3">
      <c r="A838">
        <v>1283</v>
      </c>
      <c r="B838" s="1">
        <v>45648</v>
      </c>
      <c r="C838">
        <v>2024</v>
      </c>
      <c r="D838">
        <v>12</v>
      </c>
      <c r="E838" t="str">
        <f t="shared" si="13"/>
        <v>Desember</v>
      </c>
      <c r="F838">
        <v>4</v>
      </c>
      <c r="G838" t="s">
        <v>1534</v>
      </c>
      <c r="H838" t="s">
        <v>1530</v>
      </c>
      <c r="I838" t="s">
        <v>1516</v>
      </c>
      <c r="J838" t="s">
        <v>1517</v>
      </c>
      <c r="K838" t="s">
        <v>1514</v>
      </c>
      <c r="L838" s="2">
        <v>3</v>
      </c>
      <c r="M838" s="10">
        <v>2869</v>
      </c>
      <c r="N838" s="7">
        <v>8607</v>
      </c>
    </row>
    <row r="839" spans="1:14" x14ac:dyDescent="0.3">
      <c r="A839">
        <v>1284</v>
      </c>
      <c r="B839" s="1">
        <v>45508</v>
      </c>
      <c r="C839">
        <v>2024</v>
      </c>
      <c r="D839">
        <v>8</v>
      </c>
      <c r="E839" t="str">
        <f t="shared" si="13"/>
        <v>Agustus</v>
      </c>
      <c r="F839">
        <v>3</v>
      </c>
      <c r="G839" t="s">
        <v>1519</v>
      </c>
      <c r="H839" t="s">
        <v>1520</v>
      </c>
      <c r="I839" t="s">
        <v>1531</v>
      </c>
      <c r="J839" t="s">
        <v>1524</v>
      </c>
      <c r="K839" t="s">
        <v>1525</v>
      </c>
      <c r="L839" s="2">
        <v>3</v>
      </c>
      <c r="M839" s="10">
        <v>7361</v>
      </c>
      <c r="N839" s="7">
        <v>22083</v>
      </c>
    </row>
    <row r="840" spans="1:14" x14ac:dyDescent="0.3">
      <c r="A840">
        <v>1284</v>
      </c>
      <c r="B840" s="1">
        <v>45219</v>
      </c>
      <c r="C840">
        <v>2023</v>
      </c>
      <c r="D840">
        <v>10</v>
      </c>
      <c r="E840" t="str">
        <f t="shared" si="13"/>
        <v>Oktober</v>
      </c>
      <c r="F840">
        <v>4</v>
      </c>
      <c r="G840" t="s">
        <v>1519</v>
      </c>
      <c r="H840" t="s">
        <v>1520</v>
      </c>
      <c r="I840" t="s">
        <v>1531</v>
      </c>
      <c r="J840" t="s">
        <v>1524</v>
      </c>
      <c r="K840" t="s">
        <v>1525</v>
      </c>
      <c r="L840" s="2">
        <v>3</v>
      </c>
      <c r="M840" s="10">
        <v>7361</v>
      </c>
      <c r="N840" s="7">
        <v>22083</v>
      </c>
    </row>
    <row r="841" spans="1:14" x14ac:dyDescent="0.3">
      <c r="A841">
        <v>1284</v>
      </c>
      <c r="B841" s="1">
        <v>45573</v>
      </c>
      <c r="C841">
        <v>2024</v>
      </c>
      <c r="D841">
        <v>10</v>
      </c>
      <c r="E841" t="str">
        <f t="shared" si="13"/>
        <v>Oktober</v>
      </c>
      <c r="F841">
        <v>4</v>
      </c>
      <c r="G841" t="s">
        <v>1519</v>
      </c>
      <c r="H841" t="s">
        <v>1520</v>
      </c>
      <c r="I841" t="s">
        <v>1531</v>
      </c>
      <c r="J841" t="s">
        <v>1524</v>
      </c>
      <c r="K841" t="s">
        <v>1525</v>
      </c>
      <c r="L841" s="2">
        <v>3</v>
      </c>
      <c r="M841" s="10">
        <v>7361</v>
      </c>
      <c r="N841" s="7">
        <v>22083</v>
      </c>
    </row>
    <row r="842" spans="1:14" x14ac:dyDescent="0.3">
      <c r="A842">
        <v>1284</v>
      </c>
      <c r="B842" s="1">
        <v>45065</v>
      </c>
      <c r="C842">
        <v>2023</v>
      </c>
      <c r="D842">
        <v>5</v>
      </c>
      <c r="E842" t="str">
        <f t="shared" si="13"/>
        <v>Mei</v>
      </c>
      <c r="F842">
        <v>2</v>
      </c>
      <c r="G842" t="s">
        <v>1519</v>
      </c>
      <c r="H842" t="s">
        <v>1520</v>
      </c>
      <c r="I842" t="s">
        <v>1531</v>
      </c>
      <c r="J842" t="s">
        <v>1524</v>
      </c>
      <c r="K842" t="s">
        <v>1525</v>
      </c>
      <c r="L842" s="2">
        <v>3</v>
      </c>
      <c r="M842" s="10">
        <v>7361</v>
      </c>
      <c r="N842" s="7">
        <v>22083</v>
      </c>
    </row>
    <row r="843" spans="1:14" x14ac:dyDescent="0.3">
      <c r="A843">
        <v>1286</v>
      </c>
      <c r="B843" s="1">
        <v>44608</v>
      </c>
      <c r="C843">
        <v>2022</v>
      </c>
      <c r="D843">
        <v>2</v>
      </c>
      <c r="E843" t="str">
        <f t="shared" si="13"/>
        <v>Februari</v>
      </c>
      <c r="F843">
        <v>1</v>
      </c>
      <c r="G843" t="s">
        <v>1523</v>
      </c>
      <c r="H843" t="s">
        <v>1512</v>
      </c>
      <c r="I843" t="s">
        <v>1528</v>
      </c>
      <c r="J843" t="s">
        <v>1517</v>
      </c>
      <c r="K843" t="s">
        <v>1518</v>
      </c>
      <c r="L843" s="2">
        <v>1</v>
      </c>
      <c r="M843" s="10">
        <v>16337</v>
      </c>
      <c r="N843" s="7">
        <v>16337</v>
      </c>
    </row>
    <row r="844" spans="1:14" x14ac:dyDescent="0.3">
      <c r="A844">
        <v>1286</v>
      </c>
      <c r="B844" s="1">
        <v>45392</v>
      </c>
      <c r="C844">
        <v>2024</v>
      </c>
      <c r="D844">
        <v>4</v>
      </c>
      <c r="E844" t="str">
        <f t="shared" si="13"/>
        <v>April</v>
      </c>
      <c r="F844">
        <v>2</v>
      </c>
      <c r="G844" t="s">
        <v>1523</v>
      </c>
      <c r="H844" t="s">
        <v>1512</v>
      </c>
      <c r="I844" t="s">
        <v>1528</v>
      </c>
      <c r="J844" t="s">
        <v>1517</v>
      </c>
      <c r="K844" t="s">
        <v>1518</v>
      </c>
      <c r="L844" s="2">
        <v>1</v>
      </c>
      <c r="M844" s="10">
        <v>16337</v>
      </c>
      <c r="N844" s="7">
        <v>16337</v>
      </c>
    </row>
    <row r="845" spans="1:14" x14ac:dyDescent="0.3">
      <c r="A845">
        <v>1286</v>
      </c>
      <c r="B845" s="1">
        <v>45027</v>
      </c>
      <c r="C845">
        <v>2023</v>
      </c>
      <c r="D845">
        <v>4</v>
      </c>
      <c r="E845" t="str">
        <f t="shared" si="13"/>
        <v>April</v>
      </c>
      <c r="F845">
        <v>2</v>
      </c>
      <c r="G845" t="s">
        <v>1523</v>
      </c>
      <c r="H845" t="s">
        <v>1512</v>
      </c>
      <c r="I845" t="s">
        <v>1528</v>
      </c>
      <c r="J845" t="s">
        <v>1517</v>
      </c>
      <c r="K845" t="s">
        <v>1518</v>
      </c>
      <c r="L845" s="2">
        <v>1</v>
      </c>
      <c r="M845" s="10">
        <v>16337</v>
      </c>
      <c r="N845" s="7">
        <v>16337</v>
      </c>
    </row>
    <row r="846" spans="1:14" x14ac:dyDescent="0.3">
      <c r="A846">
        <v>1286</v>
      </c>
      <c r="B846" s="1">
        <v>45290</v>
      </c>
      <c r="C846">
        <v>2023</v>
      </c>
      <c r="D846">
        <v>12</v>
      </c>
      <c r="E846" t="str">
        <f t="shared" si="13"/>
        <v>Desember</v>
      </c>
      <c r="F846">
        <v>4</v>
      </c>
      <c r="G846" t="s">
        <v>1523</v>
      </c>
      <c r="H846" t="s">
        <v>1512</v>
      </c>
      <c r="I846" t="s">
        <v>1528</v>
      </c>
      <c r="J846" t="s">
        <v>1517</v>
      </c>
      <c r="K846" t="s">
        <v>1518</v>
      </c>
      <c r="L846" s="2">
        <v>1</v>
      </c>
      <c r="M846" s="10">
        <v>16337</v>
      </c>
      <c r="N846" s="7">
        <v>16337</v>
      </c>
    </row>
    <row r="847" spans="1:14" x14ac:dyDescent="0.3">
      <c r="A847">
        <v>1287</v>
      </c>
      <c r="B847" s="1">
        <v>44930</v>
      </c>
      <c r="C847">
        <v>2023</v>
      </c>
      <c r="D847">
        <v>1</v>
      </c>
      <c r="E847" t="str">
        <f t="shared" si="13"/>
        <v>Januari</v>
      </c>
      <c r="F847">
        <v>1</v>
      </c>
      <c r="G847" t="s">
        <v>1526</v>
      </c>
      <c r="H847" t="s">
        <v>1527</v>
      </c>
      <c r="I847" t="s">
        <v>1513</v>
      </c>
      <c r="J847" t="s">
        <v>1566</v>
      </c>
      <c r="K847" t="s">
        <v>1514</v>
      </c>
      <c r="L847" s="2">
        <v>3</v>
      </c>
      <c r="M847" s="10">
        <v>295</v>
      </c>
      <c r="N847" s="7">
        <v>885</v>
      </c>
    </row>
    <row r="848" spans="1:14" x14ac:dyDescent="0.3">
      <c r="A848">
        <v>1287</v>
      </c>
      <c r="B848" s="1">
        <v>45081</v>
      </c>
      <c r="C848">
        <v>2023</v>
      </c>
      <c r="D848">
        <v>6</v>
      </c>
      <c r="E848" t="str">
        <f t="shared" si="13"/>
        <v>Juni</v>
      </c>
      <c r="F848">
        <v>2</v>
      </c>
      <c r="G848" t="s">
        <v>1526</v>
      </c>
      <c r="H848" t="s">
        <v>1527</v>
      </c>
      <c r="I848" t="s">
        <v>1513</v>
      </c>
      <c r="J848" t="s">
        <v>1566</v>
      </c>
      <c r="K848" t="s">
        <v>1514</v>
      </c>
      <c r="L848" s="2">
        <v>3</v>
      </c>
      <c r="M848" s="10">
        <v>295</v>
      </c>
      <c r="N848" s="7">
        <v>885</v>
      </c>
    </row>
    <row r="849" spans="1:14" x14ac:dyDescent="0.3">
      <c r="A849">
        <v>1287</v>
      </c>
      <c r="B849" s="1">
        <v>45023</v>
      </c>
      <c r="C849">
        <v>2023</v>
      </c>
      <c r="D849">
        <v>4</v>
      </c>
      <c r="E849" t="str">
        <f t="shared" si="13"/>
        <v>April</v>
      </c>
      <c r="F849">
        <v>2</v>
      </c>
      <c r="G849" t="s">
        <v>1526</v>
      </c>
      <c r="H849" t="s">
        <v>1527</v>
      </c>
      <c r="I849" t="s">
        <v>1513</v>
      </c>
      <c r="J849" t="s">
        <v>1566</v>
      </c>
      <c r="K849" t="s">
        <v>1514</v>
      </c>
      <c r="L849" s="2">
        <v>3</v>
      </c>
      <c r="M849" s="10">
        <v>295</v>
      </c>
      <c r="N849" s="7">
        <v>885</v>
      </c>
    </row>
    <row r="850" spans="1:14" x14ac:dyDescent="0.3">
      <c r="A850">
        <v>1287</v>
      </c>
      <c r="B850" s="1">
        <v>45639</v>
      </c>
      <c r="C850">
        <v>2024</v>
      </c>
      <c r="D850">
        <v>12</v>
      </c>
      <c r="E850" t="str">
        <f t="shared" si="13"/>
        <v>Desember</v>
      </c>
      <c r="F850">
        <v>4</v>
      </c>
      <c r="G850" t="s">
        <v>1526</v>
      </c>
      <c r="H850" t="s">
        <v>1527</v>
      </c>
      <c r="I850" t="s">
        <v>1513</v>
      </c>
      <c r="J850" t="s">
        <v>1566</v>
      </c>
      <c r="K850" t="s">
        <v>1514</v>
      </c>
      <c r="L850" s="2">
        <v>3</v>
      </c>
      <c r="M850" s="10">
        <v>295</v>
      </c>
      <c r="N850" s="7">
        <v>885</v>
      </c>
    </row>
    <row r="851" spans="1:14" x14ac:dyDescent="0.3">
      <c r="A851">
        <v>1287</v>
      </c>
      <c r="B851" s="1">
        <v>45230</v>
      </c>
      <c r="C851">
        <v>2023</v>
      </c>
      <c r="D851">
        <v>10</v>
      </c>
      <c r="E851" t="str">
        <f t="shared" si="13"/>
        <v>Oktober</v>
      </c>
      <c r="F851">
        <v>4</v>
      </c>
      <c r="G851" t="s">
        <v>1526</v>
      </c>
      <c r="H851" t="s">
        <v>1527</v>
      </c>
      <c r="I851" t="s">
        <v>1513</v>
      </c>
      <c r="J851" t="s">
        <v>1566</v>
      </c>
      <c r="K851" t="s">
        <v>1514</v>
      </c>
      <c r="L851" s="2">
        <v>3</v>
      </c>
      <c r="M851" s="10">
        <v>295</v>
      </c>
      <c r="N851" s="7">
        <v>885</v>
      </c>
    </row>
    <row r="852" spans="1:14" x14ac:dyDescent="0.3">
      <c r="A852">
        <v>1288</v>
      </c>
      <c r="B852" s="1">
        <v>45646</v>
      </c>
      <c r="C852">
        <v>2024</v>
      </c>
      <c r="D852">
        <v>12</v>
      </c>
      <c r="E852" t="str">
        <f t="shared" si="13"/>
        <v>Desember</v>
      </c>
      <c r="F852">
        <v>4</v>
      </c>
      <c r="G852" t="s">
        <v>1529</v>
      </c>
      <c r="H852" t="s">
        <v>1530</v>
      </c>
      <c r="I852" t="s">
        <v>1535</v>
      </c>
      <c r="J852" t="s">
        <v>1566</v>
      </c>
      <c r="K852" t="s">
        <v>1518</v>
      </c>
      <c r="L852" s="2">
        <v>2</v>
      </c>
      <c r="M852" s="10">
        <v>1486</v>
      </c>
      <c r="N852" s="7">
        <v>2972</v>
      </c>
    </row>
    <row r="853" spans="1:14" x14ac:dyDescent="0.3">
      <c r="A853">
        <v>1289</v>
      </c>
      <c r="B853" s="1">
        <v>45253</v>
      </c>
      <c r="C853">
        <v>2023</v>
      </c>
      <c r="D853">
        <v>11</v>
      </c>
      <c r="E853" t="str">
        <f t="shared" si="13"/>
        <v>November</v>
      </c>
      <c r="F853">
        <v>4</v>
      </c>
      <c r="G853" t="s">
        <v>1532</v>
      </c>
      <c r="H853" t="s">
        <v>1512</v>
      </c>
      <c r="I853" t="s">
        <v>1535</v>
      </c>
      <c r="J853" t="s">
        <v>1566</v>
      </c>
      <c r="K853" t="s">
        <v>1525</v>
      </c>
      <c r="L853" s="2">
        <v>2</v>
      </c>
      <c r="M853" s="10">
        <v>12872</v>
      </c>
      <c r="N853" s="7">
        <v>25744</v>
      </c>
    </row>
    <row r="854" spans="1:14" x14ac:dyDescent="0.3">
      <c r="A854">
        <v>1289</v>
      </c>
      <c r="B854" s="1">
        <v>45066</v>
      </c>
      <c r="C854">
        <v>2023</v>
      </c>
      <c r="D854">
        <v>5</v>
      </c>
      <c r="E854" t="str">
        <f t="shared" si="13"/>
        <v>Mei</v>
      </c>
      <c r="F854">
        <v>2</v>
      </c>
      <c r="G854" t="s">
        <v>1532</v>
      </c>
      <c r="H854" t="s">
        <v>1512</v>
      </c>
      <c r="I854" t="s">
        <v>1535</v>
      </c>
      <c r="J854" t="s">
        <v>1566</v>
      </c>
      <c r="K854" t="s">
        <v>1525</v>
      </c>
      <c r="L854" s="2">
        <v>2</v>
      </c>
      <c r="M854" s="10">
        <v>12872</v>
      </c>
      <c r="N854" s="7">
        <v>25744</v>
      </c>
    </row>
    <row r="855" spans="1:14" x14ac:dyDescent="0.3">
      <c r="A855">
        <v>1289</v>
      </c>
      <c r="B855" s="1">
        <v>44647</v>
      </c>
      <c r="C855">
        <v>2022</v>
      </c>
      <c r="D855">
        <v>3</v>
      </c>
      <c r="E855" t="str">
        <f t="shared" si="13"/>
        <v>Maret</v>
      </c>
      <c r="F855">
        <v>1</v>
      </c>
      <c r="G855" t="s">
        <v>1532</v>
      </c>
      <c r="H855" t="s">
        <v>1512</v>
      </c>
      <c r="I855" t="s">
        <v>1535</v>
      </c>
      <c r="J855" t="s">
        <v>1566</v>
      </c>
      <c r="K855" t="s">
        <v>1525</v>
      </c>
      <c r="L855" s="2">
        <v>2</v>
      </c>
      <c r="M855" s="10">
        <v>12872</v>
      </c>
      <c r="N855" s="7">
        <v>25744</v>
      </c>
    </row>
    <row r="856" spans="1:14" x14ac:dyDescent="0.3">
      <c r="A856">
        <v>1289</v>
      </c>
      <c r="B856" s="1">
        <v>44799</v>
      </c>
      <c r="C856">
        <v>2022</v>
      </c>
      <c r="D856">
        <v>8</v>
      </c>
      <c r="E856" t="str">
        <f t="shared" si="13"/>
        <v>Agustus</v>
      </c>
      <c r="F856">
        <v>3</v>
      </c>
      <c r="G856" t="s">
        <v>1532</v>
      </c>
      <c r="H856" t="s">
        <v>1512</v>
      </c>
      <c r="I856" t="s">
        <v>1535</v>
      </c>
      <c r="J856" t="s">
        <v>1566</v>
      </c>
      <c r="K856" t="s">
        <v>1525</v>
      </c>
      <c r="L856" s="2">
        <v>2</v>
      </c>
      <c r="M856" s="10">
        <v>12872</v>
      </c>
      <c r="N856" s="7">
        <v>25744</v>
      </c>
    </row>
    <row r="857" spans="1:14" x14ac:dyDescent="0.3">
      <c r="A857">
        <v>1290</v>
      </c>
      <c r="B857" s="1">
        <v>44627</v>
      </c>
      <c r="C857">
        <v>2022</v>
      </c>
      <c r="D857">
        <v>3</v>
      </c>
      <c r="E857" t="str">
        <f t="shared" si="13"/>
        <v>Maret</v>
      </c>
      <c r="F857">
        <v>1</v>
      </c>
      <c r="G857" t="s">
        <v>1533</v>
      </c>
      <c r="H857" t="s">
        <v>1520</v>
      </c>
      <c r="I857" t="s">
        <v>1521</v>
      </c>
      <c r="J857" t="s">
        <v>1517</v>
      </c>
      <c r="K857" t="s">
        <v>1518</v>
      </c>
      <c r="L857" s="2">
        <v>3</v>
      </c>
      <c r="M857" s="10">
        <v>740</v>
      </c>
      <c r="N857" s="7">
        <v>2220</v>
      </c>
    </row>
    <row r="858" spans="1:14" x14ac:dyDescent="0.3">
      <c r="A858">
        <v>1290</v>
      </c>
      <c r="B858" s="1">
        <v>44966</v>
      </c>
      <c r="C858">
        <v>2023</v>
      </c>
      <c r="D858">
        <v>2</v>
      </c>
      <c r="E858" t="str">
        <f t="shared" si="13"/>
        <v>Februari</v>
      </c>
      <c r="F858">
        <v>1</v>
      </c>
      <c r="G858" t="s">
        <v>1533</v>
      </c>
      <c r="H858" t="s">
        <v>1520</v>
      </c>
      <c r="I858" t="s">
        <v>1521</v>
      </c>
      <c r="J858" t="s">
        <v>1517</v>
      </c>
      <c r="K858" t="s">
        <v>1518</v>
      </c>
      <c r="L858" s="2">
        <v>3</v>
      </c>
      <c r="M858" s="10">
        <v>740</v>
      </c>
      <c r="N858" s="7">
        <v>2220</v>
      </c>
    </row>
    <row r="859" spans="1:14" x14ac:dyDescent="0.3">
      <c r="A859">
        <v>1290</v>
      </c>
      <c r="B859" s="1">
        <v>45189</v>
      </c>
      <c r="C859">
        <v>2023</v>
      </c>
      <c r="D859">
        <v>9</v>
      </c>
      <c r="E859" t="str">
        <f t="shared" si="13"/>
        <v>September</v>
      </c>
      <c r="F859">
        <v>3</v>
      </c>
      <c r="G859" t="s">
        <v>1533</v>
      </c>
      <c r="H859" t="s">
        <v>1520</v>
      </c>
      <c r="I859" t="s">
        <v>1521</v>
      </c>
      <c r="J859" t="s">
        <v>1517</v>
      </c>
      <c r="K859" t="s">
        <v>1518</v>
      </c>
      <c r="L859" s="2">
        <v>3</v>
      </c>
      <c r="M859" s="10">
        <v>740</v>
      </c>
      <c r="N859" s="7">
        <v>2220</v>
      </c>
    </row>
    <row r="860" spans="1:14" x14ac:dyDescent="0.3">
      <c r="A860">
        <v>1291</v>
      </c>
      <c r="B860" s="1">
        <v>45545</v>
      </c>
      <c r="C860">
        <v>2024</v>
      </c>
      <c r="D860">
        <v>9</v>
      </c>
      <c r="E860" t="str">
        <f t="shared" si="13"/>
        <v>September</v>
      </c>
      <c r="F860">
        <v>3</v>
      </c>
      <c r="G860" t="s">
        <v>1511</v>
      </c>
      <c r="H860" t="s">
        <v>1512</v>
      </c>
      <c r="I860" t="s">
        <v>1535</v>
      </c>
      <c r="J860" t="s">
        <v>1517</v>
      </c>
      <c r="K860" t="s">
        <v>1514</v>
      </c>
      <c r="L860" s="2">
        <v>1</v>
      </c>
      <c r="M860" s="10">
        <v>69296</v>
      </c>
      <c r="N860" s="7">
        <v>69296</v>
      </c>
    </row>
    <row r="861" spans="1:14" x14ac:dyDescent="0.3">
      <c r="A861">
        <v>1291</v>
      </c>
      <c r="B861" s="1">
        <v>45293</v>
      </c>
      <c r="C861">
        <v>2024</v>
      </c>
      <c r="D861">
        <v>1</v>
      </c>
      <c r="E861" t="str">
        <f t="shared" si="13"/>
        <v>Januari</v>
      </c>
      <c r="F861">
        <v>1</v>
      </c>
      <c r="G861" t="s">
        <v>1511</v>
      </c>
      <c r="H861" t="s">
        <v>1512</v>
      </c>
      <c r="I861" t="s">
        <v>1535</v>
      </c>
      <c r="J861" t="s">
        <v>1517</v>
      </c>
      <c r="K861" t="s">
        <v>1514</v>
      </c>
      <c r="L861" s="2">
        <v>1</v>
      </c>
      <c r="M861" s="10">
        <v>69296</v>
      </c>
      <c r="N861" s="7">
        <v>69296</v>
      </c>
    </row>
    <row r="862" spans="1:14" x14ac:dyDescent="0.3">
      <c r="A862">
        <v>1291</v>
      </c>
      <c r="B862" s="1">
        <v>45429</v>
      </c>
      <c r="C862">
        <v>2024</v>
      </c>
      <c r="D862">
        <v>5</v>
      </c>
      <c r="E862" t="str">
        <f t="shared" si="13"/>
        <v>Mei</v>
      </c>
      <c r="F862">
        <v>2</v>
      </c>
      <c r="G862" t="s">
        <v>1511</v>
      </c>
      <c r="H862" t="s">
        <v>1512</v>
      </c>
      <c r="I862" t="s">
        <v>1535</v>
      </c>
      <c r="J862" t="s">
        <v>1517</v>
      </c>
      <c r="K862" t="s">
        <v>1514</v>
      </c>
      <c r="L862" s="2">
        <v>1</v>
      </c>
      <c r="M862" s="10">
        <v>69296</v>
      </c>
      <c r="N862" s="7">
        <v>69296</v>
      </c>
    </row>
    <row r="863" spans="1:14" x14ac:dyDescent="0.3">
      <c r="A863">
        <v>1291</v>
      </c>
      <c r="B863" s="1">
        <v>45475</v>
      </c>
      <c r="C863">
        <v>2024</v>
      </c>
      <c r="D863">
        <v>7</v>
      </c>
      <c r="E863" t="str">
        <f t="shared" si="13"/>
        <v>Juli</v>
      </c>
      <c r="F863">
        <v>3</v>
      </c>
      <c r="G863" t="s">
        <v>1511</v>
      </c>
      <c r="H863" t="s">
        <v>1512</v>
      </c>
      <c r="I863" t="s">
        <v>1535</v>
      </c>
      <c r="J863" t="s">
        <v>1517</v>
      </c>
      <c r="K863" t="s">
        <v>1514</v>
      </c>
      <c r="L863" s="2">
        <v>1</v>
      </c>
      <c r="M863" s="10">
        <v>69296</v>
      </c>
      <c r="N863" s="7">
        <v>69296</v>
      </c>
    </row>
    <row r="864" spans="1:14" x14ac:dyDescent="0.3">
      <c r="A864">
        <v>1292</v>
      </c>
      <c r="B864" s="1">
        <v>44942</v>
      </c>
      <c r="C864">
        <v>2023</v>
      </c>
      <c r="D864">
        <v>1</v>
      </c>
      <c r="E864" t="str">
        <f t="shared" si="13"/>
        <v>Januari</v>
      </c>
      <c r="F864">
        <v>1</v>
      </c>
      <c r="G864" t="s">
        <v>1515</v>
      </c>
      <c r="H864" t="s">
        <v>1512</v>
      </c>
      <c r="I864" t="s">
        <v>1531</v>
      </c>
      <c r="J864" t="s">
        <v>1566</v>
      </c>
      <c r="K864" t="s">
        <v>1518</v>
      </c>
      <c r="L864" s="2">
        <v>1</v>
      </c>
      <c r="M864" s="10">
        <v>3960</v>
      </c>
      <c r="N864" s="7">
        <v>3960</v>
      </c>
    </row>
    <row r="865" spans="1:14" x14ac:dyDescent="0.3">
      <c r="A865">
        <v>1292</v>
      </c>
      <c r="B865" s="1">
        <v>45071</v>
      </c>
      <c r="C865">
        <v>2023</v>
      </c>
      <c r="D865">
        <v>5</v>
      </c>
      <c r="E865" t="str">
        <f t="shared" si="13"/>
        <v>Mei</v>
      </c>
      <c r="F865">
        <v>2</v>
      </c>
      <c r="G865" t="s">
        <v>1515</v>
      </c>
      <c r="H865" t="s">
        <v>1512</v>
      </c>
      <c r="I865" t="s">
        <v>1531</v>
      </c>
      <c r="J865" t="s">
        <v>1566</v>
      </c>
      <c r="K865" t="s">
        <v>1518</v>
      </c>
      <c r="L865" s="2">
        <v>1</v>
      </c>
      <c r="M865" s="10">
        <v>3960</v>
      </c>
      <c r="N865" s="7">
        <v>3960</v>
      </c>
    </row>
    <row r="866" spans="1:14" x14ac:dyDescent="0.3">
      <c r="A866">
        <v>1292</v>
      </c>
      <c r="B866" s="1">
        <v>45325</v>
      </c>
      <c r="C866">
        <v>2024</v>
      </c>
      <c r="D866">
        <v>2</v>
      </c>
      <c r="E866" t="str">
        <f t="shared" si="13"/>
        <v>Februari</v>
      </c>
      <c r="F866">
        <v>1</v>
      </c>
      <c r="G866" t="s">
        <v>1515</v>
      </c>
      <c r="H866" t="s">
        <v>1512</v>
      </c>
      <c r="I866" t="s">
        <v>1531</v>
      </c>
      <c r="J866" t="s">
        <v>1566</v>
      </c>
      <c r="K866" t="s">
        <v>1518</v>
      </c>
      <c r="L866" s="2">
        <v>1</v>
      </c>
      <c r="M866" s="10">
        <v>3960</v>
      </c>
      <c r="N866" s="7">
        <v>3960</v>
      </c>
    </row>
    <row r="867" spans="1:14" x14ac:dyDescent="0.3">
      <c r="A867">
        <v>1292</v>
      </c>
      <c r="B867" s="1">
        <v>44660</v>
      </c>
      <c r="C867">
        <v>2022</v>
      </c>
      <c r="D867">
        <v>4</v>
      </c>
      <c r="E867" t="str">
        <f t="shared" si="13"/>
        <v>April</v>
      </c>
      <c r="F867">
        <v>2</v>
      </c>
      <c r="G867" t="s">
        <v>1515</v>
      </c>
      <c r="H867" t="s">
        <v>1512</v>
      </c>
      <c r="I867" t="s">
        <v>1531</v>
      </c>
      <c r="J867" t="s">
        <v>1566</v>
      </c>
      <c r="K867" t="s">
        <v>1518</v>
      </c>
      <c r="L867" s="2">
        <v>1</v>
      </c>
      <c r="M867" s="10">
        <v>3960</v>
      </c>
      <c r="N867" s="7">
        <v>3960</v>
      </c>
    </row>
    <row r="868" spans="1:14" x14ac:dyDescent="0.3">
      <c r="A868">
        <v>1292</v>
      </c>
      <c r="B868" s="1">
        <v>45052</v>
      </c>
      <c r="C868">
        <v>2023</v>
      </c>
      <c r="D868">
        <v>5</v>
      </c>
      <c r="E868" t="str">
        <f t="shared" si="13"/>
        <v>Mei</v>
      </c>
      <c r="F868">
        <v>2</v>
      </c>
      <c r="G868" t="s">
        <v>1515</v>
      </c>
      <c r="H868" t="s">
        <v>1512</v>
      </c>
      <c r="I868" t="s">
        <v>1531</v>
      </c>
      <c r="J868" t="s">
        <v>1566</v>
      </c>
      <c r="K868" t="s">
        <v>1518</v>
      </c>
      <c r="L868" s="2">
        <v>1</v>
      </c>
      <c r="M868" s="10">
        <v>3960</v>
      </c>
      <c r="N868" s="7">
        <v>3960</v>
      </c>
    </row>
    <row r="869" spans="1:14" x14ac:dyDescent="0.3">
      <c r="A869">
        <v>1292</v>
      </c>
      <c r="B869" s="1">
        <v>44597</v>
      </c>
      <c r="C869">
        <v>2022</v>
      </c>
      <c r="D869">
        <v>2</v>
      </c>
      <c r="E869" t="str">
        <f t="shared" si="13"/>
        <v>Februari</v>
      </c>
      <c r="F869">
        <v>1</v>
      </c>
      <c r="G869" t="s">
        <v>1515</v>
      </c>
      <c r="H869" t="s">
        <v>1512</v>
      </c>
      <c r="I869" t="s">
        <v>1531</v>
      </c>
      <c r="J869" t="s">
        <v>1566</v>
      </c>
      <c r="K869" t="s">
        <v>1518</v>
      </c>
      <c r="L869" s="2">
        <v>1</v>
      </c>
      <c r="M869" s="10">
        <v>3960</v>
      </c>
      <c r="N869" s="7">
        <v>3960</v>
      </c>
    </row>
    <row r="870" spans="1:14" x14ac:dyDescent="0.3">
      <c r="A870">
        <v>1293</v>
      </c>
      <c r="B870" s="1">
        <v>45246</v>
      </c>
      <c r="C870">
        <v>2023</v>
      </c>
      <c r="D870">
        <v>11</v>
      </c>
      <c r="E870" t="str">
        <f t="shared" si="13"/>
        <v>November</v>
      </c>
      <c r="F870">
        <v>4</v>
      </c>
      <c r="G870" t="s">
        <v>1534</v>
      </c>
      <c r="H870" t="s">
        <v>1530</v>
      </c>
      <c r="I870" t="s">
        <v>1535</v>
      </c>
      <c r="J870" t="s">
        <v>1566</v>
      </c>
      <c r="K870" t="s">
        <v>1518</v>
      </c>
      <c r="L870" s="2">
        <v>3</v>
      </c>
      <c r="M870" s="10">
        <v>4486</v>
      </c>
      <c r="N870" s="7">
        <v>13458</v>
      </c>
    </row>
    <row r="871" spans="1:14" x14ac:dyDescent="0.3">
      <c r="A871">
        <v>1293</v>
      </c>
      <c r="B871" s="1">
        <v>44645</v>
      </c>
      <c r="C871">
        <v>2022</v>
      </c>
      <c r="D871">
        <v>3</v>
      </c>
      <c r="E871" t="str">
        <f t="shared" si="13"/>
        <v>Maret</v>
      </c>
      <c r="F871">
        <v>1</v>
      </c>
      <c r="G871" t="s">
        <v>1534</v>
      </c>
      <c r="H871" t="s">
        <v>1530</v>
      </c>
      <c r="I871" t="s">
        <v>1535</v>
      </c>
      <c r="J871" t="s">
        <v>1566</v>
      </c>
      <c r="K871" t="s">
        <v>1518</v>
      </c>
      <c r="L871" s="2">
        <v>3</v>
      </c>
      <c r="M871" s="10">
        <v>4486</v>
      </c>
      <c r="N871" s="7">
        <v>13458</v>
      </c>
    </row>
    <row r="872" spans="1:14" x14ac:dyDescent="0.3">
      <c r="A872">
        <v>1294</v>
      </c>
      <c r="B872" s="1">
        <v>44887</v>
      </c>
      <c r="C872">
        <v>2022</v>
      </c>
      <c r="D872">
        <v>11</v>
      </c>
      <c r="E872" t="str">
        <f t="shared" si="13"/>
        <v>November</v>
      </c>
      <c r="F872">
        <v>4</v>
      </c>
      <c r="G872" t="s">
        <v>1519</v>
      </c>
      <c r="H872" t="s">
        <v>1520</v>
      </c>
      <c r="I872" t="s">
        <v>1535</v>
      </c>
      <c r="J872" t="s">
        <v>1566</v>
      </c>
      <c r="K872" t="s">
        <v>1518</v>
      </c>
      <c r="L872" s="2">
        <v>1</v>
      </c>
      <c r="M872" s="10">
        <v>18146</v>
      </c>
      <c r="N872" s="7">
        <v>18146</v>
      </c>
    </row>
    <row r="873" spans="1:14" x14ac:dyDescent="0.3">
      <c r="A873">
        <v>1294</v>
      </c>
      <c r="B873" s="1">
        <v>44807</v>
      </c>
      <c r="C873">
        <v>2022</v>
      </c>
      <c r="D873">
        <v>9</v>
      </c>
      <c r="E873" t="str">
        <f t="shared" si="13"/>
        <v>September</v>
      </c>
      <c r="F873">
        <v>3</v>
      </c>
      <c r="G873" t="s">
        <v>1519</v>
      </c>
      <c r="H873" t="s">
        <v>1520</v>
      </c>
      <c r="I873" t="s">
        <v>1535</v>
      </c>
      <c r="J873" t="s">
        <v>1566</v>
      </c>
      <c r="K873" t="s">
        <v>1518</v>
      </c>
      <c r="L873" s="2">
        <v>1</v>
      </c>
      <c r="M873" s="10">
        <v>18146</v>
      </c>
      <c r="N873" s="7">
        <v>18146</v>
      </c>
    </row>
    <row r="874" spans="1:14" x14ac:dyDescent="0.3">
      <c r="A874">
        <v>1294</v>
      </c>
      <c r="B874" s="1">
        <v>45003</v>
      </c>
      <c r="C874">
        <v>2023</v>
      </c>
      <c r="D874">
        <v>3</v>
      </c>
      <c r="E874" t="str">
        <f t="shared" si="13"/>
        <v>Maret</v>
      </c>
      <c r="F874">
        <v>1</v>
      </c>
      <c r="G874" t="s">
        <v>1519</v>
      </c>
      <c r="H874" t="s">
        <v>1520</v>
      </c>
      <c r="I874" t="s">
        <v>1535</v>
      </c>
      <c r="J874" t="s">
        <v>1566</v>
      </c>
      <c r="K874" t="s">
        <v>1518</v>
      </c>
      <c r="L874" s="2">
        <v>1</v>
      </c>
      <c r="M874" s="10">
        <v>18146</v>
      </c>
      <c r="N874" s="7">
        <v>18146</v>
      </c>
    </row>
    <row r="875" spans="1:14" x14ac:dyDescent="0.3">
      <c r="A875">
        <v>1294</v>
      </c>
      <c r="B875" s="1">
        <v>44779</v>
      </c>
      <c r="C875">
        <v>2022</v>
      </c>
      <c r="D875">
        <v>8</v>
      </c>
      <c r="E875" t="str">
        <f t="shared" si="13"/>
        <v>Agustus</v>
      </c>
      <c r="F875">
        <v>3</v>
      </c>
      <c r="G875" t="s">
        <v>1519</v>
      </c>
      <c r="H875" t="s">
        <v>1520</v>
      </c>
      <c r="I875" t="s">
        <v>1535</v>
      </c>
      <c r="J875" t="s">
        <v>1566</v>
      </c>
      <c r="K875" t="s">
        <v>1518</v>
      </c>
      <c r="L875" s="2">
        <v>1</v>
      </c>
      <c r="M875" s="10">
        <v>18146</v>
      </c>
      <c r="N875" s="7">
        <v>18146</v>
      </c>
    </row>
    <row r="876" spans="1:14" x14ac:dyDescent="0.3">
      <c r="A876">
        <v>1296</v>
      </c>
      <c r="B876" s="1">
        <v>44834</v>
      </c>
      <c r="C876">
        <v>2022</v>
      </c>
      <c r="D876">
        <v>9</v>
      </c>
      <c r="E876" t="str">
        <f t="shared" si="13"/>
        <v>September</v>
      </c>
      <c r="F876">
        <v>3</v>
      </c>
      <c r="G876" t="s">
        <v>1523</v>
      </c>
      <c r="H876" t="s">
        <v>1512</v>
      </c>
      <c r="I876" t="s">
        <v>1516</v>
      </c>
      <c r="J876" t="s">
        <v>1524</v>
      </c>
      <c r="K876" t="s">
        <v>1518</v>
      </c>
      <c r="L876" s="2">
        <v>1</v>
      </c>
      <c r="M876" s="10">
        <v>34548</v>
      </c>
      <c r="N876" s="7">
        <v>34548</v>
      </c>
    </row>
    <row r="877" spans="1:14" x14ac:dyDescent="0.3">
      <c r="A877">
        <v>1296</v>
      </c>
      <c r="B877" s="1">
        <v>45286</v>
      </c>
      <c r="C877">
        <v>2023</v>
      </c>
      <c r="D877">
        <v>12</v>
      </c>
      <c r="E877" t="str">
        <f t="shared" si="13"/>
        <v>Desember</v>
      </c>
      <c r="F877">
        <v>4</v>
      </c>
      <c r="G877" t="s">
        <v>1523</v>
      </c>
      <c r="H877" t="s">
        <v>1512</v>
      </c>
      <c r="I877" t="s">
        <v>1516</v>
      </c>
      <c r="J877" t="s">
        <v>1524</v>
      </c>
      <c r="K877" t="s">
        <v>1518</v>
      </c>
      <c r="L877" s="2">
        <v>1</v>
      </c>
      <c r="M877" s="10">
        <v>34548</v>
      </c>
      <c r="N877" s="7">
        <v>34548</v>
      </c>
    </row>
    <row r="878" spans="1:14" x14ac:dyDescent="0.3">
      <c r="A878">
        <v>1296</v>
      </c>
      <c r="B878" s="1">
        <v>44755</v>
      </c>
      <c r="C878">
        <v>2022</v>
      </c>
      <c r="D878">
        <v>7</v>
      </c>
      <c r="E878" t="str">
        <f t="shared" si="13"/>
        <v>Juli</v>
      </c>
      <c r="F878">
        <v>3</v>
      </c>
      <c r="G878" t="s">
        <v>1523</v>
      </c>
      <c r="H878" t="s">
        <v>1512</v>
      </c>
      <c r="I878" t="s">
        <v>1516</v>
      </c>
      <c r="J878" t="s">
        <v>1524</v>
      </c>
      <c r="K878" t="s">
        <v>1518</v>
      </c>
      <c r="L878" s="2">
        <v>1</v>
      </c>
      <c r="M878" s="10">
        <v>34548</v>
      </c>
      <c r="N878" s="7">
        <v>34548</v>
      </c>
    </row>
    <row r="879" spans="1:14" x14ac:dyDescent="0.3">
      <c r="A879">
        <v>1296</v>
      </c>
      <c r="B879" s="1">
        <v>45420</v>
      </c>
      <c r="C879">
        <v>2024</v>
      </c>
      <c r="D879">
        <v>5</v>
      </c>
      <c r="E879" t="str">
        <f t="shared" si="13"/>
        <v>Mei</v>
      </c>
      <c r="F879">
        <v>2</v>
      </c>
      <c r="G879" t="s">
        <v>1523</v>
      </c>
      <c r="H879" t="s">
        <v>1512</v>
      </c>
      <c r="I879" t="s">
        <v>1516</v>
      </c>
      <c r="J879" t="s">
        <v>1524</v>
      </c>
      <c r="K879" t="s">
        <v>1518</v>
      </c>
      <c r="L879" s="2">
        <v>1</v>
      </c>
      <c r="M879" s="10">
        <v>34548</v>
      </c>
      <c r="N879" s="7">
        <v>34548</v>
      </c>
    </row>
    <row r="880" spans="1:14" x14ac:dyDescent="0.3">
      <c r="A880">
        <v>1297</v>
      </c>
      <c r="B880" s="1">
        <v>45280</v>
      </c>
      <c r="C880">
        <v>2023</v>
      </c>
      <c r="D880">
        <v>12</v>
      </c>
      <c r="E880" t="str">
        <f t="shared" si="13"/>
        <v>Desember</v>
      </c>
      <c r="F880">
        <v>4</v>
      </c>
      <c r="G880" t="s">
        <v>1526</v>
      </c>
      <c r="H880" t="s">
        <v>1527</v>
      </c>
      <c r="I880" t="s">
        <v>1531</v>
      </c>
      <c r="J880" t="s">
        <v>1524</v>
      </c>
      <c r="K880" t="s">
        <v>1525</v>
      </c>
      <c r="L880" s="2">
        <v>1</v>
      </c>
      <c r="M880" s="10">
        <v>925</v>
      </c>
      <c r="N880" s="7">
        <v>925</v>
      </c>
    </row>
    <row r="881" spans="1:14" x14ac:dyDescent="0.3">
      <c r="A881">
        <v>1298</v>
      </c>
      <c r="B881" s="1">
        <v>44916</v>
      </c>
      <c r="C881">
        <v>2022</v>
      </c>
      <c r="D881">
        <v>12</v>
      </c>
      <c r="E881" t="str">
        <f t="shared" si="13"/>
        <v>Desember</v>
      </c>
      <c r="F881">
        <v>4</v>
      </c>
      <c r="G881" t="s">
        <v>1529</v>
      </c>
      <c r="H881" t="s">
        <v>1530</v>
      </c>
      <c r="I881" t="s">
        <v>1535</v>
      </c>
      <c r="J881" t="s">
        <v>1517</v>
      </c>
      <c r="K881" t="s">
        <v>1525</v>
      </c>
      <c r="L881" s="2">
        <v>4</v>
      </c>
      <c r="M881" s="10">
        <v>899</v>
      </c>
      <c r="N881" s="7">
        <v>3596</v>
      </c>
    </row>
    <row r="882" spans="1:14" x14ac:dyDescent="0.3">
      <c r="A882">
        <v>1299</v>
      </c>
      <c r="B882" s="1">
        <v>45076</v>
      </c>
      <c r="C882">
        <v>2023</v>
      </c>
      <c r="D882">
        <v>5</v>
      </c>
      <c r="E882" t="str">
        <f t="shared" si="13"/>
        <v>Mei</v>
      </c>
      <c r="F882">
        <v>2</v>
      </c>
      <c r="G882" t="s">
        <v>1532</v>
      </c>
      <c r="H882" t="s">
        <v>1512</v>
      </c>
      <c r="I882" t="s">
        <v>1528</v>
      </c>
      <c r="J882" t="s">
        <v>1517</v>
      </c>
      <c r="K882" t="s">
        <v>1514</v>
      </c>
      <c r="L882" s="2">
        <v>2</v>
      </c>
      <c r="M882" s="10">
        <v>11888</v>
      </c>
      <c r="N882" s="7">
        <v>23776</v>
      </c>
    </row>
    <row r="883" spans="1:14" x14ac:dyDescent="0.3">
      <c r="A883">
        <v>1299</v>
      </c>
      <c r="B883" s="1">
        <v>44714</v>
      </c>
      <c r="C883">
        <v>2022</v>
      </c>
      <c r="D883">
        <v>6</v>
      </c>
      <c r="E883" t="str">
        <f t="shared" si="13"/>
        <v>Juni</v>
      </c>
      <c r="F883">
        <v>2</v>
      </c>
      <c r="G883" t="s">
        <v>1532</v>
      </c>
      <c r="H883" t="s">
        <v>1512</v>
      </c>
      <c r="I883" t="s">
        <v>1528</v>
      </c>
      <c r="J883" t="s">
        <v>1517</v>
      </c>
      <c r="K883" t="s">
        <v>1514</v>
      </c>
      <c r="L883" s="2">
        <v>2</v>
      </c>
      <c r="M883" s="10">
        <v>11888</v>
      </c>
      <c r="N883" s="7">
        <v>23776</v>
      </c>
    </row>
    <row r="884" spans="1:14" x14ac:dyDescent="0.3">
      <c r="A884">
        <v>1299</v>
      </c>
      <c r="B884" s="1">
        <v>45072</v>
      </c>
      <c r="C884">
        <v>2023</v>
      </c>
      <c r="D884">
        <v>5</v>
      </c>
      <c r="E884" t="str">
        <f t="shared" si="13"/>
        <v>Mei</v>
      </c>
      <c r="F884">
        <v>2</v>
      </c>
      <c r="G884" t="s">
        <v>1532</v>
      </c>
      <c r="H884" t="s">
        <v>1512</v>
      </c>
      <c r="I884" t="s">
        <v>1528</v>
      </c>
      <c r="J884" t="s">
        <v>1517</v>
      </c>
      <c r="K884" t="s">
        <v>1514</v>
      </c>
      <c r="L884" s="2">
        <v>2</v>
      </c>
      <c r="M884" s="10">
        <v>11888</v>
      </c>
      <c r="N884" s="7">
        <v>23776</v>
      </c>
    </row>
    <row r="885" spans="1:14" x14ac:dyDescent="0.3">
      <c r="A885">
        <v>1301</v>
      </c>
      <c r="B885" s="1">
        <v>44624</v>
      </c>
      <c r="C885">
        <v>2022</v>
      </c>
      <c r="D885">
        <v>3</v>
      </c>
      <c r="E885" t="str">
        <f t="shared" si="13"/>
        <v>Maret</v>
      </c>
      <c r="F885">
        <v>1</v>
      </c>
      <c r="G885" t="s">
        <v>1511</v>
      </c>
      <c r="H885" t="s">
        <v>1512</v>
      </c>
      <c r="I885" t="s">
        <v>1516</v>
      </c>
      <c r="J885" t="s">
        <v>1517</v>
      </c>
      <c r="K885" t="s">
        <v>1525</v>
      </c>
      <c r="L885" s="2">
        <v>1</v>
      </c>
      <c r="M885" s="10">
        <v>57645</v>
      </c>
      <c r="N885" s="7">
        <v>57645</v>
      </c>
    </row>
    <row r="886" spans="1:14" x14ac:dyDescent="0.3">
      <c r="A886">
        <v>1302</v>
      </c>
      <c r="B886" s="1">
        <v>45093</v>
      </c>
      <c r="C886">
        <v>2023</v>
      </c>
      <c r="D886">
        <v>6</v>
      </c>
      <c r="E886" t="str">
        <f t="shared" si="13"/>
        <v>Juni</v>
      </c>
      <c r="F886">
        <v>2</v>
      </c>
      <c r="G886" t="s">
        <v>1515</v>
      </c>
      <c r="H886" t="s">
        <v>1512</v>
      </c>
      <c r="I886" t="s">
        <v>1516</v>
      </c>
      <c r="J886" t="s">
        <v>1566</v>
      </c>
      <c r="K886" t="s">
        <v>1514</v>
      </c>
      <c r="L886" s="2">
        <v>2</v>
      </c>
      <c r="M886" s="10">
        <v>3967</v>
      </c>
      <c r="N886" s="7">
        <v>7934</v>
      </c>
    </row>
    <row r="887" spans="1:14" x14ac:dyDescent="0.3">
      <c r="A887">
        <v>1302</v>
      </c>
      <c r="B887" s="1">
        <v>45062</v>
      </c>
      <c r="C887">
        <v>2023</v>
      </c>
      <c r="D887">
        <v>5</v>
      </c>
      <c r="E887" t="str">
        <f t="shared" si="13"/>
        <v>Mei</v>
      </c>
      <c r="F887">
        <v>2</v>
      </c>
      <c r="G887" t="s">
        <v>1515</v>
      </c>
      <c r="H887" t="s">
        <v>1512</v>
      </c>
      <c r="I887" t="s">
        <v>1516</v>
      </c>
      <c r="J887" t="s">
        <v>1566</v>
      </c>
      <c r="K887" t="s">
        <v>1514</v>
      </c>
      <c r="L887" s="2">
        <v>2</v>
      </c>
      <c r="M887" s="10">
        <v>3967</v>
      </c>
      <c r="N887" s="7">
        <v>7934</v>
      </c>
    </row>
    <row r="888" spans="1:14" x14ac:dyDescent="0.3">
      <c r="A888">
        <v>1303</v>
      </c>
      <c r="B888" s="1">
        <v>44893</v>
      </c>
      <c r="C888">
        <v>2022</v>
      </c>
      <c r="D888">
        <v>11</v>
      </c>
      <c r="E888" t="str">
        <f t="shared" si="13"/>
        <v>November</v>
      </c>
      <c r="F888">
        <v>4</v>
      </c>
      <c r="G888" t="s">
        <v>1534</v>
      </c>
      <c r="H888" t="s">
        <v>1530</v>
      </c>
      <c r="I888" t="s">
        <v>1516</v>
      </c>
      <c r="J888" t="s">
        <v>1566</v>
      </c>
      <c r="K888" t="s">
        <v>1518</v>
      </c>
      <c r="L888" s="2">
        <v>1</v>
      </c>
      <c r="M888" s="10">
        <v>4593</v>
      </c>
      <c r="N888" s="7">
        <v>4593</v>
      </c>
    </row>
    <row r="889" spans="1:14" x14ac:dyDescent="0.3">
      <c r="A889">
        <v>1303</v>
      </c>
      <c r="B889" s="1">
        <v>44788</v>
      </c>
      <c r="C889">
        <v>2022</v>
      </c>
      <c r="D889">
        <v>8</v>
      </c>
      <c r="E889" t="str">
        <f t="shared" si="13"/>
        <v>Agustus</v>
      </c>
      <c r="F889">
        <v>3</v>
      </c>
      <c r="G889" t="s">
        <v>1534</v>
      </c>
      <c r="H889" t="s">
        <v>1530</v>
      </c>
      <c r="I889" t="s">
        <v>1516</v>
      </c>
      <c r="J889" t="s">
        <v>1566</v>
      </c>
      <c r="K889" t="s">
        <v>1518</v>
      </c>
      <c r="L889" s="2">
        <v>1</v>
      </c>
      <c r="M889" s="10">
        <v>4593</v>
      </c>
      <c r="N889" s="7">
        <v>4593</v>
      </c>
    </row>
    <row r="890" spans="1:14" x14ac:dyDescent="0.3">
      <c r="A890">
        <v>1304</v>
      </c>
      <c r="B890" s="1">
        <v>44660</v>
      </c>
      <c r="C890">
        <v>2022</v>
      </c>
      <c r="D890">
        <v>4</v>
      </c>
      <c r="E890" t="str">
        <f t="shared" si="13"/>
        <v>April</v>
      </c>
      <c r="F890">
        <v>2</v>
      </c>
      <c r="G890" t="s">
        <v>1519</v>
      </c>
      <c r="H890" t="s">
        <v>1520</v>
      </c>
      <c r="I890" t="s">
        <v>1516</v>
      </c>
      <c r="J890" t="s">
        <v>1517</v>
      </c>
      <c r="K890" t="s">
        <v>1525</v>
      </c>
      <c r="L890" s="2">
        <v>4</v>
      </c>
      <c r="M890" s="10">
        <v>5728</v>
      </c>
      <c r="N890" s="7">
        <v>22912</v>
      </c>
    </row>
    <row r="891" spans="1:14" x14ac:dyDescent="0.3">
      <c r="A891">
        <v>1304</v>
      </c>
      <c r="B891" s="1">
        <v>44907</v>
      </c>
      <c r="C891">
        <v>2022</v>
      </c>
      <c r="D891">
        <v>12</v>
      </c>
      <c r="E891" t="str">
        <f t="shared" si="13"/>
        <v>Desember</v>
      </c>
      <c r="F891">
        <v>4</v>
      </c>
      <c r="G891" t="s">
        <v>1519</v>
      </c>
      <c r="H891" t="s">
        <v>1520</v>
      </c>
      <c r="I891" t="s">
        <v>1516</v>
      </c>
      <c r="J891" t="s">
        <v>1517</v>
      </c>
      <c r="K891" t="s">
        <v>1525</v>
      </c>
      <c r="L891" s="2">
        <v>4</v>
      </c>
      <c r="M891" s="10">
        <v>5728</v>
      </c>
      <c r="N891" s="7">
        <v>22912</v>
      </c>
    </row>
    <row r="892" spans="1:14" x14ac:dyDescent="0.3">
      <c r="A892">
        <v>1304</v>
      </c>
      <c r="B892" s="1">
        <v>45256</v>
      </c>
      <c r="C892">
        <v>2023</v>
      </c>
      <c r="D892">
        <v>11</v>
      </c>
      <c r="E892" t="str">
        <f t="shared" si="13"/>
        <v>November</v>
      </c>
      <c r="F892">
        <v>4</v>
      </c>
      <c r="G892" t="s">
        <v>1519</v>
      </c>
      <c r="H892" t="s">
        <v>1520</v>
      </c>
      <c r="I892" t="s">
        <v>1516</v>
      </c>
      <c r="J892" t="s">
        <v>1517</v>
      </c>
      <c r="K892" t="s">
        <v>1525</v>
      </c>
      <c r="L892" s="2">
        <v>4</v>
      </c>
      <c r="M892" s="10">
        <v>5728</v>
      </c>
      <c r="N892" s="7">
        <v>22912</v>
      </c>
    </row>
    <row r="893" spans="1:14" x14ac:dyDescent="0.3">
      <c r="A893">
        <v>1304</v>
      </c>
      <c r="B893" s="1">
        <v>45028</v>
      </c>
      <c r="C893">
        <v>2023</v>
      </c>
      <c r="D893">
        <v>4</v>
      </c>
      <c r="E893" t="str">
        <f t="shared" si="13"/>
        <v>April</v>
      </c>
      <c r="F893">
        <v>2</v>
      </c>
      <c r="G893" t="s">
        <v>1519</v>
      </c>
      <c r="H893" t="s">
        <v>1520</v>
      </c>
      <c r="I893" t="s">
        <v>1516</v>
      </c>
      <c r="J893" t="s">
        <v>1517</v>
      </c>
      <c r="K893" t="s">
        <v>1525</v>
      </c>
      <c r="L893" s="2">
        <v>4</v>
      </c>
      <c r="M893" s="10">
        <v>5728</v>
      </c>
      <c r="N893" s="7">
        <v>22912</v>
      </c>
    </row>
    <row r="894" spans="1:14" x14ac:dyDescent="0.3">
      <c r="A894">
        <v>1305</v>
      </c>
      <c r="B894" s="1">
        <v>45071</v>
      </c>
      <c r="C894">
        <v>2023</v>
      </c>
      <c r="D894">
        <v>5</v>
      </c>
      <c r="E894" t="str">
        <f t="shared" si="13"/>
        <v>Mei</v>
      </c>
      <c r="F894">
        <v>2</v>
      </c>
      <c r="G894" t="s">
        <v>1522</v>
      </c>
      <c r="H894" t="s">
        <v>1520</v>
      </c>
      <c r="I894" t="s">
        <v>1535</v>
      </c>
      <c r="J894" t="s">
        <v>1517</v>
      </c>
      <c r="K894" t="s">
        <v>1525</v>
      </c>
      <c r="L894" s="2">
        <v>2</v>
      </c>
      <c r="M894" s="10">
        <v>498</v>
      </c>
      <c r="N894" s="7">
        <v>996</v>
      </c>
    </row>
    <row r="895" spans="1:14" x14ac:dyDescent="0.3">
      <c r="A895">
        <v>1305</v>
      </c>
      <c r="B895" s="1">
        <v>45246</v>
      </c>
      <c r="C895">
        <v>2023</v>
      </c>
      <c r="D895">
        <v>11</v>
      </c>
      <c r="E895" t="str">
        <f t="shared" si="13"/>
        <v>November</v>
      </c>
      <c r="F895">
        <v>4</v>
      </c>
      <c r="G895" t="s">
        <v>1522</v>
      </c>
      <c r="H895" t="s">
        <v>1520</v>
      </c>
      <c r="I895" t="s">
        <v>1535</v>
      </c>
      <c r="J895" t="s">
        <v>1517</v>
      </c>
      <c r="K895" t="s">
        <v>1525</v>
      </c>
      <c r="L895" s="2">
        <v>2</v>
      </c>
      <c r="M895" s="10">
        <v>498</v>
      </c>
      <c r="N895" s="7">
        <v>996</v>
      </c>
    </row>
    <row r="896" spans="1:14" x14ac:dyDescent="0.3">
      <c r="A896">
        <v>1305</v>
      </c>
      <c r="B896" s="1">
        <v>44931</v>
      </c>
      <c r="C896">
        <v>2023</v>
      </c>
      <c r="D896">
        <v>1</v>
      </c>
      <c r="E896" t="str">
        <f t="shared" si="13"/>
        <v>Januari</v>
      </c>
      <c r="F896">
        <v>1</v>
      </c>
      <c r="G896" t="s">
        <v>1522</v>
      </c>
      <c r="H896" t="s">
        <v>1520</v>
      </c>
      <c r="I896" t="s">
        <v>1535</v>
      </c>
      <c r="J896" t="s">
        <v>1517</v>
      </c>
      <c r="K896" t="s">
        <v>1525</v>
      </c>
      <c r="L896" s="2">
        <v>2</v>
      </c>
      <c r="M896" s="10">
        <v>498</v>
      </c>
      <c r="N896" s="7">
        <v>996</v>
      </c>
    </row>
    <row r="897" spans="1:14" x14ac:dyDescent="0.3">
      <c r="A897">
        <v>1306</v>
      </c>
      <c r="B897" s="1">
        <v>45016</v>
      </c>
      <c r="C897">
        <v>2023</v>
      </c>
      <c r="D897">
        <v>3</v>
      </c>
      <c r="E897" t="str">
        <f t="shared" si="13"/>
        <v>Maret</v>
      </c>
      <c r="F897">
        <v>1</v>
      </c>
      <c r="G897" t="s">
        <v>1523</v>
      </c>
      <c r="H897" t="s">
        <v>1512</v>
      </c>
      <c r="I897" t="s">
        <v>1531</v>
      </c>
      <c r="J897" t="s">
        <v>1517</v>
      </c>
      <c r="K897" t="s">
        <v>1518</v>
      </c>
      <c r="L897" s="2">
        <v>2</v>
      </c>
      <c r="M897" s="10">
        <v>39710</v>
      </c>
      <c r="N897" s="7">
        <v>79420</v>
      </c>
    </row>
    <row r="898" spans="1:14" x14ac:dyDescent="0.3">
      <c r="A898">
        <v>1307</v>
      </c>
      <c r="B898" s="1">
        <v>44604</v>
      </c>
      <c r="C898">
        <v>2022</v>
      </c>
      <c r="D898">
        <v>2</v>
      </c>
      <c r="E898" t="str">
        <f t="shared" si="13"/>
        <v>Februari</v>
      </c>
      <c r="F898">
        <v>1</v>
      </c>
      <c r="G898" t="s">
        <v>1526</v>
      </c>
      <c r="H898" t="s">
        <v>1527</v>
      </c>
      <c r="I898" t="s">
        <v>1516</v>
      </c>
      <c r="J898" t="s">
        <v>1566</v>
      </c>
      <c r="K898" t="s">
        <v>1514</v>
      </c>
      <c r="L898" s="2">
        <v>3</v>
      </c>
      <c r="M898" s="10">
        <v>197</v>
      </c>
      <c r="N898" s="7">
        <v>591</v>
      </c>
    </row>
    <row r="899" spans="1:14" x14ac:dyDescent="0.3">
      <c r="A899">
        <v>1307</v>
      </c>
      <c r="B899" s="1">
        <v>44954</v>
      </c>
      <c r="C899">
        <v>2023</v>
      </c>
      <c r="D899">
        <v>1</v>
      </c>
      <c r="E899" t="str">
        <f t="shared" ref="E899:E962" si="14">TEXT(DATE(2026, D899, 1), "[$-id-ID]mmmm")</f>
        <v>Januari</v>
      </c>
      <c r="F899">
        <v>1</v>
      </c>
      <c r="G899" t="s">
        <v>1526</v>
      </c>
      <c r="H899" t="s">
        <v>1527</v>
      </c>
      <c r="I899" t="s">
        <v>1516</v>
      </c>
      <c r="J899" t="s">
        <v>1566</v>
      </c>
      <c r="K899" t="s">
        <v>1514</v>
      </c>
      <c r="L899" s="2">
        <v>3</v>
      </c>
      <c r="M899" s="10">
        <v>197</v>
      </c>
      <c r="N899" s="7">
        <v>591</v>
      </c>
    </row>
    <row r="900" spans="1:14" x14ac:dyDescent="0.3">
      <c r="A900">
        <v>1307</v>
      </c>
      <c r="B900" s="1">
        <v>45569</v>
      </c>
      <c r="C900">
        <v>2024</v>
      </c>
      <c r="D900">
        <v>10</v>
      </c>
      <c r="E900" t="str">
        <f t="shared" si="14"/>
        <v>Oktober</v>
      </c>
      <c r="F900">
        <v>4</v>
      </c>
      <c r="G900" t="s">
        <v>1526</v>
      </c>
      <c r="H900" t="s">
        <v>1527</v>
      </c>
      <c r="I900" t="s">
        <v>1516</v>
      </c>
      <c r="J900" t="s">
        <v>1566</v>
      </c>
      <c r="K900" t="s">
        <v>1514</v>
      </c>
      <c r="L900" s="2">
        <v>3</v>
      </c>
      <c r="M900" s="10">
        <v>197</v>
      </c>
      <c r="N900" s="7">
        <v>591</v>
      </c>
    </row>
    <row r="901" spans="1:14" x14ac:dyDescent="0.3">
      <c r="A901">
        <v>1307</v>
      </c>
      <c r="B901" s="1">
        <v>45114</v>
      </c>
      <c r="C901">
        <v>2023</v>
      </c>
      <c r="D901">
        <v>7</v>
      </c>
      <c r="E901" t="str">
        <f t="shared" si="14"/>
        <v>Juli</v>
      </c>
      <c r="F901">
        <v>3</v>
      </c>
      <c r="G901" t="s">
        <v>1526</v>
      </c>
      <c r="H901" t="s">
        <v>1527</v>
      </c>
      <c r="I901" t="s">
        <v>1516</v>
      </c>
      <c r="J901" t="s">
        <v>1566</v>
      </c>
      <c r="K901" t="s">
        <v>1514</v>
      </c>
      <c r="L901" s="2">
        <v>3</v>
      </c>
      <c r="M901" s="10">
        <v>197</v>
      </c>
      <c r="N901" s="7">
        <v>591</v>
      </c>
    </row>
    <row r="902" spans="1:14" x14ac:dyDescent="0.3">
      <c r="A902">
        <v>1308</v>
      </c>
      <c r="B902" s="1">
        <v>45124</v>
      </c>
      <c r="C902">
        <v>2023</v>
      </c>
      <c r="D902">
        <v>7</v>
      </c>
      <c r="E902" t="str">
        <f t="shared" si="14"/>
        <v>Juli</v>
      </c>
      <c r="F902">
        <v>3</v>
      </c>
      <c r="G902" t="s">
        <v>1529</v>
      </c>
      <c r="H902" t="s">
        <v>1530</v>
      </c>
      <c r="I902" t="s">
        <v>1528</v>
      </c>
      <c r="J902" t="s">
        <v>1517</v>
      </c>
      <c r="K902" t="s">
        <v>1518</v>
      </c>
      <c r="L902" s="2">
        <v>2</v>
      </c>
      <c r="M902" s="10">
        <v>1815</v>
      </c>
      <c r="N902" s="7">
        <v>3630</v>
      </c>
    </row>
    <row r="903" spans="1:14" x14ac:dyDescent="0.3">
      <c r="A903">
        <v>1309</v>
      </c>
      <c r="B903" s="1">
        <v>45528</v>
      </c>
      <c r="C903">
        <v>2024</v>
      </c>
      <c r="D903">
        <v>8</v>
      </c>
      <c r="E903" t="str">
        <f t="shared" si="14"/>
        <v>Agustus</v>
      </c>
      <c r="F903">
        <v>3</v>
      </c>
      <c r="G903" t="s">
        <v>1532</v>
      </c>
      <c r="H903" t="s">
        <v>1512</v>
      </c>
      <c r="I903" t="s">
        <v>1513</v>
      </c>
      <c r="J903" t="s">
        <v>1566</v>
      </c>
      <c r="K903" t="s">
        <v>1518</v>
      </c>
      <c r="L903" s="2">
        <v>2</v>
      </c>
      <c r="M903" s="10">
        <v>3949</v>
      </c>
      <c r="N903" s="7">
        <v>7898</v>
      </c>
    </row>
    <row r="904" spans="1:14" x14ac:dyDescent="0.3">
      <c r="A904">
        <v>1310</v>
      </c>
      <c r="B904" s="1">
        <v>44699</v>
      </c>
      <c r="C904">
        <v>2022</v>
      </c>
      <c r="D904">
        <v>5</v>
      </c>
      <c r="E904" t="str">
        <f t="shared" si="14"/>
        <v>Mei</v>
      </c>
      <c r="F904">
        <v>2</v>
      </c>
      <c r="G904" t="s">
        <v>1533</v>
      </c>
      <c r="H904" t="s">
        <v>1520</v>
      </c>
      <c r="I904" t="s">
        <v>1531</v>
      </c>
      <c r="J904" t="s">
        <v>1517</v>
      </c>
      <c r="K904" t="s">
        <v>1525</v>
      </c>
      <c r="L904" s="2">
        <v>1</v>
      </c>
      <c r="M904" s="10">
        <v>208</v>
      </c>
      <c r="N904" s="7">
        <v>208</v>
      </c>
    </row>
    <row r="905" spans="1:14" x14ac:dyDescent="0.3">
      <c r="A905">
        <v>1310</v>
      </c>
      <c r="B905" s="1">
        <v>45204</v>
      </c>
      <c r="C905">
        <v>2023</v>
      </c>
      <c r="D905">
        <v>10</v>
      </c>
      <c r="E905" t="str">
        <f t="shared" si="14"/>
        <v>Oktober</v>
      </c>
      <c r="F905">
        <v>4</v>
      </c>
      <c r="G905" t="s">
        <v>1533</v>
      </c>
      <c r="H905" t="s">
        <v>1520</v>
      </c>
      <c r="I905" t="s">
        <v>1531</v>
      </c>
      <c r="J905" t="s">
        <v>1517</v>
      </c>
      <c r="K905" t="s">
        <v>1525</v>
      </c>
      <c r="L905" s="2">
        <v>1</v>
      </c>
      <c r="M905" s="10">
        <v>208</v>
      </c>
      <c r="N905" s="7">
        <v>208</v>
      </c>
    </row>
    <row r="906" spans="1:14" x14ac:dyDescent="0.3">
      <c r="A906">
        <v>1311</v>
      </c>
      <c r="B906" s="1">
        <v>45638</v>
      </c>
      <c r="C906">
        <v>2024</v>
      </c>
      <c r="D906">
        <v>12</v>
      </c>
      <c r="E906" t="str">
        <f t="shared" si="14"/>
        <v>Desember</v>
      </c>
      <c r="F906">
        <v>4</v>
      </c>
      <c r="G906" t="s">
        <v>1511</v>
      </c>
      <c r="H906" t="s">
        <v>1512</v>
      </c>
      <c r="I906" t="s">
        <v>1531</v>
      </c>
      <c r="J906" t="s">
        <v>1517</v>
      </c>
      <c r="K906" t="s">
        <v>1525</v>
      </c>
      <c r="L906" s="2">
        <v>1</v>
      </c>
      <c r="M906" s="10">
        <v>50605</v>
      </c>
      <c r="N906" s="7">
        <v>50605</v>
      </c>
    </row>
    <row r="907" spans="1:14" x14ac:dyDescent="0.3">
      <c r="A907">
        <v>1312</v>
      </c>
      <c r="B907" s="1">
        <v>45604</v>
      </c>
      <c r="C907">
        <v>2024</v>
      </c>
      <c r="D907">
        <v>11</v>
      </c>
      <c r="E907" t="str">
        <f t="shared" si="14"/>
        <v>November</v>
      </c>
      <c r="F907">
        <v>4</v>
      </c>
      <c r="G907" t="s">
        <v>1515</v>
      </c>
      <c r="H907" t="s">
        <v>1512</v>
      </c>
      <c r="I907" t="s">
        <v>1528</v>
      </c>
      <c r="J907" t="s">
        <v>1517</v>
      </c>
      <c r="K907" t="s">
        <v>1525</v>
      </c>
      <c r="L907" s="2">
        <v>3</v>
      </c>
      <c r="M907" s="10">
        <v>4319</v>
      </c>
      <c r="N907" s="7">
        <v>12957</v>
      </c>
    </row>
    <row r="908" spans="1:14" x14ac:dyDescent="0.3">
      <c r="A908">
        <v>1312</v>
      </c>
      <c r="B908" s="1">
        <v>45487</v>
      </c>
      <c r="C908">
        <v>2024</v>
      </c>
      <c r="D908">
        <v>7</v>
      </c>
      <c r="E908" t="str">
        <f t="shared" si="14"/>
        <v>Juli</v>
      </c>
      <c r="F908">
        <v>3</v>
      </c>
      <c r="G908" t="s">
        <v>1515</v>
      </c>
      <c r="H908" t="s">
        <v>1512</v>
      </c>
      <c r="I908" t="s">
        <v>1528</v>
      </c>
      <c r="J908" t="s">
        <v>1517</v>
      </c>
      <c r="K908" t="s">
        <v>1525</v>
      </c>
      <c r="L908" s="2">
        <v>3</v>
      </c>
      <c r="M908" s="10">
        <v>4319</v>
      </c>
      <c r="N908" s="7">
        <v>12957</v>
      </c>
    </row>
    <row r="909" spans="1:14" x14ac:dyDescent="0.3">
      <c r="A909">
        <v>1312</v>
      </c>
      <c r="B909" s="1">
        <v>45111</v>
      </c>
      <c r="C909">
        <v>2023</v>
      </c>
      <c r="D909">
        <v>7</v>
      </c>
      <c r="E909" t="str">
        <f t="shared" si="14"/>
        <v>Juli</v>
      </c>
      <c r="F909">
        <v>3</v>
      </c>
      <c r="G909" t="s">
        <v>1515</v>
      </c>
      <c r="H909" t="s">
        <v>1512</v>
      </c>
      <c r="I909" t="s">
        <v>1528</v>
      </c>
      <c r="J909" t="s">
        <v>1517</v>
      </c>
      <c r="K909" t="s">
        <v>1525</v>
      </c>
      <c r="L909" s="2">
        <v>3</v>
      </c>
      <c r="M909" s="10">
        <v>4319</v>
      </c>
      <c r="N909" s="7">
        <v>12957</v>
      </c>
    </row>
    <row r="910" spans="1:14" x14ac:dyDescent="0.3">
      <c r="A910">
        <v>1312</v>
      </c>
      <c r="B910" s="1">
        <v>45056</v>
      </c>
      <c r="C910">
        <v>2023</v>
      </c>
      <c r="D910">
        <v>5</v>
      </c>
      <c r="E910" t="str">
        <f t="shared" si="14"/>
        <v>Mei</v>
      </c>
      <c r="F910">
        <v>2</v>
      </c>
      <c r="G910" t="s">
        <v>1515</v>
      </c>
      <c r="H910" t="s">
        <v>1512</v>
      </c>
      <c r="I910" t="s">
        <v>1528</v>
      </c>
      <c r="J910" t="s">
        <v>1517</v>
      </c>
      <c r="K910" t="s">
        <v>1525</v>
      </c>
      <c r="L910" s="2">
        <v>3</v>
      </c>
      <c r="M910" s="10">
        <v>4319</v>
      </c>
      <c r="N910" s="7">
        <v>12957</v>
      </c>
    </row>
    <row r="911" spans="1:14" x14ac:dyDescent="0.3">
      <c r="A911">
        <v>1312</v>
      </c>
      <c r="B911" s="1">
        <v>45167</v>
      </c>
      <c r="C911">
        <v>2023</v>
      </c>
      <c r="D911">
        <v>8</v>
      </c>
      <c r="E911" t="str">
        <f t="shared" si="14"/>
        <v>Agustus</v>
      </c>
      <c r="F911">
        <v>3</v>
      </c>
      <c r="G911" t="s">
        <v>1515</v>
      </c>
      <c r="H911" t="s">
        <v>1512</v>
      </c>
      <c r="I911" t="s">
        <v>1528</v>
      </c>
      <c r="J911" t="s">
        <v>1517</v>
      </c>
      <c r="K911" t="s">
        <v>1525</v>
      </c>
      <c r="L911" s="2">
        <v>3</v>
      </c>
      <c r="M911" s="10">
        <v>4319</v>
      </c>
      <c r="N911" s="7">
        <v>12957</v>
      </c>
    </row>
    <row r="912" spans="1:14" x14ac:dyDescent="0.3">
      <c r="A912">
        <v>1312</v>
      </c>
      <c r="B912" s="1">
        <v>45551</v>
      </c>
      <c r="C912">
        <v>2024</v>
      </c>
      <c r="D912">
        <v>9</v>
      </c>
      <c r="E912" t="str">
        <f t="shared" si="14"/>
        <v>September</v>
      </c>
      <c r="F912">
        <v>3</v>
      </c>
      <c r="G912" t="s">
        <v>1515</v>
      </c>
      <c r="H912" t="s">
        <v>1512</v>
      </c>
      <c r="I912" t="s">
        <v>1528</v>
      </c>
      <c r="J912" t="s">
        <v>1517</v>
      </c>
      <c r="K912" t="s">
        <v>1525</v>
      </c>
      <c r="L912" s="2">
        <v>3</v>
      </c>
      <c r="M912" s="10">
        <v>4319</v>
      </c>
      <c r="N912" s="7">
        <v>12957</v>
      </c>
    </row>
    <row r="913" spans="1:14" x14ac:dyDescent="0.3">
      <c r="A913">
        <v>1312</v>
      </c>
      <c r="B913" s="1">
        <v>44877</v>
      </c>
      <c r="C913">
        <v>2022</v>
      </c>
      <c r="D913">
        <v>11</v>
      </c>
      <c r="E913" t="str">
        <f t="shared" si="14"/>
        <v>November</v>
      </c>
      <c r="F913">
        <v>4</v>
      </c>
      <c r="G913" t="s">
        <v>1515</v>
      </c>
      <c r="H913" t="s">
        <v>1512</v>
      </c>
      <c r="I913" t="s">
        <v>1528</v>
      </c>
      <c r="J913" t="s">
        <v>1517</v>
      </c>
      <c r="K913" t="s">
        <v>1525</v>
      </c>
      <c r="L913" s="2">
        <v>3</v>
      </c>
      <c r="M913" s="10">
        <v>4319</v>
      </c>
      <c r="N913" s="7">
        <v>12957</v>
      </c>
    </row>
    <row r="914" spans="1:14" x14ac:dyDescent="0.3">
      <c r="A914">
        <v>1312</v>
      </c>
      <c r="B914" s="1">
        <v>44999</v>
      </c>
      <c r="C914">
        <v>2023</v>
      </c>
      <c r="D914">
        <v>3</v>
      </c>
      <c r="E914" t="str">
        <f t="shared" si="14"/>
        <v>Maret</v>
      </c>
      <c r="F914">
        <v>1</v>
      </c>
      <c r="G914" t="s">
        <v>1515</v>
      </c>
      <c r="H914" t="s">
        <v>1512</v>
      </c>
      <c r="I914" t="s">
        <v>1528</v>
      </c>
      <c r="J914" t="s">
        <v>1517</v>
      </c>
      <c r="K914" t="s">
        <v>1525</v>
      </c>
      <c r="L914" s="2">
        <v>3</v>
      </c>
      <c r="M914" s="10">
        <v>4319</v>
      </c>
      <c r="N914" s="7">
        <v>12957</v>
      </c>
    </row>
    <row r="915" spans="1:14" x14ac:dyDescent="0.3">
      <c r="A915">
        <v>1312</v>
      </c>
      <c r="B915" s="1">
        <v>44937</v>
      </c>
      <c r="C915">
        <v>2023</v>
      </c>
      <c r="D915">
        <v>1</v>
      </c>
      <c r="E915" t="str">
        <f t="shared" si="14"/>
        <v>Januari</v>
      </c>
      <c r="F915">
        <v>1</v>
      </c>
      <c r="G915" t="s">
        <v>1515</v>
      </c>
      <c r="H915" t="s">
        <v>1512</v>
      </c>
      <c r="I915" t="s">
        <v>1528</v>
      </c>
      <c r="J915" t="s">
        <v>1517</v>
      </c>
      <c r="K915" t="s">
        <v>1525</v>
      </c>
      <c r="L915" s="2">
        <v>3</v>
      </c>
      <c r="M915" s="10">
        <v>4319</v>
      </c>
      <c r="N915" s="7">
        <v>12957</v>
      </c>
    </row>
    <row r="916" spans="1:14" x14ac:dyDescent="0.3">
      <c r="A916">
        <v>1313</v>
      </c>
      <c r="B916" s="1">
        <v>45318</v>
      </c>
      <c r="C916">
        <v>2024</v>
      </c>
      <c r="D916">
        <v>1</v>
      </c>
      <c r="E916" t="str">
        <f t="shared" si="14"/>
        <v>Januari</v>
      </c>
      <c r="F916">
        <v>1</v>
      </c>
      <c r="G916" t="s">
        <v>1534</v>
      </c>
      <c r="H916" t="s">
        <v>1530</v>
      </c>
      <c r="I916" t="s">
        <v>1516</v>
      </c>
      <c r="J916" t="s">
        <v>1517</v>
      </c>
      <c r="K916" t="s">
        <v>1514</v>
      </c>
      <c r="L916" s="2">
        <v>1</v>
      </c>
      <c r="M916" s="10">
        <v>3721</v>
      </c>
      <c r="N916" s="7">
        <v>3721</v>
      </c>
    </row>
    <row r="917" spans="1:14" x14ac:dyDescent="0.3">
      <c r="A917">
        <v>1313</v>
      </c>
      <c r="B917" s="1">
        <v>45181</v>
      </c>
      <c r="C917">
        <v>2023</v>
      </c>
      <c r="D917">
        <v>9</v>
      </c>
      <c r="E917" t="str">
        <f t="shared" si="14"/>
        <v>September</v>
      </c>
      <c r="F917">
        <v>3</v>
      </c>
      <c r="G917" t="s">
        <v>1534</v>
      </c>
      <c r="H917" t="s">
        <v>1530</v>
      </c>
      <c r="I917" t="s">
        <v>1516</v>
      </c>
      <c r="J917" t="s">
        <v>1517</v>
      </c>
      <c r="K917" t="s">
        <v>1514</v>
      </c>
      <c r="L917" s="2">
        <v>1</v>
      </c>
      <c r="M917" s="10">
        <v>3721</v>
      </c>
      <c r="N917" s="7">
        <v>3721</v>
      </c>
    </row>
    <row r="918" spans="1:14" x14ac:dyDescent="0.3">
      <c r="A918">
        <v>1314</v>
      </c>
      <c r="B918" s="1">
        <v>45585</v>
      </c>
      <c r="C918">
        <v>2024</v>
      </c>
      <c r="D918">
        <v>10</v>
      </c>
      <c r="E918" t="str">
        <f t="shared" si="14"/>
        <v>Oktober</v>
      </c>
      <c r="F918">
        <v>4</v>
      </c>
      <c r="G918" t="s">
        <v>1519</v>
      </c>
      <c r="H918" t="s">
        <v>1520</v>
      </c>
      <c r="I918" t="s">
        <v>1521</v>
      </c>
      <c r="J918" t="s">
        <v>1566</v>
      </c>
      <c r="K918" t="s">
        <v>1518</v>
      </c>
      <c r="L918" s="2">
        <v>2</v>
      </c>
      <c r="M918" s="10">
        <v>12930</v>
      </c>
      <c r="N918" s="7">
        <v>25860</v>
      </c>
    </row>
    <row r="919" spans="1:14" x14ac:dyDescent="0.3">
      <c r="A919">
        <v>1314</v>
      </c>
      <c r="B919" s="1">
        <v>45561</v>
      </c>
      <c r="C919">
        <v>2024</v>
      </c>
      <c r="D919">
        <v>9</v>
      </c>
      <c r="E919" t="str">
        <f t="shared" si="14"/>
        <v>September</v>
      </c>
      <c r="F919">
        <v>3</v>
      </c>
      <c r="G919" t="s">
        <v>1519</v>
      </c>
      <c r="H919" t="s">
        <v>1520</v>
      </c>
      <c r="I919" t="s">
        <v>1521</v>
      </c>
      <c r="J919" t="s">
        <v>1566</v>
      </c>
      <c r="K919" t="s">
        <v>1518</v>
      </c>
      <c r="L919" s="2">
        <v>2</v>
      </c>
      <c r="M919" s="10">
        <v>12930</v>
      </c>
      <c r="N919" s="7">
        <v>25860</v>
      </c>
    </row>
    <row r="920" spans="1:14" x14ac:dyDescent="0.3">
      <c r="A920">
        <v>1314</v>
      </c>
      <c r="B920" s="1">
        <v>44684</v>
      </c>
      <c r="C920">
        <v>2022</v>
      </c>
      <c r="D920">
        <v>5</v>
      </c>
      <c r="E920" t="str">
        <f t="shared" si="14"/>
        <v>Mei</v>
      </c>
      <c r="F920">
        <v>2</v>
      </c>
      <c r="G920" t="s">
        <v>1519</v>
      </c>
      <c r="H920" t="s">
        <v>1520</v>
      </c>
      <c r="I920" t="s">
        <v>1521</v>
      </c>
      <c r="J920" t="s">
        <v>1566</v>
      </c>
      <c r="K920" t="s">
        <v>1518</v>
      </c>
      <c r="L920" s="2">
        <v>2</v>
      </c>
      <c r="M920" s="10">
        <v>12930</v>
      </c>
      <c r="N920" s="7">
        <v>25860</v>
      </c>
    </row>
    <row r="921" spans="1:14" x14ac:dyDescent="0.3">
      <c r="A921">
        <v>1314</v>
      </c>
      <c r="B921" s="1">
        <v>44797</v>
      </c>
      <c r="C921">
        <v>2022</v>
      </c>
      <c r="D921">
        <v>8</v>
      </c>
      <c r="E921" t="str">
        <f t="shared" si="14"/>
        <v>Agustus</v>
      </c>
      <c r="F921">
        <v>3</v>
      </c>
      <c r="G921" t="s">
        <v>1519</v>
      </c>
      <c r="H921" t="s">
        <v>1520</v>
      </c>
      <c r="I921" t="s">
        <v>1521</v>
      </c>
      <c r="J921" t="s">
        <v>1566</v>
      </c>
      <c r="K921" t="s">
        <v>1518</v>
      </c>
      <c r="L921" s="2">
        <v>2</v>
      </c>
      <c r="M921" s="10">
        <v>12930</v>
      </c>
      <c r="N921" s="7">
        <v>25860</v>
      </c>
    </row>
    <row r="922" spans="1:14" x14ac:dyDescent="0.3">
      <c r="A922">
        <v>1314</v>
      </c>
      <c r="B922" s="1">
        <v>44669</v>
      </c>
      <c r="C922">
        <v>2022</v>
      </c>
      <c r="D922">
        <v>4</v>
      </c>
      <c r="E922" t="str">
        <f t="shared" si="14"/>
        <v>April</v>
      </c>
      <c r="F922">
        <v>2</v>
      </c>
      <c r="G922" t="s">
        <v>1519</v>
      </c>
      <c r="H922" t="s">
        <v>1520</v>
      </c>
      <c r="I922" t="s">
        <v>1521</v>
      </c>
      <c r="J922" t="s">
        <v>1566</v>
      </c>
      <c r="K922" t="s">
        <v>1518</v>
      </c>
      <c r="L922" s="2">
        <v>2</v>
      </c>
      <c r="M922" s="10">
        <v>12930</v>
      </c>
      <c r="N922" s="7">
        <v>25860</v>
      </c>
    </row>
    <row r="923" spans="1:14" x14ac:dyDescent="0.3">
      <c r="A923">
        <v>1314</v>
      </c>
      <c r="B923" s="1">
        <v>45528</v>
      </c>
      <c r="C923">
        <v>2024</v>
      </c>
      <c r="D923">
        <v>8</v>
      </c>
      <c r="E923" t="str">
        <f t="shared" si="14"/>
        <v>Agustus</v>
      </c>
      <c r="F923">
        <v>3</v>
      </c>
      <c r="G923" t="s">
        <v>1519</v>
      </c>
      <c r="H923" t="s">
        <v>1520</v>
      </c>
      <c r="I923" t="s">
        <v>1521</v>
      </c>
      <c r="J923" t="s">
        <v>1566</v>
      </c>
      <c r="K923" t="s">
        <v>1518</v>
      </c>
      <c r="L923" s="2">
        <v>2</v>
      </c>
      <c r="M923" s="10">
        <v>12930</v>
      </c>
      <c r="N923" s="7">
        <v>25860</v>
      </c>
    </row>
    <row r="924" spans="1:14" x14ac:dyDescent="0.3">
      <c r="A924">
        <v>1314</v>
      </c>
      <c r="B924" s="1">
        <v>45420</v>
      </c>
      <c r="C924">
        <v>2024</v>
      </c>
      <c r="D924">
        <v>5</v>
      </c>
      <c r="E924" t="str">
        <f t="shared" si="14"/>
        <v>Mei</v>
      </c>
      <c r="F924">
        <v>2</v>
      </c>
      <c r="G924" t="s">
        <v>1519</v>
      </c>
      <c r="H924" t="s">
        <v>1520</v>
      </c>
      <c r="I924" t="s">
        <v>1521</v>
      </c>
      <c r="J924" t="s">
        <v>1566</v>
      </c>
      <c r="K924" t="s">
        <v>1518</v>
      </c>
      <c r="L924" s="2">
        <v>2</v>
      </c>
      <c r="M924" s="10">
        <v>12930</v>
      </c>
      <c r="N924" s="7">
        <v>25860</v>
      </c>
    </row>
    <row r="925" spans="1:14" x14ac:dyDescent="0.3">
      <c r="A925">
        <v>1315</v>
      </c>
      <c r="B925" s="1">
        <v>45054</v>
      </c>
      <c r="C925">
        <v>2023</v>
      </c>
      <c r="D925">
        <v>5</v>
      </c>
      <c r="E925" t="str">
        <f t="shared" si="14"/>
        <v>Mei</v>
      </c>
      <c r="F925">
        <v>2</v>
      </c>
      <c r="G925" t="s">
        <v>1522</v>
      </c>
      <c r="H925" t="s">
        <v>1520</v>
      </c>
      <c r="I925" t="s">
        <v>1521</v>
      </c>
      <c r="J925" t="s">
        <v>1524</v>
      </c>
      <c r="K925" t="s">
        <v>1514</v>
      </c>
      <c r="L925" s="2">
        <v>4</v>
      </c>
      <c r="M925" s="10">
        <v>707</v>
      </c>
      <c r="N925" s="7">
        <v>2828</v>
      </c>
    </row>
    <row r="926" spans="1:14" x14ac:dyDescent="0.3">
      <c r="A926">
        <v>1315</v>
      </c>
      <c r="B926" s="1">
        <v>45193</v>
      </c>
      <c r="C926">
        <v>2023</v>
      </c>
      <c r="D926">
        <v>9</v>
      </c>
      <c r="E926" t="str">
        <f t="shared" si="14"/>
        <v>September</v>
      </c>
      <c r="F926">
        <v>3</v>
      </c>
      <c r="G926" t="s">
        <v>1522</v>
      </c>
      <c r="H926" t="s">
        <v>1520</v>
      </c>
      <c r="I926" t="s">
        <v>1521</v>
      </c>
      <c r="J926" t="s">
        <v>1524</v>
      </c>
      <c r="K926" t="s">
        <v>1514</v>
      </c>
      <c r="L926" s="2">
        <v>4</v>
      </c>
      <c r="M926" s="10">
        <v>707</v>
      </c>
      <c r="N926" s="7">
        <v>2828</v>
      </c>
    </row>
    <row r="927" spans="1:14" x14ac:dyDescent="0.3">
      <c r="A927">
        <v>1316</v>
      </c>
      <c r="B927" s="1">
        <v>44651</v>
      </c>
      <c r="C927">
        <v>2022</v>
      </c>
      <c r="D927">
        <v>3</v>
      </c>
      <c r="E927" t="str">
        <f t="shared" si="14"/>
        <v>Maret</v>
      </c>
      <c r="F927">
        <v>1</v>
      </c>
      <c r="G927" t="s">
        <v>1523</v>
      </c>
      <c r="H927" t="s">
        <v>1512</v>
      </c>
      <c r="I927" t="s">
        <v>1528</v>
      </c>
      <c r="J927" t="s">
        <v>1524</v>
      </c>
      <c r="K927" t="s">
        <v>1514</v>
      </c>
      <c r="L927" s="2">
        <v>2</v>
      </c>
      <c r="M927" s="10">
        <v>36907</v>
      </c>
      <c r="N927" s="7">
        <v>73814</v>
      </c>
    </row>
    <row r="928" spans="1:14" x14ac:dyDescent="0.3">
      <c r="A928">
        <v>1316</v>
      </c>
      <c r="B928" s="1">
        <v>44970</v>
      </c>
      <c r="C928">
        <v>2023</v>
      </c>
      <c r="D928">
        <v>2</v>
      </c>
      <c r="E928" t="str">
        <f t="shared" si="14"/>
        <v>Februari</v>
      </c>
      <c r="F928">
        <v>1</v>
      </c>
      <c r="G928" t="s">
        <v>1523</v>
      </c>
      <c r="H928" t="s">
        <v>1512</v>
      </c>
      <c r="I928" t="s">
        <v>1528</v>
      </c>
      <c r="J928" t="s">
        <v>1524</v>
      </c>
      <c r="K928" t="s">
        <v>1514</v>
      </c>
      <c r="L928" s="2">
        <v>2</v>
      </c>
      <c r="M928" s="10">
        <v>36907</v>
      </c>
      <c r="N928" s="7">
        <v>73814</v>
      </c>
    </row>
    <row r="929" spans="1:14" x14ac:dyDescent="0.3">
      <c r="A929">
        <v>1316</v>
      </c>
      <c r="B929" s="1">
        <v>45404</v>
      </c>
      <c r="C929">
        <v>2024</v>
      </c>
      <c r="D929">
        <v>4</v>
      </c>
      <c r="E929" t="str">
        <f t="shared" si="14"/>
        <v>April</v>
      </c>
      <c r="F929">
        <v>2</v>
      </c>
      <c r="G929" t="s">
        <v>1523</v>
      </c>
      <c r="H929" t="s">
        <v>1512</v>
      </c>
      <c r="I929" t="s">
        <v>1528</v>
      </c>
      <c r="J929" t="s">
        <v>1524</v>
      </c>
      <c r="K929" t="s">
        <v>1514</v>
      </c>
      <c r="L929" s="2">
        <v>2</v>
      </c>
      <c r="M929" s="10">
        <v>36907</v>
      </c>
      <c r="N929" s="7">
        <v>73814</v>
      </c>
    </row>
    <row r="930" spans="1:14" x14ac:dyDescent="0.3">
      <c r="A930">
        <v>1316</v>
      </c>
      <c r="B930" s="1">
        <v>45458</v>
      </c>
      <c r="C930">
        <v>2024</v>
      </c>
      <c r="D930">
        <v>6</v>
      </c>
      <c r="E930" t="str">
        <f t="shared" si="14"/>
        <v>Juni</v>
      </c>
      <c r="F930">
        <v>2</v>
      </c>
      <c r="G930" t="s">
        <v>1523</v>
      </c>
      <c r="H930" t="s">
        <v>1512</v>
      </c>
      <c r="I930" t="s">
        <v>1528</v>
      </c>
      <c r="J930" t="s">
        <v>1524</v>
      </c>
      <c r="K930" t="s">
        <v>1514</v>
      </c>
      <c r="L930" s="2">
        <v>2</v>
      </c>
      <c r="M930" s="10">
        <v>36907</v>
      </c>
      <c r="N930" s="7">
        <v>73814</v>
      </c>
    </row>
    <row r="931" spans="1:14" x14ac:dyDescent="0.3">
      <c r="A931">
        <v>1316</v>
      </c>
      <c r="B931" s="1">
        <v>45385</v>
      </c>
      <c r="C931">
        <v>2024</v>
      </c>
      <c r="D931">
        <v>4</v>
      </c>
      <c r="E931" t="str">
        <f t="shared" si="14"/>
        <v>April</v>
      </c>
      <c r="F931">
        <v>2</v>
      </c>
      <c r="G931" t="s">
        <v>1523</v>
      </c>
      <c r="H931" t="s">
        <v>1512</v>
      </c>
      <c r="I931" t="s">
        <v>1528</v>
      </c>
      <c r="J931" t="s">
        <v>1524</v>
      </c>
      <c r="K931" t="s">
        <v>1514</v>
      </c>
      <c r="L931" s="2">
        <v>2</v>
      </c>
      <c r="M931" s="10">
        <v>36907</v>
      </c>
      <c r="N931" s="7">
        <v>73814</v>
      </c>
    </row>
    <row r="932" spans="1:14" x14ac:dyDescent="0.3">
      <c r="A932">
        <v>1317</v>
      </c>
      <c r="B932" s="1">
        <v>45626</v>
      </c>
      <c r="C932">
        <v>2024</v>
      </c>
      <c r="D932">
        <v>11</v>
      </c>
      <c r="E932" t="str">
        <f t="shared" si="14"/>
        <v>November</v>
      </c>
      <c r="F932">
        <v>4</v>
      </c>
      <c r="G932" t="s">
        <v>1526</v>
      </c>
      <c r="H932" t="s">
        <v>1527</v>
      </c>
      <c r="I932" t="s">
        <v>1516</v>
      </c>
      <c r="J932" t="s">
        <v>1517</v>
      </c>
      <c r="K932" t="s">
        <v>1525</v>
      </c>
      <c r="L932" s="2">
        <v>1</v>
      </c>
      <c r="M932" s="10">
        <v>942</v>
      </c>
      <c r="N932" s="7">
        <v>942</v>
      </c>
    </row>
    <row r="933" spans="1:14" x14ac:dyDescent="0.3">
      <c r="A933">
        <v>1317</v>
      </c>
      <c r="B933" s="1">
        <v>44580</v>
      </c>
      <c r="C933">
        <v>2022</v>
      </c>
      <c r="D933">
        <v>1</v>
      </c>
      <c r="E933" t="str">
        <f t="shared" si="14"/>
        <v>Januari</v>
      </c>
      <c r="F933">
        <v>1</v>
      </c>
      <c r="G933" t="s">
        <v>1526</v>
      </c>
      <c r="H933" t="s">
        <v>1527</v>
      </c>
      <c r="I933" t="s">
        <v>1516</v>
      </c>
      <c r="J933" t="s">
        <v>1517</v>
      </c>
      <c r="K933" t="s">
        <v>1525</v>
      </c>
      <c r="L933" s="2">
        <v>1</v>
      </c>
      <c r="M933" s="10">
        <v>942</v>
      </c>
      <c r="N933" s="7">
        <v>942</v>
      </c>
    </row>
    <row r="934" spans="1:14" x14ac:dyDescent="0.3">
      <c r="A934">
        <v>1318</v>
      </c>
      <c r="B934" s="1">
        <v>44779</v>
      </c>
      <c r="C934">
        <v>2022</v>
      </c>
      <c r="D934">
        <v>8</v>
      </c>
      <c r="E934" t="str">
        <f t="shared" si="14"/>
        <v>Agustus</v>
      </c>
      <c r="F934">
        <v>3</v>
      </c>
      <c r="G934" t="s">
        <v>1529</v>
      </c>
      <c r="H934" t="s">
        <v>1530</v>
      </c>
      <c r="I934" t="s">
        <v>1531</v>
      </c>
      <c r="J934" t="s">
        <v>1566</v>
      </c>
      <c r="K934" t="s">
        <v>1518</v>
      </c>
      <c r="L934" s="2">
        <v>3</v>
      </c>
      <c r="M934" s="10">
        <v>826</v>
      </c>
      <c r="N934" s="7">
        <v>2478</v>
      </c>
    </row>
    <row r="935" spans="1:14" x14ac:dyDescent="0.3">
      <c r="A935">
        <v>1318</v>
      </c>
      <c r="B935" s="1">
        <v>45496</v>
      </c>
      <c r="C935">
        <v>2024</v>
      </c>
      <c r="D935">
        <v>7</v>
      </c>
      <c r="E935" t="str">
        <f t="shared" si="14"/>
        <v>Juli</v>
      </c>
      <c r="F935">
        <v>3</v>
      </c>
      <c r="G935" t="s">
        <v>1529</v>
      </c>
      <c r="H935" t="s">
        <v>1530</v>
      </c>
      <c r="I935" t="s">
        <v>1531</v>
      </c>
      <c r="J935" t="s">
        <v>1566</v>
      </c>
      <c r="K935" t="s">
        <v>1518</v>
      </c>
      <c r="L935" s="2">
        <v>3</v>
      </c>
      <c r="M935" s="10">
        <v>826</v>
      </c>
      <c r="N935" s="7">
        <v>2478</v>
      </c>
    </row>
    <row r="936" spans="1:14" x14ac:dyDescent="0.3">
      <c r="A936">
        <v>1319</v>
      </c>
      <c r="B936" s="1">
        <v>45223</v>
      </c>
      <c r="C936">
        <v>2023</v>
      </c>
      <c r="D936">
        <v>10</v>
      </c>
      <c r="E936" t="str">
        <f t="shared" si="14"/>
        <v>Oktober</v>
      </c>
      <c r="F936">
        <v>4</v>
      </c>
      <c r="G936" t="s">
        <v>1532</v>
      </c>
      <c r="H936" t="s">
        <v>1512</v>
      </c>
      <c r="I936" t="s">
        <v>1528</v>
      </c>
      <c r="J936" t="s">
        <v>1524</v>
      </c>
      <c r="K936" t="s">
        <v>1514</v>
      </c>
      <c r="L936" s="2">
        <v>1</v>
      </c>
      <c r="M936" s="10">
        <v>3941</v>
      </c>
      <c r="N936" s="7">
        <v>3941</v>
      </c>
    </row>
    <row r="937" spans="1:14" x14ac:dyDescent="0.3">
      <c r="A937">
        <v>1319</v>
      </c>
      <c r="B937" s="1">
        <v>45431</v>
      </c>
      <c r="C937">
        <v>2024</v>
      </c>
      <c r="D937">
        <v>5</v>
      </c>
      <c r="E937" t="str">
        <f t="shared" si="14"/>
        <v>Mei</v>
      </c>
      <c r="F937">
        <v>2</v>
      </c>
      <c r="G937" t="s">
        <v>1532</v>
      </c>
      <c r="H937" t="s">
        <v>1512</v>
      </c>
      <c r="I937" t="s">
        <v>1528</v>
      </c>
      <c r="J937" t="s">
        <v>1524</v>
      </c>
      <c r="K937" t="s">
        <v>1514</v>
      </c>
      <c r="L937" s="2">
        <v>1</v>
      </c>
      <c r="M937" s="10">
        <v>3941</v>
      </c>
      <c r="N937" s="7">
        <v>3941</v>
      </c>
    </row>
    <row r="938" spans="1:14" x14ac:dyDescent="0.3">
      <c r="A938">
        <v>1319</v>
      </c>
      <c r="B938" s="1">
        <v>44871</v>
      </c>
      <c r="C938">
        <v>2022</v>
      </c>
      <c r="D938">
        <v>11</v>
      </c>
      <c r="E938" t="str">
        <f t="shared" si="14"/>
        <v>November</v>
      </c>
      <c r="F938">
        <v>4</v>
      </c>
      <c r="G938" t="s">
        <v>1532</v>
      </c>
      <c r="H938" t="s">
        <v>1512</v>
      </c>
      <c r="I938" t="s">
        <v>1528</v>
      </c>
      <c r="J938" t="s">
        <v>1524</v>
      </c>
      <c r="K938" t="s">
        <v>1514</v>
      </c>
      <c r="L938" s="2">
        <v>1</v>
      </c>
      <c r="M938" s="10">
        <v>3941</v>
      </c>
      <c r="N938" s="7">
        <v>3941</v>
      </c>
    </row>
    <row r="939" spans="1:14" x14ac:dyDescent="0.3">
      <c r="A939">
        <v>1319</v>
      </c>
      <c r="B939" s="1">
        <v>44782</v>
      </c>
      <c r="C939">
        <v>2022</v>
      </c>
      <c r="D939">
        <v>8</v>
      </c>
      <c r="E939" t="str">
        <f t="shared" si="14"/>
        <v>Agustus</v>
      </c>
      <c r="F939">
        <v>3</v>
      </c>
      <c r="G939" t="s">
        <v>1532</v>
      </c>
      <c r="H939" t="s">
        <v>1512</v>
      </c>
      <c r="I939" t="s">
        <v>1528</v>
      </c>
      <c r="J939" t="s">
        <v>1524</v>
      </c>
      <c r="K939" t="s">
        <v>1514</v>
      </c>
      <c r="L939" s="2">
        <v>1</v>
      </c>
      <c r="M939" s="10">
        <v>3941</v>
      </c>
      <c r="N939" s="7">
        <v>3941</v>
      </c>
    </row>
    <row r="940" spans="1:14" x14ac:dyDescent="0.3">
      <c r="A940">
        <v>1320</v>
      </c>
      <c r="B940" s="1">
        <v>44877</v>
      </c>
      <c r="C940">
        <v>2022</v>
      </c>
      <c r="D940">
        <v>11</v>
      </c>
      <c r="E940" t="str">
        <f t="shared" si="14"/>
        <v>November</v>
      </c>
      <c r="F940">
        <v>4</v>
      </c>
      <c r="G940" t="s">
        <v>1533</v>
      </c>
      <c r="H940" t="s">
        <v>1520</v>
      </c>
      <c r="I940" t="s">
        <v>1513</v>
      </c>
      <c r="J940" t="s">
        <v>1517</v>
      </c>
      <c r="K940" t="s">
        <v>1514</v>
      </c>
      <c r="L940" s="2">
        <v>2</v>
      </c>
      <c r="M940" s="10">
        <v>476</v>
      </c>
      <c r="N940" s="7">
        <v>952</v>
      </c>
    </row>
    <row r="941" spans="1:14" x14ac:dyDescent="0.3">
      <c r="A941">
        <v>1320</v>
      </c>
      <c r="B941" s="1">
        <v>44786</v>
      </c>
      <c r="C941">
        <v>2022</v>
      </c>
      <c r="D941">
        <v>8</v>
      </c>
      <c r="E941" t="str">
        <f t="shared" si="14"/>
        <v>Agustus</v>
      </c>
      <c r="F941">
        <v>3</v>
      </c>
      <c r="G941" t="s">
        <v>1533</v>
      </c>
      <c r="H941" t="s">
        <v>1520</v>
      </c>
      <c r="I941" t="s">
        <v>1513</v>
      </c>
      <c r="J941" t="s">
        <v>1517</v>
      </c>
      <c r="K941" t="s">
        <v>1514</v>
      </c>
      <c r="L941" s="2">
        <v>2</v>
      </c>
      <c r="M941" s="10">
        <v>476</v>
      </c>
      <c r="N941" s="7">
        <v>952</v>
      </c>
    </row>
    <row r="942" spans="1:14" x14ac:dyDescent="0.3">
      <c r="A942">
        <v>1320</v>
      </c>
      <c r="B942" s="1">
        <v>45227</v>
      </c>
      <c r="C942">
        <v>2023</v>
      </c>
      <c r="D942">
        <v>10</v>
      </c>
      <c r="E942" t="str">
        <f t="shared" si="14"/>
        <v>Oktober</v>
      </c>
      <c r="F942">
        <v>4</v>
      </c>
      <c r="G942" t="s">
        <v>1533</v>
      </c>
      <c r="H942" t="s">
        <v>1520</v>
      </c>
      <c r="I942" t="s">
        <v>1513</v>
      </c>
      <c r="J942" t="s">
        <v>1517</v>
      </c>
      <c r="K942" t="s">
        <v>1514</v>
      </c>
      <c r="L942" s="2">
        <v>2</v>
      </c>
      <c r="M942" s="10">
        <v>476</v>
      </c>
      <c r="N942" s="7">
        <v>952</v>
      </c>
    </row>
    <row r="943" spans="1:14" x14ac:dyDescent="0.3">
      <c r="A943">
        <v>1322</v>
      </c>
      <c r="B943" s="1">
        <v>44668</v>
      </c>
      <c r="C943">
        <v>2022</v>
      </c>
      <c r="D943">
        <v>4</v>
      </c>
      <c r="E943" t="str">
        <f t="shared" si="14"/>
        <v>April</v>
      </c>
      <c r="F943">
        <v>2</v>
      </c>
      <c r="G943" t="s">
        <v>1515</v>
      </c>
      <c r="H943" t="s">
        <v>1512</v>
      </c>
      <c r="I943" t="s">
        <v>1535</v>
      </c>
      <c r="J943" t="s">
        <v>1524</v>
      </c>
      <c r="K943" t="s">
        <v>1518</v>
      </c>
      <c r="L943" s="2">
        <v>1</v>
      </c>
      <c r="M943" s="10">
        <v>4084</v>
      </c>
      <c r="N943" s="7">
        <v>4084</v>
      </c>
    </row>
    <row r="944" spans="1:14" x14ac:dyDescent="0.3">
      <c r="A944">
        <v>1322</v>
      </c>
      <c r="B944" s="1">
        <v>45464</v>
      </c>
      <c r="C944">
        <v>2024</v>
      </c>
      <c r="D944">
        <v>6</v>
      </c>
      <c r="E944" t="str">
        <f t="shared" si="14"/>
        <v>Juni</v>
      </c>
      <c r="F944">
        <v>2</v>
      </c>
      <c r="G944" t="s">
        <v>1515</v>
      </c>
      <c r="H944" t="s">
        <v>1512</v>
      </c>
      <c r="I944" t="s">
        <v>1535</v>
      </c>
      <c r="J944" t="s">
        <v>1524</v>
      </c>
      <c r="K944" t="s">
        <v>1518</v>
      </c>
      <c r="L944" s="2">
        <v>1</v>
      </c>
      <c r="M944" s="10">
        <v>4084</v>
      </c>
      <c r="N944" s="7">
        <v>4084</v>
      </c>
    </row>
    <row r="945" spans="1:14" x14ac:dyDescent="0.3">
      <c r="A945">
        <v>1322</v>
      </c>
      <c r="B945" s="1">
        <v>44945</v>
      </c>
      <c r="C945">
        <v>2023</v>
      </c>
      <c r="D945">
        <v>1</v>
      </c>
      <c r="E945" t="str">
        <f t="shared" si="14"/>
        <v>Januari</v>
      </c>
      <c r="F945">
        <v>1</v>
      </c>
      <c r="G945" t="s">
        <v>1515</v>
      </c>
      <c r="H945" t="s">
        <v>1512</v>
      </c>
      <c r="I945" t="s">
        <v>1535</v>
      </c>
      <c r="J945" t="s">
        <v>1524</v>
      </c>
      <c r="K945" t="s">
        <v>1518</v>
      </c>
      <c r="L945" s="2">
        <v>1</v>
      </c>
      <c r="M945" s="10">
        <v>4084</v>
      </c>
      <c r="N945" s="7">
        <v>4084</v>
      </c>
    </row>
    <row r="946" spans="1:14" x14ac:dyDescent="0.3">
      <c r="A946">
        <v>1323</v>
      </c>
      <c r="B946" s="1">
        <v>44833</v>
      </c>
      <c r="C946">
        <v>2022</v>
      </c>
      <c r="D946">
        <v>9</v>
      </c>
      <c r="E946" t="str">
        <f t="shared" si="14"/>
        <v>September</v>
      </c>
      <c r="F946">
        <v>3</v>
      </c>
      <c r="G946" t="s">
        <v>1534</v>
      </c>
      <c r="H946" t="s">
        <v>1530</v>
      </c>
      <c r="I946" t="s">
        <v>1521</v>
      </c>
      <c r="J946" t="s">
        <v>1524</v>
      </c>
      <c r="K946" t="s">
        <v>1518</v>
      </c>
      <c r="L946" s="2">
        <v>3</v>
      </c>
      <c r="M946" s="10">
        <v>3098</v>
      </c>
      <c r="N946" s="7">
        <v>9294</v>
      </c>
    </row>
    <row r="947" spans="1:14" x14ac:dyDescent="0.3">
      <c r="A947">
        <v>1324</v>
      </c>
      <c r="B947" s="1">
        <v>44748</v>
      </c>
      <c r="C947">
        <v>2022</v>
      </c>
      <c r="D947">
        <v>7</v>
      </c>
      <c r="E947" t="str">
        <f t="shared" si="14"/>
        <v>Juli</v>
      </c>
      <c r="F947">
        <v>3</v>
      </c>
      <c r="G947" t="s">
        <v>1519</v>
      </c>
      <c r="H947" t="s">
        <v>1520</v>
      </c>
      <c r="I947" t="s">
        <v>1531</v>
      </c>
      <c r="J947" t="s">
        <v>1566</v>
      </c>
      <c r="K947" t="s">
        <v>1525</v>
      </c>
      <c r="L947" s="2">
        <v>5</v>
      </c>
      <c r="M947" s="10">
        <v>18226</v>
      </c>
      <c r="N947" s="7">
        <v>91130</v>
      </c>
    </row>
    <row r="948" spans="1:14" x14ac:dyDescent="0.3">
      <c r="A948">
        <v>1324</v>
      </c>
      <c r="B948" s="1">
        <v>44691</v>
      </c>
      <c r="C948">
        <v>2022</v>
      </c>
      <c r="D948">
        <v>5</v>
      </c>
      <c r="E948" t="str">
        <f t="shared" si="14"/>
        <v>Mei</v>
      </c>
      <c r="F948">
        <v>2</v>
      </c>
      <c r="G948" t="s">
        <v>1519</v>
      </c>
      <c r="H948" t="s">
        <v>1520</v>
      </c>
      <c r="I948" t="s">
        <v>1531</v>
      </c>
      <c r="J948" t="s">
        <v>1566</v>
      </c>
      <c r="K948" t="s">
        <v>1525</v>
      </c>
      <c r="L948" s="2">
        <v>5</v>
      </c>
      <c r="M948" s="10">
        <v>18226</v>
      </c>
      <c r="N948" s="7">
        <v>91130</v>
      </c>
    </row>
    <row r="949" spans="1:14" x14ac:dyDescent="0.3">
      <c r="A949">
        <v>1324</v>
      </c>
      <c r="B949" s="1">
        <v>45169</v>
      </c>
      <c r="C949">
        <v>2023</v>
      </c>
      <c r="D949">
        <v>8</v>
      </c>
      <c r="E949" t="str">
        <f t="shared" si="14"/>
        <v>Agustus</v>
      </c>
      <c r="F949">
        <v>3</v>
      </c>
      <c r="G949" t="s">
        <v>1519</v>
      </c>
      <c r="H949" t="s">
        <v>1520</v>
      </c>
      <c r="I949" t="s">
        <v>1531</v>
      </c>
      <c r="J949" t="s">
        <v>1566</v>
      </c>
      <c r="K949" t="s">
        <v>1525</v>
      </c>
      <c r="L949" s="2">
        <v>5</v>
      </c>
      <c r="M949" s="10">
        <v>18226</v>
      </c>
      <c r="N949" s="7">
        <v>91130</v>
      </c>
    </row>
    <row r="950" spans="1:14" x14ac:dyDescent="0.3">
      <c r="A950">
        <v>1324</v>
      </c>
      <c r="B950" s="1">
        <v>45028</v>
      </c>
      <c r="C950">
        <v>2023</v>
      </c>
      <c r="D950">
        <v>4</v>
      </c>
      <c r="E950" t="str">
        <f t="shared" si="14"/>
        <v>April</v>
      </c>
      <c r="F950">
        <v>2</v>
      </c>
      <c r="G950" t="s">
        <v>1519</v>
      </c>
      <c r="H950" t="s">
        <v>1520</v>
      </c>
      <c r="I950" t="s">
        <v>1531</v>
      </c>
      <c r="J950" t="s">
        <v>1566</v>
      </c>
      <c r="K950" t="s">
        <v>1525</v>
      </c>
      <c r="L950" s="2">
        <v>5</v>
      </c>
      <c r="M950" s="10">
        <v>18226</v>
      </c>
      <c r="N950" s="7">
        <v>91130</v>
      </c>
    </row>
    <row r="951" spans="1:14" x14ac:dyDescent="0.3">
      <c r="A951">
        <v>1325</v>
      </c>
      <c r="B951" s="1">
        <v>45321</v>
      </c>
      <c r="C951">
        <v>2024</v>
      </c>
      <c r="D951">
        <v>1</v>
      </c>
      <c r="E951" t="str">
        <f t="shared" si="14"/>
        <v>Januari</v>
      </c>
      <c r="F951">
        <v>1</v>
      </c>
      <c r="G951" t="s">
        <v>1522</v>
      </c>
      <c r="H951" t="s">
        <v>1520</v>
      </c>
      <c r="I951" t="s">
        <v>1513</v>
      </c>
      <c r="J951" t="s">
        <v>1524</v>
      </c>
      <c r="K951" t="s">
        <v>1525</v>
      </c>
      <c r="L951" s="2">
        <v>5</v>
      </c>
      <c r="M951" s="10">
        <v>298</v>
      </c>
      <c r="N951" s="7">
        <v>1490</v>
      </c>
    </row>
    <row r="952" spans="1:14" x14ac:dyDescent="0.3">
      <c r="A952">
        <v>1325</v>
      </c>
      <c r="B952" s="1">
        <v>45582</v>
      </c>
      <c r="C952">
        <v>2024</v>
      </c>
      <c r="D952">
        <v>10</v>
      </c>
      <c r="E952" t="str">
        <f t="shared" si="14"/>
        <v>Oktober</v>
      </c>
      <c r="F952">
        <v>4</v>
      </c>
      <c r="G952" t="s">
        <v>1522</v>
      </c>
      <c r="H952" t="s">
        <v>1520</v>
      </c>
      <c r="I952" t="s">
        <v>1513</v>
      </c>
      <c r="J952" t="s">
        <v>1524</v>
      </c>
      <c r="K952" t="s">
        <v>1525</v>
      </c>
      <c r="L952" s="2">
        <v>5</v>
      </c>
      <c r="M952" s="10">
        <v>298</v>
      </c>
      <c r="N952" s="7">
        <v>1490</v>
      </c>
    </row>
    <row r="953" spans="1:14" x14ac:dyDescent="0.3">
      <c r="A953">
        <v>1325</v>
      </c>
      <c r="B953" s="1">
        <v>45068</v>
      </c>
      <c r="C953">
        <v>2023</v>
      </c>
      <c r="D953">
        <v>5</v>
      </c>
      <c r="E953" t="str">
        <f t="shared" si="14"/>
        <v>Mei</v>
      </c>
      <c r="F953">
        <v>2</v>
      </c>
      <c r="G953" t="s">
        <v>1522</v>
      </c>
      <c r="H953" t="s">
        <v>1520</v>
      </c>
      <c r="I953" t="s">
        <v>1513</v>
      </c>
      <c r="J953" t="s">
        <v>1524</v>
      </c>
      <c r="K953" t="s">
        <v>1525</v>
      </c>
      <c r="L953" s="2">
        <v>5</v>
      </c>
      <c r="M953" s="10">
        <v>298</v>
      </c>
      <c r="N953" s="7">
        <v>1490</v>
      </c>
    </row>
    <row r="954" spans="1:14" x14ac:dyDescent="0.3">
      <c r="A954">
        <v>1325</v>
      </c>
      <c r="B954" s="1">
        <v>45500</v>
      </c>
      <c r="C954">
        <v>2024</v>
      </c>
      <c r="D954">
        <v>7</v>
      </c>
      <c r="E954" t="str">
        <f t="shared" si="14"/>
        <v>Juli</v>
      </c>
      <c r="F954">
        <v>3</v>
      </c>
      <c r="G954" t="s">
        <v>1522</v>
      </c>
      <c r="H954" t="s">
        <v>1520</v>
      </c>
      <c r="I954" t="s">
        <v>1513</v>
      </c>
      <c r="J954" t="s">
        <v>1524</v>
      </c>
      <c r="K954" t="s">
        <v>1525</v>
      </c>
      <c r="L954" s="2">
        <v>5</v>
      </c>
      <c r="M954" s="10">
        <v>298</v>
      </c>
      <c r="N954" s="7">
        <v>1490</v>
      </c>
    </row>
    <row r="955" spans="1:14" x14ac:dyDescent="0.3">
      <c r="A955">
        <v>1326</v>
      </c>
      <c r="B955" s="1">
        <v>45070</v>
      </c>
      <c r="C955">
        <v>2023</v>
      </c>
      <c r="D955">
        <v>5</v>
      </c>
      <c r="E955" t="str">
        <f t="shared" si="14"/>
        <v>Mei</v>
      </c>
      <c r="F955">
        <v>2</v>
      </c>
      <c r="G955" t="s">
        <v>1523</v>
      </c>
      <c r="H955" t="s">
        <v>1512</v>
      </c>
      <c r="I955" t="s">
        <v>1528</v>
      </c>
      <c r="J955" t="s">
        <v>1517</v>
      </c>
      <c r="K955" t="s">
        <v>1525</v>
      </c>
      <c r="L955" s="2">
        <v>2</v>
      </c>
      <c r="M955" s="10">
        <v>12992</v>
      </c>
      <c r="N955" s="7">
        <v>25984</v>
      </c>
    </row>
    <row r="956" spans="1:14" x14ac:dyDescent="0.3">
      <c r="A956">
        <v>1326</v>
      </c>
      <c r="B956" s="1">
        <v>44785</v>
      </c>
      <c r="C956">
        <v>2022</v>
      </c>
      <c r="D956">
        <v>8</v>
      </c>
      <c r="E956" t="str">
        <f t="shared" si="14"/>
        <v>Agustus</v>
      </c>
      <c r="F956">
        <v>3</v>
      </c>
      <c r="G956" t="s">
        <v>1523</v>
      </c>
      <c r="H956" t="s">
        <v>1512</v>
      </c>
      <c r="I956" t="s">
        <v>1528</v>
      </c>
      <c r="J956" t="s">
        <v>1517</v>
      </c>
      <c r="K956" t="s">
        <v>1525</v>
      </c>
      <c r="L956" s="2">
        <v>2</v>
      </c>
      <c r="M956" s="10">
        <v>12992</v>
      </c>
      <c r="N956" s="7">
        <v>25984</v>
      </c>
    </row>
    <row r="957" spans="1:14" x14ac:dyDescent="0.3">
      <c r="A957">
        <v>1327</v>
      </c>
      <c r="B957" s="1">
        <v>45081</v>
      </c>
      <c r="C957">
        <v>2023</v>
      </c>
      <c r="D957">
        <v>6</v>
      </c>
      <c r="E957" t="str">
        <f t="shared" si="14"/>
        <v>Juni</v>
      </c>
      <c r="F957">
        <v>2</v>
      </c>
      <c r="G957" t="s">
        <v>1526</v>
      </c>
      <c r="H957" t="s">
        <v>1527</v>
      </c>
      <c r="I957" t="s">
        <v>1516</v>
      </c>
      <c r="J957" t="s">
        <v>1517</v>
      </c>
      <c r="K957" t="s">
        <v>1525</v>
      </c>
      <c r="L957" s="2">
        <v>5</v>
      </c>
      <c r="M957" s="10">
        <v>984</v>
      </c>
      <c r="N957" s="7">
        <v>4920</v>
      </c>
    </row>
    <row r="958" spans="1:14" x14ac:dyDescent="0.3">
      <c r="A958">
        <v>1327</v>
      </c>
      <c r="B958" s="1">
        <v>44601</v>
      </c>
      <c r="C958">
        <v>2022</v>
      </c>
      <c r="D958">
        <v>2</v>
      </c>
      <c r="E958" t="str">
        <f t="shared" si="14"/>
        <v>Februari</v>
      </c>
      <c r="F958">
        <v>1</v>
      </c>
      <c r="G958" t="s">
        <v>1526</v>
      </c>
      <c r="H958" t="s">
        <v>1527</v>
      </c>
      <c r="I958" t="s">
        <v>1516</v>
      </c>
      <c r="J958" t="s">
        <v>1517</v>
      </c>
      <c r="K958" t="s">
        <v>1525</v>
      </c>
      <c r="L958" s="2">
        <v>5</v>
      </c>
      <c r="M958" s="10">
        <v>984</v>
      </c>
      <c r="N958" s="7">
        <v>4920</v>
      </c>
    </row>
    <row r="959" spans="1:14" x14ac:dyDescent="0.3">
      <c r="A959">
        <v>1327</v>
      </c>
      <c r="B959" s="1">
        <v>45569</v>
      </c>
      <c r="C959">
        <v>2024</v>
      </c>
      <c r="D959">
        <v>10</v>
      </c>
      <c r="E959" t="str">
        <f t="shared" si="14"/>
        <v>Oktober</v>
      </c>
      <c r="F959">
        <v>4</v>
      </c>
      <c r="G959" t="s">
        <v>1526</v>
      </c>
      <c r="H959" t="s">
        <v>1527</v>
      </c>
      <c r="I959" t="s">
        <v>1516</v>
      </c>
      <c r="J959" t="s">
        <v>1517</v>
      </c>
      <c r="K959" t="s">
        <v>1525</v>
      </c>
      <c r="L959" s="2">
        <v>5</v>
      </c>
      <c r="M959" s="10">
        <v>984</v>
      </c>
      <c r="N959" s="7">
        <v>4920</v>
      </c>
    </row>
    <row r="960" spans="1:14" x14ac:dyDescent="0.3">
      <c r="A960">
        <v>1327</v>
      </c>
      <c r="B960" s="1">
        <v>45229</v>
      </c>
      <c r="C960">
        <v>2023</v>
      </c>
      <c r="D960">
        <v>10</v>
      </c>
      <c r="E960" t="str">
        <f t="shared" si="14"/>
        <v>Oktober</v>
      </c>
      <c r="F960">
        <v>4</v>
      </c>
      <c r="G960" t="s">
        <v>1526</v>
      </c>
      <c r="H960" t="s">
        <v>1527</v>
      </c>
      <c r="I960" t="s">
        <v>1516</v>
      </c>
      <c r="J960" t="s">
        <v>1517</v>
      </c>
      <c r="K960" t="s">
        <v>1525</v>
      </c>
      <c r="L960" s="2">
        <v>5</v>
      </c>
      <c r="M960" s="10">
        <v>984</v>
      </c>
      <c r="N960" s="7">
        <v>4920</v>
      </c>
    </row>
    <row r="961" spans="1:14" x14ac:dyDescent="0.3">
      <c r="A961">
        <v>1327</v>
      </c>
      <c r="B961" s="1">
        <v>44639</v>
      </c>
      <c r="C961">
        <v>2022</v>
      </c>
      <c r="D961">
        <v>3</v>
      </c>
      <c r="E961" t="str">
        <f t="shared" si="14"/>
        <v>Maret</v>
      </c>
      <c r="F961">
        <v>1</v>
      </c>
      <c r="G961" t="s">
        <v>1526</v>
      </c>
      <c r="H961" t="s">
        <v>1527</v>
      </c>
      <c r="I961" t="s">
        <v>1516</v>
      </c>
      <c r="J961" t="s">
        <v>1517</v>
      </c>
      <c r="K961" t="s">
        <v>1525</v>
      </c>
      <c r="L961" s="2">
        <v>5</v>
      </c>
      <c r="M961" s="10">
        <v>984</v>
      </c>
      <c r="N961" s="7">
        <v>4920</v>
      </c>
    </row>
    <row r="962" spans="1:14" x14ac:dyDescent="0.3">
      <c r="A962">
        <v>1327</v>
      </c>
      <c r="B962" s="1">
        <v>45337</v>
      </c>
      <c r="C962">
        <v>2024</v>
      </c>
      <c r="D962">
        <v>2</v>
      </c>
      <c r="E962" t="str">
        <f t="shared" si="14"/>
        <v>Februari</v>
      </c>
      <c r="F962">
        <v>1</v>
      </c>
      <c r="G962" t="s">
        <v>1526</v>
      </c>
      <c r="H962" t="s">
        <v>1527</v>
      </c>
      <c r="I962" t="s">
        <v>1516</v>
      </c>
      <c r="J962" t="s">
        <v>1517</v>
      </c>
      <c r="K962" t="s">
        <v>1525</v>
      </c>
      <c r="L962" s="2">
        <v>5</v>
      </c>
      <c r="M962" s="10">
        <v>984</v>
      </c>
      <c r="N962" s="7">
        <v>4920</v>
      </c>
    </row>
    <row r="963" spans="1:14" x14ac:dyDescent="0.3">
      <c r="A963">
        <v>1328</v>
      </c>
      <c r="B963" s="1">
        <v>45521</v>
      </c>
      <c r="C963">
        <v>2024</v>
      </c>
      <c r="D963">
        <v>8</v>
      </c>
      <c r="E963" t="str">
        <f t="shared" ref="E963:E1026" si="15">TEXT(DATE(2026, D963, 1), "[$-id-ID]mmmm")</f>
        <v>Agustus</v>
      </c>
      <c r="F963">
        <v>3</v>
      </c>
      <c r="G963" t="s">
        <v>1529</v>
      </c>
      <c r="H963" t="s">
        <v>1530</v>
      </c>
      <c r="I963" t="s">
        <v>1513</v>
      </c>
      <c r="J963" t="s">
        <v>1566</v>
      </c>
      <c r="K963" t="s">
        <v>1514</v>
      </c>
      <c r="L963" s="2">
        <v>5</v>
      </c>
      <c r="M963" s="10">
        <v>1432</v>
      </c>
      <c r="N963" s="7">
        <v>7160</v>
      </c>
    </row>
    <row r="964" spans="1:14" x14ac:dyDescent="0.3">
      <c r="A964">
        <v>1328</v>
      </c>
      <c r="B964" s="1">
        <v>44827</v>
      </c>
      <c r="C964">
        <v>2022</v>
      </c>
      <c r="D964">
        <v>9</v>
      </c>
      <c r="E964" t="str">
        <f t="shared" si="15"/>
        <v>September</v>
      </c>
      <c r="F964">
        <v>3</v>
      </c>
      <c r="G964" t="s">
        <v>1529</v>
      </c>
      <c r="H964" t="s">
        <v>1530</v>
      </c>
      <c r="I964" t="s">
        <v>1513</v>
      </c>
      <c r="J964" t="s">
        <v>1566</v>
      </c>
      <c r="K964" t="s">
        <v>1514</v>
      </c>
      <c r="L964" s="2">
        <v>5</v>
      </c>
      <c r="M964" s="10">
        <v>1432</v>
      </c>
      <c r="N964" s="7">
        <v>7160</v>
      </c>
    </row>
    <row r="965" spans="1:14" x14ac:dyDescent="0.3">
      <c r="A965">
        <v>1328</v>
      </c>
      <c r="B965" s="1">
        <v>45220</v>
      </c>
      <c r="C965">
        <v>2023</v>
      </c>
      <c r="D965">
        <v>10</v>
      </c>
      <c r="E965" t="str">
        <f t="shared" si="15"/>
        <v>Oktober</v>
      </c>
      <c r="F965">
        <v>4</v>
      </c>
      <c r="G965" t="s">
        <v>1529</v>
      </c>
      <c r="H965" t="s">
        <v>1530</v>
      </c>
      <c r="I965" t="s">
        <v>1513</v>
      </c>
      <c r="J965" t="s">
        <v>1566</v>
      </c>
      <c r="K965" t="s">
        <v>1514</v>
      </c>
      <c r="L965" s="2">
        <v>5</v>
      </c>
      <c r="M965" s="10">
        <v>1432</v>
      </c>
      <c r="N965" s="7">
        <v>7160</v>
      </c>
    </row>
    <row r="966" spans="1:14" x14ac:dyDescent="0.3">
      <c r="A966">
        <v>1328</v>
      </c>
      <c r="B966" s="1">
        <v>45294</v>
      </c>
      <c r="C966">
        <v>2024</v>
      </c>
      <c r="D966">
        <v>1</v>
      </c>
      <c r="E966" t="str">
        <f t="shared" si="15"/>
        <v>Januari</v>
      </c>
      <c r="F966">
        <v>1</v>
      </c>
      <c r="G966" t="s">
        <v>1529</v>
      </c>
      <c r="H966" t="s">
        <v>1530</v>
      </c>
      <c r="I966" t="s">
        <v>1513</v>
      </c>
      <c r="J966" t="s">
        <v>1566</v>
      </c>
      <c r="K966" t="s">
        <v>1514</v>
      </c>
      <c r="L966" s="2">
        <v>5</v>
      </c>
      <c r="M966" s="10">
        <v>1432</v>
      </c>
      <c r="N966" s="7">
        <v>7160</v>
      </c>
    </row>
    <row r="967" spans="1:14" x14ac:dyDescent="0.3">
      <c r="A967">
        <v>1328</v>
      </c>
      <c r="B967" s="1">
        <v>45480</v>
      </c>
      <c r="C967">
        <v>2024</v>
      </c>
      <c r="D967">
        <v>7</v>
      </c>
      <c r="E967" t="str">
        <f t="shared" si="15"/>
        <v>Juli</v>
      </c>
      <c r="F967">
        <v>3</v>
      </c>
      <c r="G967" t="s">
        <v>1529</v>
      </c>
      <c r="H967" t="s">
        <v>1530</v>
      </c>
      <c r="I967" t="s">
        <v>1513</v>
      </c>
      <c r="J967" t="s">
        <v>1566</v>
      </c>
      <c r="K967" t="s">
        <v>1514</v>
      </c>
      <c r="L967" s="2">
        <v>5</v>
      </c>
      <c r="M967" s="10">
        <v>1432</v>
      </c>
      <c r="N967" s="7">
        <v>7160</v>
      </c>
    </row>
    <row r="968" spans="1:14" x14ac:dyDescent="0.3">
      <c r="A968">
        <v>1329</v>
      </c>
      <c r="B968" s="1">
        <v>45052</v>
      </c>
      <c r="C968">
        <v>2023</v>
      </c>
      <c r="D968">
        <v>5</v>
      </c>
      <c r="E968" t="str">
        <f t="shared" si="15"/>
        <v>Mei</v>
      </c>
      <c r="F968">
        <v>2</v>
      </c>
      <c r="G968" t="s">
        <v>1532</v>
      </c>
      <c r="H968" t="s">
        <v>1512</v>
      </c>
      <c r="I968" t="s">
        <v>1528</v>
      </c>
      <c r="J968" t="s">
        <v>1517</v>
      </c>
      <c r="K968" t="s">
        <v>1525</v>
      </c>
      <c r="L968" s="2">
        <v>2</v>
      </c>
      <c r="M968" s="10">
        <v>12324</v>
      </c>
      <c r="N968" s="7">
        <v>24648</v>
      </c>
    </row>
    <row r="969" spans="1:14" x14ac:dyDescent="0.3">
      <c r="A969">
        <v>1329</v>
      </c>
      <c r="B969" s="1">
        <v>45214</v>
      </c>
      <c r="C969">
        <v>2023</v>
      </c>
      <c r="D969">
        <v>10</v>
      </c>
      <c r="E969" t="str">
        <f t="shared" si="15"/>
        <v>Oktober</v>
      </c>
      <c r="F969">
        <v>4</v>
      </c>
      <c r="G969" t="s">
        <v>1532</v>
      </c>
      <c r="H969" t="s">
        <v>1512</v>
      </c>
      <c r="I969" t="s">
        <v>1528</v>
      </c>
      <c r="J969" t="s">
        <v>1517</v>
      </c>
      <c r="K969" t="s">
        <v>1525</v>
      </c>
      <c r="L969" s="2">
        <v>2</v>
      </c>
      <c r="M969" s="10">
        <v>12324</v>
      </c>
      <c r="N969" s="7">
        <v>24648</v>
      </c>
    </row>
    <row r="970" spans="1:14" x14ac:dyDescent="0.3">
      <c r="A970">
        <v>1330</v>
      </c>
      <c r="B970" s="1">
        <v>45459</v>
      </c>
      <c r="C970">
        <v>2024</v>
      </c>
      <c r="D970">
        <v>6</v>
      </c>
      <c r="E970" t="str">
        <f t="shared" si="15"/>
        <v>Juni</v>
      </c>
      <c r="F970">
        <v>2</v>
      </c>
      <c r="G970" t="s">
        <v>1533</v>
      </c>
      <c r="H970" t="s">
        <v>1520</v>
      </c>
      <c r="I970" t="s">
        <v>1535</v>
      </c>
      <c r="J970" t="s">
        <v>1524</v>
      </c>
      <c r="K970" t="s">
        <v>1525</v>
      </c>
      <c r="L970" s="2">
        <v>4</v>
      </c>
      <c r="M970" s="10">
        <v>705</v>
      </c>
      <c r="N970" s="7">
        <v>2820</v>
      </c>
    </row>
    <row r="971" spans="1:14" x14ac:dyDescent="0.3">
      <c r="A971">
        <v>1330</v>
      </c>
      <c r="B971" s="1">
        <v>45222</v>
      </c>
      <c r="C971">
        <v>2023</v>
      </c>
      <c r="D971">
        <v>10</v>
      </c>
      <c r="E971" t="str">
        <f t="shared" si="15"/>
        <v>Oktober</v>
      </c>
      <c r="F971">
        <v>4</v>
      </c>
      <c r="G971" t="s">
        <v>1533</v>
      </c>
      <c r="H971" t="s">
        <v>1520</v>
      </c>
      <c r="I971" t="s">
        <v>1535</v>
      </c>
      <c r="J971" t="s">
        <v>1524</v>
      </c>
      <c r="K971" t="s">
        <v>1525</v>
      </c>
      <c r="L971" s="2">
        <v>4</v>
      </c>
      <c r="M971" s="10">
        <v>705</v>
      </c>
      <c r="N971" s="7">
        <v>2820</v>
      </c>
    </row>
    <row r="972" spans="1:14" x14ac:dyDescent="0.3">
      <c r="A972">
        <v>1330</v>
      </c>
      <c r="B972" s="1">
        <v>44762</v>
      </c>
      <c r="C972">
        <v>2022</v>
      </c>
      <c r="D972">
        <v>7</v>
      </c>
      <c r="E972" t="str">
        <f t="shared" si="15"/>
        <v>Juli</v>
      </c>
      <c r="F972">
        <v>3</v>
      </c>
      <c r="G972" t="s">
        <v>1533</v>
      </c>
      <c r="H972" t="s">
        <v>1520</v>
      </c>
      <c r="I972" t="s">
        <v>1535</v>
      </c>
      <c r="J972" t="s">
        <v>1524</v>
      </c>
      <c r="K972" t="s">
        <v>1525</v>
      </c>
      <c r="L972" s="2">
        <v>4</v>
      </c>
      <c r="M972" s="10">
        <v>705</v>
      </c>
      <c r="N972" s="7">
        <v>2820</v>
      </c>
    </row>
    <row r="973" spans="1:14" x14ac:dyDescent="0.3">
      <c r="A973">
        <v>1330</v>
      </c>
      <c r="B973" s="1">
        <v>45338</v>
      </c>
      <c r="C973">
        <v>2024</v>
      </c>
      <c r="D973">
        <v>2</v>
      </c>
      <c r="E973" t="str">
        <f t="shared" si="15"/>
        <v>Februari</v>
      </c>
      <c r="F973">
        <v>1</v>
      </c>
      <c r="G973" t="s">
        <v>1533</v>
      </c>
      <c r="H973" t="s">
        <v>1520</v>
      </c>
      <c r="I973" t="s">
        <v>1535</v>
      </c>
      <c r="J973" t="s">
        <v>1524</v>
      </c>
      <c r="K973" t="s">
        <v>1525</v>
      </c>
      <c r="L973" s="2">
        <v>4</v>
      </c>
      <c r="M973" s="10">
        <v>705</v>
      </c>
      <c r="N973" s="7">
        <v>2820</v>
      </c>
    </row>
    <row r="974" spans="1:14" x14ac:dyDescent="0.3">
      <c r="A974">
        <v>1330</v>
      </c>
      <c r="B974" s="1">
        <v>45018</v>
      </c>
      <c r="C974">
        <v>2023</v>
      </c>
      <c r="D974">
        <v>4</v>
      </c>
      <c r="E974" t="str">
        <f t="shared" si="15"/>
        <v>April</v>
      </c>
      <c r="F974">
        <v>2</v>
      </c>
      <c r="G974" t="s">
        <v>1533</v>
      </c>
      <c r="H974" t="s">
        <v>1520</v>
      </c>
      <c r="I974" t="s">
        <v>1535</v>
      </c>
      <c r="J974" t="s">
        <v>1524</v>
      </c>
      <c r="K974" t="s">
        <v>1525</v>
      </c>
      <c r="L974" s="2">
        <v>4</v>
      </c>
      <c r="M974" s="10">
        <v>705</v>
      </c>
      <c r="N974" s="7">
        <v>2820</v>
      </c>
    </row>
    <row r="975" spans="1:14" x14ac:dyDescent="0.3">
      <c r="A975">
        <v>1331</v>
      </c>
      <c r="B975" s="1">
        <v>45321</v>
      </c>
      <c r="C975">
        <v>2024</v>
      </c>
      <c r="D975">
        <v>1</v>
      </c>
      <c r="E975" t="str">
        <f t="shared" si="15"/>
        <v>Januari</v>
      </c>
      <c r="F975">
        <v>1</v>
      </c>
      <c r="G975" t="s">
        <v>1511</v>
      </c>
      <c r="H975" t="s">
        <v>1512</v>
      </c>
      <c r="I975" t="s">
        <v>1531</v>
      </c>
      <c r="J975" t="s">
        <v>1517</v>
      </c>
      <c r="K975" t="s">
        <v>1525</v>
      </c>
      <c r="L975" s="2">
        <v>2</v>
      </c>
      <c r="M975" s="10">
        <v>66703</v>
      </c>
      <c r="N975" s="7">
        <v>133406</v>
      </c>
    </row>
    <row r="976" spans="1:14" x14ac:dyDescent="0.3">
      <c r="A976">
        <v>1331</v>
      </c>
      <c r="B976" s="1">
        <v>45113</v>
      </c>
      <c r="C976">
        <v>2023</v>
      </c>
      <c r="D976">
        <v>7</v>
      </c>
      <c r="E976" t="str">
        <f t="shared" si="15"/>
        <v>Juli</v>
      </c>
      <c r="F976">
        <v>3</v>
      </c>
      <c r="G976" t="s">
        <v>1511</v>
      </c>
      <c r="H976" t="s">
        <v>1512</v>
      </c>
      <c r="I976" t="s">
        <v>1531</v>
      </c>
      <c r="J976" t="s">
        <v>1517</v>
      </c>
      <c r="K976" t="s">
        <v>1525</v>
      </c>
      <c r="L976" s="2">
        <v>2</v>
      </c>
      <c r="M976" s="10">
        <v>66703</v>
      </c>
      <c r="N976" s="7">
        <v>133406</v>
      </c>
    </row>
    <row r="977" spans="1:14" x14ac:dyDescent="0.3">
      <c r="A977">
        <v>1331</v>
      </c>
      <c r="B977" s="1">
        <v>44841</v>
      </c>
      <c r="C977">
        <v>2022</v>
      </c>
      <c r="D977">
        <v>10</v>
      </c>
      <c r="E977" t="str">
        <f t="shared" si="15"/>
        <v>Oktober</v>
      </c>
      <c r="F977">
        <v>4</v>
      </c>
      <c r="G977" t="s">
        <v>1511</v>
      </c>
      <c r="H977" t="s">
        <v>1512</v>
      </c>
      <c r="I977" t="s">
        <v>1531</v>
      </c>
      <c r="J977" t="s">
        <v>1517</v>
      </c>
      <c r="K977" t="s">
        <v>1525</v>
      </c>
      <c r="L977" s="2">
        <v>2</v>
      </c>
      <c r="M977" s="10">
        <v>66703</v>
      </c>
      <c r="N977" s="7">
        <v>133406</v>
      </c>
    </row>
    <row r="978" spans="1:14" x14ac:dyDescent="0.3">
      <c r="A978">
        <v>1332</v>
      </c>
      <c r="B978" s="1">
        <v>44706</v>
      </c>
      <c r="C978">
        <v>2022</v>
      </c>
      <c r="D978">
        <v>5</v>
      </c>
      <c r="E978" t="str">
        <f t="shared" si="15"/>
        <v>Mei</v>
      </c>
      <c r="F978">
        <v>2</v>
      </c>
      <c r="G978" t="s">
        <v>1515</v>
      </c>
      <c r="H978" t="s">
        <v>1512</v>
      </c>
      <c r="I978" t="s">
        <v>1535</v>
      </c>
      <c r="J978" t="s">
        <v>1524</v>
      </c>
      <c r="K978" t="s">
        <v>1518</v>
      </c>
      <c r="L978" s="2">
        <v>1</v>
      </c>
      <c r="M978" s="10">
        <v>2242</v>
      </c>
      <c r="N978" s="7">
        <v>2242</v>
      </c>
    </row>
    <row r="979" spans="1:14" x14ac:dyDescent="0.3">
      <c r="A979">
        <v>1332</v>
      </c>
      <c r="B979" s="1">
        <v>45297</v>
      </c>
      <c r="C979">
        <v>2024</v>
      </c>
      <c r="D979">
        <v>1</v>
      </c>
      <c r="E979" t="str">
        <f t="shared" si="15"/>
        <v>Januari</v>
      </c>
      <c r="F979">
        <v>1</v>
      </c>
      <c r="G979" t="s">
        <v>1515</v>
      </c>
      <c r="H979" t="s">
        <v>1512</v>
      </c>
      <c r="I979" t="s">
        <v>1535</v>
      </c>
      <c r="J979" t="s">
        <v>1524</v>
      </c>
      <c r="K979" t="s">
        <v>1518</v>
      </c>
      <c r="L979" s="2">
        <v>1</v>
      </c>
      <c r="M979" s="10">
        <v>2242</v>
      </c>
      <c r="N979" s="7">
        <v>2242</v>
      </c>
    </row>
    <row r="980" spans="1:14" x14ac:dyDescent="0.3">
      <c r="A980">
        <v>1333</v>
      </c>
      <c r="B980" s="1">
        <v>44996</v>
      </c>
      <c r="C980">
        <v>2023</v>
      </c>
      <c r="D980">
        <v>3</v>
      </c>
      <c r="E980" t="str">
        <f t="shared" si="15"/>
        <v>Maret</v>
      </c>
      <c r="F980">
        <v>1</v>
      </c>
      <c r="G980" t="s">
        <v>1534</v>
      </c>
      <c r="H980" t="s">
        <v>1530</v>
      </c>
      <c r="I980" t="s">
        <v>1521</v>
      </c>
      <c r="J980" t="s">
        <v>1524</v>
      </c>
      <c r="K980" t="s">
        <v>1514</v>
      </c>
      <c r="L980" s="2">
        <v>3</v>
      </c>
      <c r="M980" s="10">
        <v>3095</v>
      </c>
      <c r="N980" s="7">
        <v>9285</v>
      </c>
    </row>
    <row r="981" spans="1:14" x14ac:dyDescent="0.3">
      <c r="A981">
        <v>1333</v>
      </c>
      <c r="B981" s="1">
        <v>45572</v>
      </c>
      <c r="C981">
        <v>2024</v>
      </c>
      <c r="D981">
        <v>10</v>
      </c>
      <c r="E981" t="str">
        <f t="shared" si="15"/>
        <v>Oktober</v>
      </c>
      <c r="F981">
        <v>4</v>
      </c>
      <c r="G981" t="s">
        <v>1534</v>
      </c>
      <c r="H981" t="s">
        <v>1530</v>
      </c>
      <c r="I981" t="s">
        <v>1521</v>
      </c>
      <c r="J981" t="s">
        <v>1524</v>
      </c>
      <c r="K981" t="s">
        <v>1514</v>
      </c>
      <c r="L981" s="2">
        <v>3</v>
      </c>
      <c r="M981" s="10">
        <v>3095</v>
      </c>
      <c r="N981" s="7">
        <v>9285</v>
      </c>
    </row>
    <row r="982" spans="1:14" x14ac:dyDescent="0.3">
      <c r="A982">
        <v>1334</v>
      </c>
      <c r="B982" s="1">
        <v>44914</v>
      </c>
      <c r="C982">
        <v>2022</v>
      </c>
      <c r="D982">
        <v>12</v>
      </c>
      <c r="E982" t="str">
        <f t="shared" si="15"/>
        <v>Desember</v>
      </c>
      <c r="F982">
        <v>4</v>
      </c>
      <c r="G982" t="s">
        <v>1519</v>
      </c>
      <c r="H982" t="s">
        <v>1520</v>
      </c>
      <c r="I982" t="s">
        <v>1516</v>
      </c>
      <c r="J982" t="s">
        <v>1524</v>
      </c>
      <c r="K982" t="s">
        <v>1514</v>
      </c>
      <c r="L982" s="2">
        <v>3</v>
      </c>
      <c r="M982" s="10">
        <v>4016</v>
      </c>
      <c r="N982" s="7">
        <v>12048</v>
      </c>
    </row>
    <row r="983" spans="1:14" x14ac:dyDescent="0.3">
      <c r="A983">
        <v>1335</v>
      </c>
      <c r="B983" s="1">
        <v>45000</v>
      </c>
      <c r="C983">
        <v>2023</v>
      </c>
      <c r="D983">
        <v>3</v>
      </c>
      <c r="E983" t="str">
        <f t="shared" si="15"/>
        <v>Maret</v>
      </c>
      <c r="F983">
        <v>1</v>
      </c>
      <c r="G983" t="s">
        <v>1522</v>
      </c>
      <c r="H983" t="s">
        <v>1520</v>
      </c>
      <c r="I983" t="s">
        <v>1516</v>
      </c>
      <c r="J983" t="s">
        <v>1517</v>
      </c>
      <c r="K983" t="s">
        <v>1514</v>
      </c>
      <c r="L983" s="2">
        <v>4</v>
      </c>
      <c r="M983" s="10">
        <v>258</v>
      </c>
      <c r="N983" s="7">
        <v>1032</v>
      </c>
    </row>
    <row r="984" spans="1:14" x14ac:dyDescent="0.3">
      <c r="A984">
        <v>1335</v>
      </c>
      <c r="B984" s="1">
        <v>45365</v>
      </c>
      <c r="C984">
        <v>2024</v>
      </c>
      <c r="D984">
        <v>3</v>
      </c>
      <c r="E984" t="str">
        <f t="shared" si="15"/>
        <v>Maret</v>
      </c>
      <c r="F984">
        <v>1</v>
      </c>
      <c r="G984" t="s">
        <v>1522</v>
      </c>
      <c r="H984" t="s">
        <v>1520</v>
      </c>
      <c r="I984" t="s">
        <v>1516</v>
      </c>
      <c r="J984" t="s">
        <v>1517</v>
      </c>
      <c r="K984" t="s">
        <v>1514</v>
      </c>
      <c r="L984" s="2">
        <v>4</v>
      </c>
      <c r="M984" s="10">
        <v>258</v>
      </c>
      <c r="N984" s="7">
        <v>1032</v>
      </c>
    </row>
    <row r="985" spans="1:14" x14ac:dyDescent="0.3">
      <c r="A985">
        <v>1335</v>
      </c>
      <c r="B985" s="1">
        <v>44896</v>
      </c>
      <c r="C985">
        <v>2022</v>
      </c>
      <c r="D985">
        <v>12</v>
      </c>
      <c r="E985" t="str">
        <f t="shared" si="15"/>
        <v>Desember</v>
      </c>
      <c r="F985">
        <v>4</v>
      </c>
      <c r="G985" t="s">
        <v>1522</v>
      </c>
      <c r="H985" t="s">
        <v>1520</v>
      </c>
      <c r="I985" t="s">
        <v>1516</v>
      </c>
      <c r="J985" t="s">
        <v>1517</v>
      </c>
      <c r="K985" t="s">
        <v>1514</v>
      </c>
      <c r="L985" s="2">
        <v>4</v>
      </c>
      <c r="M985" s="10">
        <v>258</v>
      </c>
      <c r="N985" s="7">
        <v>1032</v>
      </c>
    </row>
    <row r="986" spans="1:14" x14ac:dyDescent="0.3">
      <c r="A986">
        <v>1335</v>
      </c>
      <c r="B986" s="1">
        <v>44846</v>
      </c>
      <c r="C986">
        <v>2022</v>
      </c>
      <c r="D986">
        <v>10</v>
      </c>
      <c r="E986" t="str">
        <f t="shared" si="15"/>
        <v>Oktober</v>
      </c>
      <c r="F986">
        <v>4</v>
      </c>
      <c r="G986" t="s">
        <v>1522</v>
      </c>
      <c r="H986" t="s">
        <v>1520</v>
      </c>
      <c r="I986" t="s">
        <v>1516</v>
      </c>
      <c r="J986" t="s">
        <v>1517</v>
      </c>
      <c r="K986" t="s">
        <v>1514</v>
      </c>
      <c r="L986" s="2">
        <v>4</v>
      </c>
      <c r="M986" s="10">
        <v>258</v>
      </c>
      <c r="N986" s="7">
        <v>1032</v>
      </c>
    </row>
    <row r="987" spans="1:14" x14ac:dyDescent="0.3">
      <c r="A987">
        <v>1335</v>
      </c>
      <c r="B987" s="1">
        <v>45135</v>
      </c>
      <c r="C987">
        <v>2023</v>
      </c>
      <c r="D987">
        <v>7</v>
      </c>
      <c r="E987" t="str">
        <f t="shared" si="15"/>
        <v>Juli</v>
      </c>
      <c r="F987">
        <v>3</v>
      </c>
      <c r="G987" t="s">
        <v>1522</v>
      </c>
      <c r="H987" t="s">
        <v>1520</v>
      </c>
      <c r="I987" t="s">
        <v>1516</v>
      </c>
      <c r="J987" t="s">
        <v>1517</v>
      </c>
      <c r="K987" t="s">
        <v>1514</v>
      </c>
      <c r="L987" s="2">
        <v>4</v>
      </c>
      <c r="M987" s="10">
        <v>258</v>
      </c>
      <c r="N987" s="7">
        <v>1032</v>
      </c>
    </row>
    <row r="988" spans="1:14" x14ac:dyDescent="0.3">
      <c r="A988">
        <v>1336</v>
      </c>
      <c r="B988" s="1">
        <v>45095</v>
      </c>
      <c r="C988">
        <v>2023</v>
      </c>
      <c r="D988">
        <v>6</v>
      </c>
      <c r="E988" t="str">
        <f t="shared" si="15"/>
        <v>Juni</v>
      </c>
      <c r="F988">
        <v>2</v>
      </c>
      <c r="G988" t="s">
        <v>1523</v>
      </c>
      <c r="H988" t="s">
        <v>1512</v>
      </c>
      <c r="I988" t="s">
        <v>1535</v>
      </c>
      <c r="J988" t="s">
        <v>1517</v>
      </c>
      <c r="K988" t="s">
        <v>1525</v>
      </c>
      <c r="L988" s="2">
        <v>1</v>
      </c>
      <c r="M988" s="10">
        <v>38061</v>
      </c>
      <c r="N988" s="7">
        <v>38061</v>
      </c>
    </row>
    <row r="989" spans="1:14" x14ac:dyDescent="0.3">
      <c r="A989">
        <v>1336</v>
      </c>
      <c r="B989" s="1">
        <v>44890</v>
      </c>
      <c r="C989">
        <v>2022</v>
      </c>
      <c r="D989">
        <v>11</v>
      </c>
      <c r="E989" t="str">
        <f t="shared" si="15"/>
        <v>November</v>
      </c>
      <c r="F989">
        <v>4</v>
      </c>
      <c r="G989" t="s">
        <v>1523</v>
      </c>
      <c r="H989" t="s">
        <v>1512</v>
      </c>
      <c r="I989" t="s">
        <v>1535</v>
      </c>
      <c r="J989" t="s">
        <v>1517</v>
      </c>
      <c r="K989" t="s">
        <v>1525</v>
      </c>
      <c r="L989" s="2">
        <v>1</v>
      </c>
      <c r="M989" s="10">
        <v>38061</v>
      </c>
      <c r="N989" s="7">
        <v>38061</v>
      </c>
    </row>
    <row r="990" spans="1:14" x14ac:dyDescent="0.3">
      <c r="A990">
        <v>1336</v>
      </c>
      <c r="B990" s="1">
        <v>44661</v>
      </c>
      <c r="C990">
        <v>2022</v>
      </c>
      <c r="D990">
        <v>4</v>
      </c>
      <c r="E990" t="str">
        <f t="shared" si="15"/>
        <v>April</v>
      </c>
      <c r="F990">
        <v>2</v>
      </c>
      <c r="G990" t="s">
        <v>1523</v>
      </c>
      <c r="H990" t="s">
        <v>1512</v>
      </c>
      <c r="I990" t="s">
        <v>1535</v>
      </c>
      <c r="J990" t="s">
        <v>1517</v>
      </c>
      <c r="K990" t="s">
        <v>1525</v>
      </c>
      <c r="L990" s="2">
        <v>1</v>
      </c>
      <c r="M990" s="10">
        <v>38061</v>
      </c>
      <c r="N990" s="7">
        <v>38061</v>
      </c>
    </row>
    <row r="991" spans="1:14" x14ac:dyDescent="0.3">
      <c r="A991">
        <v>1337</v>
      </c>
      <c r="B991" s="1">
        <v>45172</v>
      </c>
      <c r="C991">
        <v>2023</v>
      </c>
      <c r="D991">
        <v>9</v>
      </c>
      <c r="E991" t="str">
        <f t="shared" si="15"/>
        <v>September</v>
      </c>
      <c r="F991">
        <v>3</v>
      </c>
      <c r="G991" t="s">
        <v>1526</v>
      </c>
      <c r="H991" t="s">
        <v>1527</v>
      </c>
      <c r="I991" t="s">
        <v>1516</v>
      </c>
      <c r="J991" t="s">
        <v>1517</v>
      </c>
      <c r="K991" t="s">
        <v>1518</v>
      </c>
      <c r="L991" s="2">
        <v>2</v>
      </c>
      <c r="M991" s="10">
        <v>366</v>
      </c>
      <c r="N991" s="7">
        <v>732</v>
      </c>
    </row>
    <row r="992" spans="1:14" x14ac:dyDescent="0.3">
      <c r="A992">
        <v>1337</v>
      </c>
      <c r="B992" s="1">
        <v>44681</v>
      </c>
      <c r="C992">
        <v>2022</v>
      </c>
      <c r="D992">
        <v>4</v>
      </c>
      <c r="E992" t="str">
        <f t="shared" si="15"/>
        <v>April</v>
      </c>
      <c r="F992">
        <v>2</v>
      </c>
      <c r="G992" t="s">
        <v>1526</v>
      </c>
      <c r="H992" t="s">
        <v>1527</v>
      </c>
      <c r="I992" t="s">
        <v>1516</v>
      </c>
      <c r="J992" t="s">
        <v>1517</v>
      </c>
      <c r="K992" t="s">
        <v>1518</v>
      </c>
      <c r="L992" s="2">
        <v>2</v>
      </c>
      <c r="M992" s="10">
        <v>366</v>
      </c>
      <c r="N992" s="7">
        <v>732</v>
      </c>
    </row>
    <row r="993" spans="1:14" x14ac:dyDescent="0.3">
      <c r="A993">
        <v>1337</v>
      </c>
      <c r="B993" s="1">
        <v>45309</v>
      </c>
      <c r="C993">
        <v>2024</v>
      </c>
      <c r="D993">
        <v>1</v>
      </c>
      <c r="E993" t="str">
        <f t="shared" si="15"/>
        <v>Januari</v>
      </c>
      <c r="F993">
        <v>1</v>
      </c>
      <c r="G993" t="s">
        <v>1526</v>
      </c>
      <c r="H993" t="s">
        <v>1527</v>
      </c>
      <c r="I993" t="s">
        <v>1516</v>
      </c>
      <c r="J993" t="s">
        <v>1517</v>
      </c>
      <c r="K993" t="s">
        <v>1518</v>
      </c>
      <c r="L993" s="2">
        <v>2</v>
      </c>
      <c r="M993" s="10">
        <v>366</v>
      </c>
      <c r="N993" s="7">
        <v>732</v>
      </c>
    </row>
    <row r="994" spans="1:14" x14ac:dyDescent="0.3">
      <c r="A994">
        <v>1337</v>
      </c>
      <c r="B994" s="1">
        <v>45232</v>
      </c>
      <c r="C994">
        <v>2023</v>
      </c>
      <c r="D994">
        <v>11</v>
      </c>
      <c r="E994" t="str">
        <f t="shared" si="15"/>
        <v>November</v>
      </c>
      <c r="F994">
        <v>4</v>
      </c>
      <c r="G994" t="s">
        <v>1526</v>
      </c>
      <c r="H994" t="s">
        <v>1527</v>
      </c>
      <c r="I994" t="s">
        <v>1516</v>
      </c>
      <c r="J994" t="s">
        <v>1517</v>
      </c>
      <c r="K994" t="s">
        <v>1518</v>
      </c>
      <c r="L994" s="2">
        <v>2</v>
      </c>
      <c r="M994" s="10">
        <v>366</v>
      </c>
      <c r="N994" s="7">
        <v>732</v>
      </c>
    </row>
    <row r="995" spans="1:14" x14ac:dyDescent="0.3">
      <c r="A995">
        <v>1338</v>
      </c>
      <c r="B995" s="1">
        <v>45213</v>
      </c>
      <c r="C995">
        <v>2023</v>
      </c>
      <c r="D995">
        <v>10</v>
      </c>
      <c r="E995" t="str">
        <f t="shared" si="15"/>
        <v>Oktober</v>
      </c>
      <c r="F995">
        <v>4</v>
      </c>
      <c r="G995" t="s">
        <v>1529</v>
      </c>
      <c r="H995" t="s">
        <v>1530</v>
      </c>
      <c r="I995" t="s">
        <v>1516</v>
      </c>
      <c r="J995" t="s">
        <v>1524</v>
      </c>
      <c r="K995" t="s">
        <v>1514</v>
      </c>
      <c r="L995" s="2">
        <v>1</v>
      </c>
      <c r="M995" s="10">
        <v>1827</v>
      </c>
      <c r="N995" s="7">
        <v>1827</v>
      </c>
    </row>
    <row r="996" spans="1:14" x14ac:dyDescent="0.3">
      <c r="A996">
        <v>1338</v>
      </c>
      <c r="B996" s="1">
        <v>44967</v>
      </c>
      <c r="C996">
        <v>2023</v>
      </c>
      <c r="D996">
        <v>2</v>
      </c>
      <c r="E996" t="str">
        <f t="shared" si="15"/>
        <v>Februari</v>
      </c>
      <c r="F996">
        <v>1</v>
      </c>
      <c r="G996" t="s">
        <v>1529</v>
      </c>
      <c r="H996" t="s">
        <v>1530</v>
      </c>
      <c r="I996" t="s">
        <v>1516</v>
      </c>
      <c r="J996" t="s">
        <v>1524</v>
      </c>
      <c r="K996" t="s">
        <v>1514</v>
      </c>
      <c r="L996" s="2">
        <v>1</v>
      </c>
      <c r="M996" s="10">
        <v>1827</v>
      </c>
      <c r="N996" s="7">
        <v>1827</v>
      </c>
    </row>
    <row r="997" spans="1:14" x14ac:dyDescent="0.3">
      <c r="A997">
        <v>1338</v>
      </c>
      <c r="B997" s="1">
        <v>44970</v>
      </c>
      <c r="C997">
        <v>2023</v>
      </c>
      <c r="D997">
        <v>2</v>
      </c>
      <c r="E997" t="str">
        <f t="shared" si="15"/>
        <v>Februari</v>
      </c>
      <c r="F997">
        <v>1</v>
      </c>
      <c r="G997" t="s">
        <v>1529</v>
      </c>
      <c r="H997" t="s">
        <v>1530</v>
      </c>
      <c r="I997" t="s">
        <v>1516</v>
      </c>
      <c r="J997" t="s">
        <v>1524</v>
      </c>
      <c r="K997" t="s">
        <v>1514</v>
      </c>
      <c r="L997" s="2">
        <v>1</v>
      </c>
      <c r="M997" s="10">
        <v>1827</v>
      </c>
      <c r="N997" s="7">
        <v>1827</v>
      </c>
    </row>
    <row r="998" spans="1:14" x14ac:dyDescent="0.3">
      <c r="A998">
        <v>1339</v>
      </c>
      <c r="B998" s="1">
        <v>44801</v>
      </c>
      <c r="C998">
        <v>2022</v>
      </c>
      <c r="D998">
        <v>8</v>
      </c>
      <c r="E998" t="str">
        <f t="shared" si="15"/>
        <v>Agustus</v>
      </c>
      <c r="F998">
        <v>3</v>
      </c>
      <c r="G998" t="s">
        <v>1532</v>
      </c>
      <c r="H998" t="s">
        <v>1512</v>
      </c>
      <c r="I998" t="s">
        <v>1528</v>
      </c>
      <c r="J998" t="s">
        <v>1566</v>
      </c>
      <c r="K998" t="s">
        <v>1518</v>
      </c>
      <c r="L998" s="2">
        <v>1</v>
      </c>
      <c r="M998" s="10">
        <v>6196</v>
      </c>
      <c r="N998" s="7">
        <v>6196</v>
      </c>
    </row>
    <row r="999" spans="1:14" x14ac:dyDescent="0.3">
      <c r="A999">
        <v>1339</v>
      </c>
      <c r="B999" s="1">
        <v>45575</v>
      </c>
      <c r="C999">
        <v>2024</v>
      </c>
      <c r="D999">
        <v>10</v>
      </c>
      <c r="E999" t="str">
        <f t="shared" si="15"/>
        <v>Oktober</v>
      </c>
      <c r="F999">
        <v>4</v>
      </c>
      <c r="G999" t="s">
        <v>1532</v>
      </c>
      <c r="H999" t="s">
        <v>1512</v>
      </c>
      <c r="I999" t="s">
        <v>1528</v>
      </c>
      <c r="J999" t="s">
        <v>1566</v>
      </c>
      <c r="K999" t="s">
        <v>1518</v>
      </c>
      <c r="L999" s="2">
        <v>1</v>
      </c>
      <c r="M999" s="10">
        <v>6196</v>
      </c>
      <c r="N999" s="7">
        <v>6196</v>
      </c>
    </row>
    <row r="1000" spans="1:14" x14ac:dyDescent="0.3">
      <c r="A1000">
        <v>1341</v>
      </c>
      <c r="B1000" s="1">
        <v>45253</v>
      </c>
      <c r="C1000">
        <v>2023</v>
      </c>
      <c r="D1000">
        <v>11</v>
      </c>
      <c r="E1000" t="str">
        <f t="shared" si="15"/>
        <v>November</v>
      </c>
      <c r="F1000">
        <v>4</v>
      </c>
      <c r="G1000" t="s">
        <v>1511</v>
      </c>
      <c r="H1000" t="s">
        <v>1512</v>
      </c>
      <c r="I1000" t="s">
        <v>1535</v>
      </c>
      <c r="J1000" t="s">
        <v>1524</v>
      </c>
      <c r="K1000" t="s">
        <v>1518</v>
      </c>
      <c r="L1000" s="2">
        <v>2</v>
      </c>
      <c r="M1000" s="10">
        <v>57783</v>
      </c>
      <c r="N1000" s="7">
        <v>115566</v>
      </c>
    </row>
    <row r="1001" spans="1:14" x14ac:dyDescent="0.3">
      <c r="A1001">
        <v>1341</v>
      </c>
      <c r="B1001" s="1">
        <v>44809</v>
      </c>
      <c r="C1001">
        <v>2022</v>
      </c>
      <c r="D1001">
        <v>9</v>
      </c>
      <c r="E1001" t="str">
        <f t="shared" si="15"/>
        <v>September</v>
      </c>
      <c r="F1001">
        <v>3</v>
      </c>
      <c r="G1001" t="s">
        <v>1511</v>
      </c>
      <c r="H1001" t="s">
        <v>1512</v>
      </c>
      <c r="I1001" t="s">
        <v>1535</v>
      </c>
      <c r="J1001" t="s">
        <v>1524</v>
      </c>
      <c r="K1001" t="s">
        <v>1518</v>
      </c>
      <c r="L1001" s="2">
        <v>2</v>
      </c>
      <c r="M1001" s="10">
        <v>57783</v>
      </c>
      <c r="N1001" s="7">
        <v>115566</v>
      </c>
    </row>
    <row r="1002" spans="1:14" x14ac:dyDescent="0.3">
      <c r="A1002">
        <v>1341</v>
      </c>
      <c r="B1002" s="1">
        <v>45566</v>
      </c>
      <c r="C1002">
        <v>2024</v>
      </c>
      <c r="D1002">
        <v>10</v>
      </c>
      <c r="E1002" t="str">
        <f t="shared" si="15"/>
        <v>Oktober</v>
      </c>
      <c r="F1002">
        <v>4</v>
      </c>
      <c r="G1002" t="s">
        <v>1511</v>
      </c>
      <c r="H1002" t="s">
        <v>1512</v>
      </c>
      <c r="I1002" t="s">
        <v>1535</v>
      </c>
      <c r="J1002" t="s">
        <v>1524</v>
      </c>
      <c r="K1002" t="s">
        <v>1518</v>
      </c>
      <c r="L1002" s="2">
        <v>2</v>
      </c>
      <c r="M1002" s="10">
        <v>57783</v>
      </c>
      <c r="N1002" s="7">
        <v>115566</v>
      </c>
    </row>
    <row r="1003" spans="1:14" x14ac:dyDescent="0.3">
      <c r="A1003">
        <v>1001</v>
      </c>
      <c r="B1003" s="1">
        <v>45659</v>
      </c>
      <c r="C1003">
        <v>2025</v>
      </c>
      <c r="D1003">
        <v>1</v>
      </c>
      <c r="E1003" t="str">
        <f t="shared" si="15"/>
        <v>Januari</v>
      </c>
      <c r="F1003">
        <v>1</v>
      </c>
      <c r="G1003" t="s">
        <v>1511</v>
      </c>
      <c r="H1003" t="s">
        <v>1512</v>
      </c>
      <c r="I1003" t="s">
        <v>1513</v>
      </c>
      <c r="J1003" t="s">
        <v>1566</v>
      </c>
      <c r="K1003" t="s">
        <v>1514</v>
      </c>
      <c r="L1003" s="2">
        <v>2</v>
      </c>
      <c r="M1003" s="10">
        <v>50353</v>
      </c>
      <c r="N1003" s="7">
        <v>100706</v>
      </c>
    </row>
    <row r="1004" spans="1:14" x14ac:dyDescent="0.3">
      <c r="A1004">
        <v>1002</v>
      </c>
      <c r="B1004" s="1">
        <v>45660</v>
      </c>
      <c r="C1004">
        <v>2025</v>
      </c>
      <c r="D1004">
        <v>1</v>
      </c>
      <c r="E1004" t="str">
        <f t="shared" si="15"/>
        <v>Januari</v>
      </c>
      <c r="F1004">
        <v>1</v>
      </c>
      <c r="G1004" t="s">
        <v>1515</v>
      </c>
      <c r="H1004" t="s">
        <v>1512</v>
      </c>
      <c r="I1004" t="s">
        <v>1516</v>
      </c>
      <c r="J1004" t="s">
        <v>1517</v>
      </c>
      <c r="K1004" t="s">
        <v>1518</v>
      </c>
      <c r="L1004" s="2">
        <v>2</v>
      </c>
      <c r="M1004" s="10">
        <v>2008</v>
      </c>
      <c r="N1004" s="7">
        <v>4016</v>
      </c>
    </row>
    <row r="1005" spans="1:14" x14ac:dyDescent="0.3">
      <c r="A1005">
        <v>1003</v>
      </c>
      <c r="B1005" s="1">
        <v>45661</v>
      </c>
      <c r="C1005">
        <v>2025</v>
      </c>
      <c r="D1005">
        <v>1</v>
      </c>
      <c r="E1005" t="str">
        <f t="shared" si="15"/>
        <v>Januari</v>
      </c>
      <c r="F1005">
        <v>1</v>
      </c>
      <c r="G1005" t="s">
        <v>1534</v>
      </c>
      <c r="H1005" t="s">
        <v>1530</v>
      </c>
      <c r="I1005" t="s">
        <v>1513</v>
      </c>
      <c r="J1005" t="s">
        <v>1517</v>
      </c>
      <c r="K1005" t="s">
        <v>1518</v>
      </c>
      <c r="L1005" s="2">
        <v>1</v>
      </c>
      <c r="M1005" s="10">
        <v>4736</v>
      </c>
      <c r="N1005" s="7">
        <v>4736</v>
      </c>
    </row>
    <row r="1006" spans="1:14" x14ac:dyDescent="0.3">
      <c r="A1006">
        <v>1004</v>
      </c>
      <c r="B1006" s="1">
        <v>45662</v>
      </c>
      <c r="C1006">
        <v>2025</v>
      </c>
      <c r="D1006">
        <v>1</v>
      </c>
      <c r="E1006" t="str">
        <f t="shared" si="15"/>
        <v>Januari</v>
      </c>
      <c r="F1006">
        <v>1</v>
      </c>
      <c r="G1006" t="s">
        <v>1519</v>
      </c>
      <c r="H1006" t="s">
        <v>1520</v>
      </c>
      <c r="I1006" t="s">
        <v>1521</v>
      </c>
      <c r="J1006" t="s">
        <v>1566</v>
      </c>
      <c r="K1006" t="s">
        <v>1514</v>
      </c>
      <c r="L1006" s="2">
        <v>2</v>
      </c>
      <c r="M1006" s="10">
        <v>10072</v>
      </c>
      <c r="N1006" s="7">
        <v>20144</v>
      </c>
    </row>
    <row r="1007" spans="1:14" x14ac:dyDescent="0.3">
      <c r="A1007">
        <v>1005</v>
      </c>
      <c r="B1007" s="1">
        <v>45663</v>
      </c>
      <c r="C1007">
        <v>2025</v>
      </c>
      <c r="D1007">
        <v>1</v>
      </c>
      <c r="E1007" t="str">
        <f t="shared" si="15"/>
        <v>Januari</v>
      </c>
      <c r="F1007">
        <v>1</v>
      </c>
      <c r="G1007" t="s">
        <v>1522</v>
      </c>
      <c r="H1007" t="s">
        <v>1520</v>
      </c>
      <c r="I1007" t="s">
        <v>1521</v>
      </c>
      <c r="J1007" t="s">
        <v>1517</v>
      </c>
      <c r="K1007" t="s">
        <v>1518</v>
      </c>
      <c r="L1007" s="2">
        <v>2</v>
      </c>
      <c r="M1007" s="10">
        <v>920</v>
      </c>
      <c r="N1007" s="7">
        <v>1840</v>
      </c>
    </row>
    <row r="1008" spans="1:14" x14ac:dyDescent="0.3">
      <c r="A1008">
        <v>1006</v>
      </c>
      <c r="B1008" s="1">
        <v>45664</v>
      </c>
      <c r="C1008">
        <v>2025</v>
      </c>
      <c r="D1008">
        <v>1</v>
      </c>
      <c r="E1008" t="str">
        <f t="shared" si="15"/>
        <v>Januari</v>
      </c>
      <c r="F1008">
        <v>1</v>
      </c>
      <c r="G1008" t="s">
        <v>1523</v>
      </c>
      <c r="H1008" t="s">
        <v>1512</v>
      </c>
      <c r="I1008" t="s">
        <v>1516</v>
      </c>
      <c r="J1008" t="s">
        <v>1524</v>
      </c>
      <c r="K1008" t="s">
        <v>1525</v>
      </c>
      <c r="L1008" s="2">
        <v>1</v>
      </c>
      <c r="M1008" s="10">
        <v>13225</v>
      </c>
      <c r="N1008" s="7">
        <v>13225</v>
      </c>
    </row>
    <row r="1009" spans="1:14" x14ac:dyDescent="0.3">
      <c r="A1009">
        <v>1007</v>
      </c>
      <c r="B1009" s="1">
        <v>45665</v>
      </c>
      <c r="C1009">
        <v>2025</v>
      </c>
      <c r="D1009">
        <v>1</v>
      </c>
      <c r="E1009" t="str">
        <f t="shared" si="15"/>
        <v>Januari</v>
      </c>
      <c r="F1009">
        <v>1</v>
      </c>
      <c r="G1009" t="s">
        <v>1526</v>
      </c>
      <c r="H1009" t="s">
        <v>1527</v>
      </c>
      <c r="I1009" t="s">
        <v>1528</v>
      </c>
      <c r="J1009" t="s">
        <v>1566</v>
      </c>
      <c r="K1009" t="s">
        <v>1518</v>
      </c>
      <c r="L1009" s="2">
        <v>3</v>
      </c>
      <c r="M1009" s="10">
        <v>621</v>
      </c>
      <c r="N1009" s="7">
        <v>1863</v>
      </c>
    </row>
    <row r="1010" spans="1:14" x14ac:dyDescent="0.3">
      <c r="A1010">
        <v>1008</v>
      </c>
      <c r="B1010" s="1">
        <v>45666</v>
      </c>
      <c r="C1010">
        <v>2025</v>
      </c>
      <c r="D1010">
        <v>1</v>
      </c>
      <c r="E1010" t="str">
        <f t="shared" si="15"/>
        <v>Januari</v>
      </c>
      <c r="F1010">
        <v>1</v>
      </c>
      <c r="G1010" t="s">
        <v>1529</v>
      </c>
      <c r="H1010" t="s">
        <v>1530</v>
      </c>
      <c r="I1010" t="s">
        <v>1531</v>
      </c>
      <c r="J1010" t="s">
        <v>1517</v>
      </c>
      <c r="K1010" t="s">
        <v>1525</v>
      </c>
      <c r="L1010" s="2">
        <v>2</v>
      </c>
      <c r="M1010" s="10">
        <v>905</v>
      </c>
      <c r="N1010" s="7">
        <v>1810</v>
      </c>
    </row>
    <row r="1011" spans="1:14" x14ac:dyDescent="0.3">
      <c r="A1011">
        <v>1009</v>
      </c>
      <c r="B1011" s="1">
        <v>45667</v>
      </c>
      <c r="C1011">
        <v>2025</v>
      </c>
      <c r="D1011">
        <v>1</v>
      </c>
      <c r="E1011" t="str">
        <f t="shared" si="15"/>
        <v>Januari</v>
      </c>
      <c r="F1011">
        <v>1</v>
      </c>
      <c r="G1011" t="s">
        <v>1532</v>
      </c>
      <c r="H1011" t="s">
        <v>1512</v>
      </c>
      <c r="I1011" t="s">
        <v>1528</v>
      </c>
      <c r="J1011" t="s">
        <v>1524</v>
      </c>
      <c r="K1011" t="s">
        <v>1514</v>
      </c>
      <c r="L1011" s="2">
        <v>1</v>
      </c>
      <c r="M1011" s="10">
        <v>8563</v>
      </c>
      <c r="N1011" s="7">
        <v>8563</v>
      </c>
    </row>
    <row r="1012" spans="1:14" x14ac:dyDescent="0.3">
      <c r="A1012">
        <v>1010</v>
      </c>
      <c r="B1012" s="1">
        <v>45668</v>
      </c>
      <c r="C1012">
        <v>2025</v>
      </c>
      <c r="D1012">
        <v>1</v>
      </c>
      <c r="E1012" t="str">
        <f t="shared" si="15"/>
        <v>Januari</v>
      </c>
      <c r="F1012">
        <v>1</v>
      </c>
      <c r="G1012" t="s">
        <v>1533</v>
      </c>
      <c r="H1012" t="s">
        <v>1520</v>
      </c>
      <c r="I1012" t="s">
        <v>1513</v>
      </c>
      <c r="J1012" t="s">
        <v>1517</v>
      </c>
      <c r="K1012" t="s">
        <v>1518</v>
      </c>
      <c r="L1012" s="2">
        <v>1</v>
      </c>
      <c r="M1012" s="10">
        <v>268</v>
      </c>
      <c r="N1012" s="7">
        <v>268</v>
      </c>
    </row>
    <row r="1013" spans="1:14" x14ac:dyDescent="0.3">
      <c r="A1013">
        <v>1011</v>
      </c>
      <c r="B1013" s="1">
        <v>45669</v>
      </c>
      <c r="C1013">
        <v>2025</v>
      </c>
      <c r="D1013">
        <v>1</v>
      </c>
      <c r="E1013" t="str">
        <f t="shared" si="15"/>
        <v>Januari</v>
      </c>
      <c r="F1013">
        <v>1</v>
      </c>
      <c r="G1013" t="s">
        <v>1511</v>
      </c>
      <c r="H1013" t="s">
        <v>1512</v>
      </c>
      <c r="I1013" t="s">
        <v>1528</v>
      </c>
      <c r="J1013" t="s">
        <v>1524</v>
      </c>
      <c r="K1013" t="s">
        <v>1514</v>
      </c>
      <c r="L1013" s="2">
        <v>2</v>
      </c>
      <c r="M1013" s="10">
        <v>54018</v>
      </c>
      <c r="N1013" s="7">
        <v>108036</v>
      </c>
    </row>
    <row r="1014" spans="1:14" x14ac:dyDescent="0.3">
      <c r="A1014">
        <v>1012</v>
      </c>
      <c r="B1014" s="1">
        <v>45670</v>
      </c>
      <c r="C1014">
        <v>2025</v>
      </c>
      <c r="D1014">
        <v>1</v>
      </c>
      <c r="E1014" t="str">
        <f t="shared" si="15"/>
        <v>Januari</v>
      </c>
      <c r="F1014">
        <v>1</v>
      </c>
      <c r="G1014" t="s">
        <v>1515</v>
      </c>
      <c r="H1014" t="s">
        <v>1512</v>
      </c>
      <c r="I1014" t="s">
        <v>1516</v>
      </c>
      <c r="J1014" t="s">
        <v>1524</v>
      </c>
      <c r="K1014" t="s">
        <v>1518</v>
      </c>
      <c r="L1014" s="2">
        <v>3</v>
      </c>
      <c r="M1014" s="10">
        <v>4762</v>
      </c>
      <c r="N1014" s="7">
        <v>14286</v>
      </c>
    </row>
    <row r="1015" spans="1:14" x14ac:dyDescent="0.3">
      <c r="A1015">
        <v>1013</v>
      </c>
      <c r="B1015" s="1">
        <v>45671</v>
      </c>
      <c r="C1015">
        <v>2025</v>
      </c>
      <c r="D1015">
        <v>1</v>
      </c>
      <c r="E1015" t="str">
        <f t="shared" si="15"/>
        <v>Januari</v>
      </c>
      <c r="F1015">
        <v>1</v>
      </c>
      <c r="G1015" t="s">
        <v>1534</v>
      </c>
      <c r="H1015" t="s">
        <v>1530</v>
      </c>
      <c r="I1015" t="s">
        <v>1521</v>
      </c>
      <c r="J1015" t="s">
        <v>1524</v>
      </c>
      <c r="K1015" t="s">
        <v>1525</v>
      </c>
      <c r="L1015" s="2">
        <v>2</v>
      </c>
      <c r="M1015" s="10">
        <v>4880</v>
      </c>
      <c r="N1015" s="7">
        <v>9760</v>
      </c>
    </row>
    <row r="1016" spans="1:14" x14ac:dyDescent="0.3">
      <c r="A1016">
        <v>1014</v>
      </c>
      <c r="B1016" s="1">
        <v>45672</v>
      </c>
      <c r="C1016">
        <v>2025</v>
      </c>
      <c r="D1016">
        <v>1</v>
      </c>
      <c r="E1016" t="str">
        <f t="shared" si="15"/>
        <v>Januari</v>
      </c>
      <c r="F1016">
        <v>1</v>
      </c>
      <c r="G1016" t="s">
        <v>1519</v>
      </c>
      <c r="H1016" t="s">
        <v>1520</v>
      </c>
      <c r="I1016" t="s">
        <v>1513</v>
      </c>
      <c r="J1016" t="s">
        <v>1524</v>
      </c>
      <c r="K1016" t="s">
        <v>1514</v>
      </c>
      <c r="L1016" s="2">
        <v>1</v>
      </c>
      <c r="M1016" s="10">
        <v>8508</v>
      </c>
      <c r="N1016" s="7">
        <v>8508</v>
      </c>
    </row>
    <row r="1017" spans="1:14" x14ac:dyDescent="0.3">
      <c r="A1017">
        <v>1015</v>
      </c>
      <c r="B1017" s="1">
        <v>45673</v>
      </c>
      <c r="C1017">
        <v>2025</v>
      </c>
      <c r="D1017">
        <v>1</v>
      </c>
      <c r="E1017" t="str">
        <f t="shared" si="15"/>
        <v>Januari</v>
      </c>
      <c r="F1017">
        <v>1</v>
      </c>
      <c r="G1017" t="s">
        <v>1522</v>
      </c>
      <c r="H1017" t="s">
        <v>1520</v>
      </c>
      <c r="I1017" t="s">
        <v>1513</v>
      </c>
      <c r="J1017" t="s">
        <v>1517</v>
      </c>
      <c r="K1017" t="s">
        <v>1518</v>
      </c>
      <c r="L1017" s="2">
        <v>4</v>
      </c>
      <c r="M1017" s="10">
        <v>119</v>
      </c>
      <c r="N1017" s="7">
        <v>476</v>
      </c>
    </row>
    <row r="1018" spans="1:14" x14ac:dyDescent="0.3">
      <c r="A1018">
        <v>1016</v>
      </c>
      <c r="B1018" s="1">
        <v>45674</v>
      </c>
      <c r="C1018">
        <v>2025</v>
      </c>
      <c r="D1018">
        <v>1</v>
      </c>
      <c r="E1018" t="str">
        <f t="shared" si="15"/>
        <v>Januari</v>
      </c>
      <c r="F1018">
        <v>1</v>
      </c>
      <c r="G1018" t="s">
        <v>1523</v>
      </c>
      <c r="H1018" t="s">
        <v>1512</v>
      </c>
      <c r="I1018" t="s">
        <v>1535</v>
      </c>
      <c r="J1018" t="s">
        <v>1517</v>
      </c>
      <c r="K1018" t="s">
        <v>1525</v>
      </c>
      <c r="L1018" s="2">
        <v>1</v>
      </c>
      <c r="M1018" s="10">
        <v>37589</v>
      </c>
      <c r="N1018" s="7">
        <v>37589</v>
      </c>
    </row>
    <row r="1019" spans="1:14" x14ac:dyDescent="0.3">
      <c r="A1019">
        <v>1017</v>
      </c>
      <c r="B1019" s="1">
        <v>45675</v>
      </c>
      <c r="C1019">
        <v>2025</v>
      </c>
      <c r="D1019">
        <v>1</v>
      </c>
      <c r="E1019" t="str">
        <f t="shared" si="15"/>
        <v>Januari</v>
      </c>
      <c r="F1019">
        <v>1</v>
      </c>
      <c r="G1019" t="s">
        <v>1526</v>
      </c>
      <c r="H1019" t="s">
        <v>1527</v>
      </c>
      <c r="I1019" t="s">
        <v>1516</v>
      </c>
      <c r="J1019" t="s">
        <v>1566</v>
      </c>
      <c r="K1019" t="s">
        <v>1518</v>
      </c>
      <c r="L1019" s="2">
        <v>1</v>
      </c>
      <c r="M1019" s="10">
        <v>781</v>
      </c>
      <c r="N1019" s="7">
        <v>781</v>
      </c>
    </row>
    <row r="1020" spans="1:14" x14ac:dyDescent="0.3">
      <c r="A1020">
        <v>1018</v>
      </c>
      <c r="B1020" s="1">
        <v>45676</v>
      </c>
      <c r="C1020">
        <v>2025</v>
      </c>
      <c r="D1020">
        <v>1</v>
      </c>
      <c r="E1020" t="str">
        <f t="shared" si="15"/>
        <v>Januari</v>
      </c>
      <c r="F1020">
        <v>1</v>
      </c>
      <c r="G1020" t="s">
        <v>1529</v>
      </c>
      <c r="H1020" t="s">
        <v>1530</v>
      </c>
      <c r="I1020" t="s">
        <v>1535</v>
      </c>
      <c r="J1020" t="s">
        <v>1566</v>
      </c>
      <c r="K1020" t="s">
        <v>1518</v>
      </c>
      <c r="L1020" s="2">
        <v>5</v>
      </c>
      <c r="M1020" s="10">
        <v>809</v>
      </c>
      <c r="N1020" s="7">
        <v>4045</v>
      </c>
    </row>
    <row r="1021" spans="1:14" x14ac:dyDescent="0.3">
      <c r="A1021">
        <v>1019</v>
      </c>
      <c r="B1021" s="1">
        <v>45677</v>
      </c>
      <c r="C1021">
        <v>2025</v>
      </c>
      <c r="D1021">
        <v>1</v>
      </c>
      <c r="E1021" t="str">
        <f t="shared" si="15"/>
        <v>Januari</v>
      </c>
      <c r="F1021">
        <v>1</v>
      </c>
      <c r="G1021" t="s">
        <v>1532</v>
      </c>
      <c r="H1021" t="s">
        <v>1512</v>
      </c>
      <c r="I1021" t="s">
        <v>1521</v>
      </c>
      <c r="J1021" t="s">
        <v>1566</v>
      </c>
      <c r="K1021" t="s">
        <v>1518</v>
      </c>
      <c r="L1021" s="2">
        <v>2</v>
      </c>
      <c r="M1021" s="10">
        <v>4129</v>
      </c>
      <c r="N1021" s="7">
        <v>8258</v>
      </c>
    </row>
    <row r="1022" spans="1:14" x14ac:dyDescent="0.3">
      <c r="A1022">
        <v>1020</v>
      </c>
      <c r="B1022" s="1">
        <v>45678</v>
      </c>
      <c r="C1022">
        <v>2025</v>
      </c>
      <c r="D1022">
        <v>1</v>
      </c>
      <c r="E1022" t="str">
        <f t="shared" si="15"/>
        <v>Januari</v>
      </c>
      <c r="F1022">
        <v>1</v>
      </c>
      <c r="G1022" t="s">
        <v>1533</v>
      </c>
      <c r="H1022" t="s">
        <v>1520</v>
      </c>
      <c r="I1022" t="s">
        <v>1516</v>
      </c>
      <c r="J1022" t="s">
        <v>1524</v>
      </c>
      <c r="K1022" t="s">
        <v>1525</v>
      </c>
      <c r="L1022" s="2">
        <v>4</v>
      </c>
      <c r="M1022" s="10">
        <v>168</v>
      </c>
      <c r="N1022" s="7">
        <v>672</v>
      </c>
    </row>
    <row r="1023" spans="1:14" x14ac:dyDescent="0.3">
      <c r="A1023">
        <v>1021</v>
      </c>
      <c r="B1023" s="1">
        <v>45679</v>
      </c>
      <c r="C1023">
        <v>2025</v>
      </c>
      <c r="D1023">
        <v>1</v>
      </c>
      <c r="E1023" t="str">
        <f t="shared" si="15"/>
        <v>Januari</v>
      </c>
      <c r="F1023">
        <v>1</v>
      </c>
      <c r="G1023" t="s">
        <v>1511</v>
      </c>
      <c r="H1023" t="s">
        <v>1512</v>
      </c>
      <c r="I1023" t="s">
        <v>1521</v>
      </c>
      <c r="J1023" t="s">
        <v>1566</v>
      </c>
      <c r="K1023" t="s">
        <v>1525</v>
      </c>
      <c r="L1023" s="2">
        <v>2</v>
      </c>
      <c r="M1023" s="10">
        <v>68516</v>
      </c>
      <c r="N1023" s="7">
        <v>137032</v>
      </c>
    </row>
    <row r="1024" spans="1:14" x14ac:dyDescent="0.3">
      <c r="A1024">
        <v>1022</v>
      </c>
      <c r="B1024" s="1">
        <v>45680</v>
      </c>
      <c r="C1024">
        <v>2025</v>
      </c>
      <c r="D1024">
        <v>1</v>
      </c>
      <c r="E1024" t="str">
        <f t="shared" si="15"/>
        <v>Januari</v>
      </c>
      <c r="F1024">
        <v>1</v>
      </c>
      <c r="G1024" t="s">
        <v>1515</v>
      </c>
      <c r="H1024" t="s">
        <v>1512</v>
      </c>
      <c r="I1024" t="s">
        <v>1535</v>
      </c>
      <c r="J1024" t="s">
        <v>1517</v>
      </c>
      <c r="K1024" t="s">
        <v>1514</v>
      </c>
      <c r="L1024" s="2">
        <v>1</v>
      </c>
      <c r="M1024" s="10">
        <v>3985</v>
      </c>
      <c r="N1024" s="7">
        <v>3985</v>
      </c>
    </row>
    <row r="1025" spans="1:14" x14ac:dyDescent="0.3">
      <c r="A1025">
        <v>1023</v>
      </c>
      <c r="B1025" s="1">
        <v>45681</v>
      </c>
      <c r="C1025">
        <v>2025</v>
      </c>
      <c r="D1025">
        <v>1</v>
      </c>
      <c r="E1025" t="str">
        <f t="shared" si="15"/>
        <v>Januari</v>
      </c>
      <c r="F1025">
        <v>1</v>
      </c>
      <c r="G1025" t="s">
        <v>1534</v>
      </c>
      <c r="H1025" t="s">
        <v>1530</v>
      </c>
      <c r="I1025" t="s">
        <v>1535</v>
      </c>
      <c r="J1025" t="s">
        <v>1524</v>
      </c>
      <c r="K1025" t="s">
        <v>1518</v>
      </c>
      <c r="L1025" s="2">
        <v>1</v>
      </c>
      <c r="M1025" s="10">
        <v>2380</v>
      </c>
      <c r="N1025" s="7">
        <v>2380</v>
      </c>
    </row>
    <row r="1026" spans="1:14" x14ac:dyDescent="0.3">
      <c r="A1026">
        <v>1024</v>
      </c>
      <c r="B1026" s="1">
        <v>45682</v>
      </c>
      <c r="C1026">
        <v>2025</v>
      </c>
      <c r="D1026">
        <v>1</v>
      </c>
      <c r="E1026" t="str">
        <f t="shared" si="15"/>
        <v>Januari</v>
      </c>
      <c r="F1026">
        <v>1</v>
      </c>
      <c r="G1026" t="s">
        <v>1519</v>
      </c>
      <c r="H1026" t="s">
        <v>1520</v>
      </c>
      <c r="I1026" t="s">
        <v>1531</v>
      </c>
      <c r="J1026" t="s">
        <v>1517</v>
      </c>
      <c r="K1026" t="s">
        <v>1518</v>
      </c>
      <c r="L1026" s="2">
        <v>3</v>
      </c>
      <c r="M1026" s="10">
        <v>13522</v>
      </c>
      <c r="N1026" s="7">
        <v>40566</v>
      </c>
    </row>
    <row r="1027" spans="1:14" x14ac:dyDescent="0.3">
      <c r="A1027">
        <v>1025</v>
      </c>
      <c r="B1027" s="1">
        <v>45683</v>
      </c>
      <c r="C1027">
        <v>2025</v>
      </c>
      <c r="D1027">
        <v>1</v>
      </c>
      <c r="E1027" t="str">
        <f t="shared" ref="E1027:E1090" si="16">TEXT(DATE(2026, D1027, 1), "[$-id-ID]mmmm")</f>
        <v>Januari</v>
      </c>
      <c r="F1027">
        <v>1</v>
      </c>
      <c r="G1027" t="s">
        <v>1522</v>
      </c>
      <c r="H1027" t="s">
        <v>1520</v>
      </c>
      <c r="I1027" t="s">
        <v>1521</v>
      </c>
      <c r="J1027" t="s">
        <v>1566</v>
      </c>
      <c r="K1027" t="s">
        <v>1525</v>
      </c>
      <c r="L1027" s="2">
        <v>1</v>
      </c>
      <c r="M1027" s="10">
        <v>340</v>
      </c>
      <c r="N1027" s="7">
        <v>340</v>
      </c>
    </row>
    <row r="1028" spans="1:14" x14ac:dyDescent="0.3">
      <c r="A1028">
        <v>1026</v>
      </c>
      <c r="B1028" s="1">
        <v>45684</v>
      </c>
      <c r="C1028">
        <v>2025</v>
      </c>
      <c r="D1028">
        <v>1</v>
      </c>
      <c r="E1028" t="str">
        <f t="shared" si="16"/>
        <v>Januari</v>
      </c>
      <c r="F1028">
        <v>1</v>
      </c>
      <c r="G1028" t="s">
        <v>1523</v>
      </c>
      <c r="H1028" t="s">
        <v>1512</v>
      </c>
      <c r="I1028" t="s">
        <v>1531</v>
      </c>
      <c r="J1028" t="s">
        <v>1524</v>
      </c>
      <c r="K1028" t="s">
        <v>1518</v>
      </c>
      <c r="L1028" s="2">
        <v>1</v>
      </c>
      <c r="M1028" s="10">
        <v>34153</v>
      </c>
      <c r="N1028" s="7">
        <v>34153</v>
      </c>
    </row>
    <row r="1029" spans="1:14" x14ac:dyDescent="0.3">
      <c r="A1029">
        <v>1027</v>
      </c>
      <c r="B1029" s="1">
        <v>45685</v>
      </c>
      <c r="C1029">
        <v>2025</v>
      </c>
      <c r="D1029">
        <v>1</v>
      </c>
      <c r="E1029" t="str">
        <f t="shared" si="16"/>
        <v>Januari</v>
      </c>
      <c r="F1029">
        <v>1</v>
      </c>
      <c r="G1029" t="s">
        <v>1526</v>
      </c>
      <c r="H1029" t="s">
        <v>1527</v>
      </c>
      <c r="I1029" t="s">
        <v>1516</v>
      </c>
      <c r="J1029" t="s">
        <v>1524</v>
      </c>
      <c r="K1029" t="s">
        <v>1518</v>
      </c>
      <c r="L1029" s="2">
        <v>1</v>
      </c>
      <c r="M1029" s="10">
        <v>884</v>
      </c>
      <c r="N1029" s="7">
        <v>884</v>
      </c>
    </row>
    <row r="1030" spans="1:14" x14ac:dyDescent="0.3">
      <c r="A1030">
        <v>1028</v>
      </c>
      <c r="B1030" s="1">
        <v>45686</v>
      </c>
      <c r="C1030">
        <v>2025</v>
      </c>
      <c r="D1030">
        <v>1</v>
      </c>
      <c r="E1030" t="str">
        <f t="shared" si="16"/>
        <v>Januari</v>
      </c>
      <c r="F1030">
        <v>1</v>
      </c>
      <c r="G1030" t="s">
        <v>1529</v>
      </c>
      <c r="H1030" t="s">
        <v>1530</v>
      </c>
      <c r="I1030" t="s">
        <v>1521</v>
      </c>
      <c r="J1030" t="s">
        <v>1517</v>
      </c>
      <c r="K1030" t="s">
        <v>1525</v>
      </c>
      <c r="L1030" s="2">
        <v>1</v>
      </c>
      <c r="M1030" s="10">
        <v>1961</v>
      </c>
      <c r="N1030" s="7">
        <v>1961</v>
      </c>
    </row>
    <row r="1031" spans="1:14" x14ac:dyDescent="0.3">
      <c r="A1031">
        <v>1029</v>
      </c>
      <c r="B1031" s="1">
        <v>45687</v>
      </c>
      <c r="C1031">
        <v>2025</v>
      </c>
      <c r="D1031">
        <v>1</v>
      </c>
      <c r="E1031" t="str">
        <f t="shared" si="16"/>
        <v>Januari</v>
      </c>
      <c r="F1031">
        <v>1</v>
      </c>
      <c r="G1031" t="s">
        <v>1532</v>
      </c>
      <c r="H1031" t="s">
        <v>1512</v>
      </c>
      <c r="I1031" t="s">
        <v>1521</v>
      </c>
      <c r="J1031" t="s">
        <v>1566</v>
      </c>
      <c r="K1031" t="s">
        <v>1518</v>
      </c>
      <c r="L1031" s="2">
        <v>1</v>
      </c>
      <c r="M1031" s="10">
        <v>7608</v>
      </c>
      <c r="N1031" s="7">
        <v>7608</v>
      </c>
    </row>
    <row r="1032" spans="1:14" x14ac:dyDescent="0.3">
      <c r="A1032">
        <v>1030</v>
      </c>
      <c r="B1032" s="1">
        <v>45688</v>
      </c>
      <c r="C1032">
        <v>2025</v>
      </c>
      <c r="D1032">
        <v>1</v>
      </c>
      <c r="E1032" t="str">
        <f t="shared" si="16"/>
        <v>Januari</v>
      </c>
      <c r="F1032">
        <v>1</v>
      </c>
      <c r="G1032" t="s">
        <v>1533</v>
      </c>
      <c r="H1032" t="s">
        <v>1520</v>
      </c>
      <c r="I1032" t="s">
        <v>1528</v>
      </c>
      <c r="J1032" t="s">
        <v>1566</v>
      </c>
      <c r="K1032" t="s">
        <v>1525</v>
      </c>
      <c r="L1032" s="2">
        <v>5</v>
      </c>
      <c r="M1032" s="10">
        <v>126</v>
      </c>
      <c r="N1032" s="7">
        <v>630</v>
      </c>
    </row>
    <row r="1033" spans="1:14" x14ac:dyDescent="0.3">
      <c r="A1033">
        <v>1031</v>
      </c>
      <c r="B1033" s="1">
        <v>45689</v>
      </c>
      <c r="C1033">
        <v>2025</v>
      </c>
      <c r="D1033">
        <v>2</v>
      </c>
      <c r="E1033" t="str">
        <f t="shared" si="16"/>
        <v>Februari</v>
      </c>
      <c r="F1033">
        <v>1</v>
      </c>
      <c r="G1033" t="s">
        <v>1511</v>
      </c>
      <c r="H1033" t="s">
        <v>1512</v>
      </c>
      <c r="I1033" t="s">
        <v>1528</v>
      </c>
      <c r="J1033" t="s">
        <v>1517</v>
      </c>
      <c r="K1033" t="s">
        <v>1525</v>
      </c>
      <c r="L1033" s="2">
        <v>1</v>
      </c>
      <c r="M1033" s="10">
        <v>68088</v>
      </c>
      <c r="N1033" s="7">
        <v>68088</v>
      </c>
    </row>
    <row r="1034" spans="1:14" x14ac:dyDescent="0.3">
      <c r="A1034">
        <v>1032</v>
      </c>
      <c r="B1034" s="1">
        <v>45690</v>
      </c>
      <c r="C1034">
        <v>2025</v>
      </c>
      <c r="D1034">
        <v>2</v>
      </c>
      <c r="E1034" t="str">
        <f t="shared" si="16"/>
        <v>Februari</v>
      </c>
      <c r="F1034">
        <v>1</v>
      </c>
      <c r="G1034" t="s">
        <v>1515</v>
      </c>
      <c r="H1034" t="s">
        <v>1512</v>
      </c>
      <c r="I1034" t="s">
        <v>1516</v>
      </c>
      <c r="J1034" t="s">
        <v>1517</v>
      </c>
      <c r="K1034" t="s">
        <v>1518</v>
      </c>
      <c r="L1034" s="2">
        <v>3</v>
      </c>
      <c r="M1034" s="10">
        <v>2723</v>
      </c>
      <c r="N1034" s="7">
        <v>8169</v>
      </c>
    </row>
    <row r="1035" spans="1:14" x14ac:dyDescent="0.3">
      <c r="A1035">
        <v>1033</v>
      </c>
      <c r="B1035" s="1">
        <v>45691</v>
      </c>
      <c r="C1035">
        <v>2025</v>
      </c>
      <c r="D1035">
        <v>2</v>
      </c>
      <c r="E1035" t="str">
        <f t="shared" si="16"/>
        <v>Februari</v>
      </c>
      <c r="F1035">
        <v>1</v>
      </c>
      <c r="G1035" t="s">
        <v>1534</v>
      </c>
      <c r="H1035" t="s">
        <v>1530</v>
      </c>
      <c r="I1035" t="s">
        <v>1535</v>
      </c>
      <c r="J1035" t="s">
        <v>1517</v>
      </c>
      <c r="K1035" t="s">
        <v>1525</v>
      </c>
      <c r="L1035" s="2">
        <v>1</v>
      </c>
      <c r="M1035" s="10">
        <v>4157</v>
      </c>
      <c r="N1035" s="7">
        <v>4157</v>
      </c>
    </row>
    <row r="1036" spans="1:14" x14ac:dyDescent="0.3">
      <c r="A1036">
        <v>1034</v>
      </c>
      <c r="B1036" s="1">
        <v>45692</v>
      </c>
      <c r="C1036">
        <v>2025</v>
      </c>
      <c r="D1036">
        <v>2</v>
      </c>
      <c r="E1036" t="str">
        <f t="shared" si="16"/>
        <v>Februari</v>
      </c>
      <c r="F1036">
        <v>1</v>
      </c>
      <c r="G1036" t="s">
        <v>1519</v>
      </c>
      <c r="H1036" t="s">
        <v>1520</v>
      </c>
      <c r="I1036" t="s">
        <v>1521</v>
      </c>
      <c r="J1036" t="s">
        <v>1524</v>
      </c>
      <c r="K1036" t="s">
        <v>1518</v>
      </c>
      <c r="L1036" s="2">
        <v>3</v>
      </c>
      <c r="M1036" s="10">
        <v>3589</v>
      </c>
      <c r="N1036" s="7">
        <v>10767</v>
      </c>
    </row>
    <row r="1037" spans="1:14" x14ac:dyDescent="0.3">
      <c r="A1037">
        <v>1035</v>
      </c>
      <c r="B1037" s="1">
        <v>45693</v>
      </c>
      <c r="C1037">
        <v>2025</v>
      </c>
      <c r="D1037">
        <v>2</v>
      </c>
      <c r="E1037" t="str">
        <f t="shared" si="16"/>
        <v>Februari</v>
      </c>
      <c r="F1037">
        <v>1</v>
      </c>
      <c r="G1037" t="s">
        <v>1522</v>
      </c>
      <c r="H1037" t="s">
        <v>1520</v>
      </c>
      <c r="I1037" t="s">
        <v>1516</v>
      </c>
      <c r="J1037" t="s">
        <v>1524</v>
      </c>
      <c r="K1037" t="s">
        <v>1518</v>
      </c>
      <c r="L1037" s="2">
        <v>3</v>
      </c>
      <c r="M1037" s="10">
        <v>414</v>
      </c>
      <c r="N1037" s="7">
        <v>1242</v>
      </c>
    </row>
    <row r="1038" spans="1:14" x14ac:dyDescent="0.3">
      <c r="A1038">
        <v>1036</v>
      </c>
      <c r="B1038" s="1">
        <v>45694</v>
      </c>
      <c r="C1038">
        <v>2025</v>
      </c>
      <c r="D1038">
        <v>2</v>
      </c>
      <c r="E1038" t="str">
        <f t="shared" si="16"/>
        <v>Februari</v>
      </c>
      <c r="F1038">
        <v>1</v>
      </c>
      <c r="G1038" t="s">
        <v>1523</v>
      </c>
      <c r="H1038" t="s">
        <v>1512</v>
      </c>
      <c r="I1038" t="s">
        <v>1531</v>
      </c>
      <c r="J1038" t="s">
        <v>1524</v>
      </c>
      <c r="K1038" t="s">
        <v>1514</v>
      </c>
      <c r="L1038" s="2">
        <v>2</v>
      </c>
      <c r="M1038" s="10">
        <v>15134</v>
      </c>
      <c r="N1038" s="7">
        <v>30268</v>
      </c>
    </row>
    <row r="1039" spans="1:14" x14ac:dyDescent="0.3">
      <c r="A1039">
        <v>1037</v>
      </c>
      <c r="B1039" s="1">
        <v>45695</v>
      </c>
      <c r="C1039">
        <v>2025</v>
      </c>
      <c r="D1039">
        <v>2</v>
      </c>
      <c r="E1039" t="str">
        <f t="shared" si="16"/>
        <v>Februari</v>
      </c>
      <c r="F1039">
        <v>1</v>
      </c>
      <c r="G1039" t="s">
        <v>1526</v>
      </c>
      <c r="H1039" t="s">
        <v>1527</v>
      </c>
      <c r="I1039" t="s">
        <v>1528</v>
      </c>
      <c r="J1039" t="s">
        <v>1524</v>
      </c>
      <c r="K1039" t="s">
        <v>1514</v>
      </c>
      <c r="L1039" s="2">
        <v>5</v>
      </c>
      <c r="M1039" s="10">
        <v>605</v>
      </c>
      <c r="N1039" s="7">
        <v>3025</v>
      </c>
    </row>
    <row r="1040" spans="1:14" x14ac:dyDescent="0.3">
      <c r="A1040">
        <v>1038</v>
      </c>
      <c r="B1040" s="1">
        <v>45696</v>
      </c>
      <c r="C1040">
        <v>2025</v>
      </c>
      <c r="D1040">
        <v>2</v>
      </c>
      <c r="E1040" t="str">
        <f t="shared" si="16"/>
        <v>Februari</v>
      </c>
      <c r="F1040">
        <v>1</v>
      </c>
      <c r="G1040" t="s">
        <v>1529</v>
      </c>
      <c r="H1040" t="s">
        <v>1530</v>
      </c>
      <c r="I1040" t="s">
        <v>1516</v>
      </c>
      <c r="J1040" t="s">
        <v>1524</v>
      </c>
      <c r="K1040" t="s">
        <v>1514</v>
      </c>
      <c r="L1040" s="2">
        <v>3</v>
      </c>
      <c r="M1040" s="10">
        <v>1857</v>
      </c>
      <c r="N1040" s="7">
        <v>5571</v>
      </c>
    </row>
    <row r="1041" spans="1:14" x14ac:dyDescent="0.3">
      <c r="A1041">
        <v>1039</v>
      </c>
      <c r="B1041" s="1">
        <v>45697</v>
      </c>
      <c r="C1041">
        <v>2025</v>
      </c>
      <c r="D1041">
        <v>2</v>
      </c>
      <c r="E1041" t="str">
        <f t="shared" si="16"/>
        <v>Februari</v>
      </c>
      <c r="F1041">
        <v>1</v>
      </c>
      <c r="G1041" t="s">
        <v>1532</v>
      </c>
      <c r="H1041" t="s">
        <v>1512</v>
      </c>
      <c r="I1041" t="s">
        <v>1513</v>
      </c>
      <c r="J1041" t="s">
        <v>1524</v>
      </c>
      <c r="K1041" t="s">
        <v>1525</v>
      </c>
      <c r="L1041" s="2">
        <v>1</v>
      </c>
      <c r="M1041" s="10">
        <v>5190</v>
      </c>
      <c r="N1041" s="7">
        <v>5190</v>
      </c>
    </row>
    <row r="1042" spans="1:14" x14ac:dyDescent="0.3">
      <c r="A1042">
        <v>1040</v>
      </c>
      <c r="B1042" s="1">
        <v>45698</v>
      </c>
      <c r="C1042">
        <v>2025</v>
      </c>
      <c r="D1042">
        <v>2</v>
      </c>
      <c r="E1042" t="str">
        <f t="shared" si="16"/>
        <v>Februari</v>
      </c>
      <c r="F1042">
        <v>1</v>
      </c>
      <c r="G1042" t="s">
        <v>1533</v>
      </c>
      <c r="H1042" t="s">
        <v>1520</v>
      </c>
      <c r="I1042" t="s">
        <v>1531</v>
      </c>
      <c r="J1042" t="s">
        <v>1566</v>
      </c>
      <c r="K1042" t="s">
        <v>1525</v>
      </c>
      <c r="L1042" s="2">
        <v>4</v>
      </c>
      <c r="M1042" s="10">
        <v>338</v>
      </c>
      <c r="N1042" s="7">
        <v>1352</v>
      </c>
    </row>
    <row r="1043" spans="1:14" x14ac:dyDescent="0.3">
      <c r="A1043">
        <v>1041</v>
      </c>
      <c r="B1043" s="1">
        <v>45699</v>
      </c>
      <c r="C1043">
        <v>2025</v>
      </c>
      <c r="D1043">
        <v>2</v>
      </c>
      <c r="E1043" t="str">
        <f t="shared" si="16"/>
        <v>Februari</v>
      </c>
      <c r="F1043">
        <v>1</v>
      </c>
      <c r="G1043" t="s">
        <v>1511</v>
      </c>
      <c r="H1043" t="s">
        <v>1512</v>
      </c>
      <c r="I1043" t="s">
        <v>1528</v>
      </c>
      <c r="J1043" t="s">
        <v>1517</v>
      </c>
      <c r="K1043" t="s">
        <v>1525</v>
      </c>
      <c r="L1043" s="2">
        <v>1</v>
      </c>
      <c r="M1043" s="10">
        <v>52555</v>
      </c>
      <c r="N1043" s="7">
        <v>52555</v>
      </c>
    </row>
    <row r="1044" spans="1:14" x14ac:dyDescent="0.3">
      <c r="A1044">
        <v>1042</v>
      </c>
      <c r="B1044" s="1">
        <v>45700</v>
      </c>
      <c r="C1044">
        <v>2025</v>
      </c>
      <c r="D1044">
        <v>2</v>
      </c>
      <c r="E1044" t="str">
        <f t="shared" si="16"/>
        <v>Februari</v>
      </c>
      <c r="F1044">
        <v>1</v>
      </c>
      <c r="G1044" t="s">
        <v>1515</v>
      </c>
      <c r="H1044" t="s">
        <v>1512</v>
      </c>
      <c r="I1044" t="s">
        <v>1516</v>
      </c>
      <c r="J1044" t="s">
        <v>1524</v>
      </c>
      <c r="K1044" t="s">
        <v>1518</v>
      </c>
      <c r="L1044" s="2">
        <v>1</v>
      </c>
      <c r="M1044" s="10">
        <v>2478</v>
      </c>
      <c r="N1044" s="7">
        <v>2478</v>
      </c>
    </row>
    <row r="1045" spans="1:14" x14ac:dyDescent="0.3">
      <c r="A1045">
        <v>1043</v>
      </c>
      <c r="B1045" s="1">
        <v>45701</v>
      </c>
      <c r="C1045">
        <v>2025</v>
      </c>
      <c r="D1045">
        <v>2</v>
      </c>
      <c r="E1045" t="str">
        <f t="shared" si="16"/>
        <v>Februari</v>
      </c>
      <c r="F1045">
        <v>1</v>
      </c>
      <c r="G1045" t="s">
        <v>1534</v>
      </c>
      <c r="H1045" t="s">
        <v>1530</v>
      </c>
      <c r="I1045" t="s">
        <v>1513</v>
      </c>
      <c r="J1045" t="s">
        <v>1524</v>
      </c>
      <c r="K1045" t="s">
        <v>1525</v>
      </c>
      <c r="L1045" s="2">
        <v>2</v>
      </c>
      <c r="M1045" s="10">
        <v>4368</v>
      </c>
      <c r="N1045" s="7">
        <v>8736</v>
      </c>
    </row>
    <row r="1046" spans="1:14" x14ac:dyDescent="0.3">
      <c r="A1046">
        <v>1044</v>
      </c>
      <c r="B1046" s="1">
        <v>45702</v>
      </c>
      <c r="C1046">
        <v>2025</v>
      </c>
      <c r="D1046">
        <v>2</v>
      </c>
      <c r="E1046" t="str">
        <f t="shared" si="16"/>
        <v>Februari</v>
      </c>
      <c r="F1046">
        <v>1</v>
      </c>
      <c r="G1046" t="s">
        <v>1519</v>
      </c>
      <c r="H1046" t="s">
        <v>1520</v>
      </c>
      <c r="I1046" t="s">
        <v>1521</v>
      </c>
      <c r="J1046" t="s">
        <v>1524</v>
      </c>
      <c r="K1046" t="s">
        <v>1518</v>
      </c>
      <c r="L1046" s="2">
        <v>5</v>
      </c>
      <c r="M1046" s="10">
        <v>4294</v>
      </c>
      <c r="N1046" s="7">
        <v>21470</v>
      </c>
    </row>
    <row r="1047" spans="1:14" x14ac:dyDescent="0.3">
      <c r="A1047">
        <v>1045</v>
      </c>
      <c r="B1047" s="1">
        <v>45703</v>
      </c>
      <c r="C1047">
        <v>2025</v>
      </c>
      <c r="D1047">
        <v>2</v>
      </c>
      <c r="E1047" t="str">
        <f t="shared" si="16"/>
        <v>Februari</v>
      </c>
      <c r="F1047">
        <v>1</v>
      </c>
      <c r="G1047" t="s">
        <v>1522</v>
      </c>
      <c r="H1047" t="s">
        <v>1520</v>
      </c>
      <c r="I1047" t="s">
        <v>1513</v>
      </c>
      <c r="J1047" t="s">
        <v>1566</v>
      </c>
      <c r="K1047" t="s">
        <v>1514</v>
      </c>
      <c r="L1047" s="2">
        <v>5</v>
      </c>
      <c r="M1047" s="10">
        <v>877</v>
      </c>
      <c r="N1047" s="7">
        <v>4385</v>
      </c>
    </row>
    <row r="1048" spans="1:14" x14ac:dyDescent="0.3">
      <c r="A1048">
        <v>1046</v>
      </c>
      <c r="B1048" s="1">
        <v>45704</v>
      </c>
      <c r="C1048">
        <v>2025</v>
      </c>
      <c r="D1048">
        <v>2</v>
      </c>
      <c r="E1048" t="str">
        <f t="shared" si="16"/>
        <v>Februari</v>
      </c>
      <c r="F1048">
        <v>1</v>
      </c>
      <c r="G1048" t="s">
        <v>1523</v>
      </c>
      <c r="H1048" t="s">
        <v>1512</v>
      </c>
      <c r="I1048" t="s">
        <v>1528</v>
      </c>
      <c r="J1048" t="s">
        <v>1566</v>
      </c>
      <c r="K1048" t="s">
        <v>1518</v>
      </c>
      <c r="L1048" s="2">
        <v>2</v>
      </c>
      <c r="M1048" s="10">
        <v>35059</v>
      </c>
      <c r="N1048" s="7">
        <v>70118</v>
      </c>
    </row>
    <row r="1049" spans="1:14" x14ac:dyDescent="0.3">
      <c r="A1049">
        <v>1047</v>
      </c>
      <c r="B1049" s="1">
        <v>45705</v>
      </c>
      <c r="C1049">
        <v>2025</v>
      </c>
      <c r="D1049">
        <v>2</v>
      </c>
      <c r="E1049" t="str">
        <f t="shared" si="16"/>
        <v>Februari</v>
      </c>
      <c r="F1049">
        <v>1</v>
      </c>
      <c r="G1049" t="s">
        <v>1526</v>
      </c>
      <c r="H1049" t="s">
        <v>1527</v>
      </c>
      <c r="I1049" t="s">
        <v>1513</v>
      </c>
      <c r="J1049" t="s">
        <v>1517</v>
      </c>
      <c r="K1049" t="s">
        <v>1518</v>
      </c>
      <c r="L1049" s="2">
        <v>3</v>
      </c>
      <c r="M1049" s="10">
        <v>935</v>
      </c>
      <c r="N1049" s="7">
        <v>2805</v>
      </c>
    </row>
    <row r="1050" spans="1:14" x14ac:dyDescent="0.3">
      <c r="A1050">
        <v>1048</v>
      </c>
      <c r="B1050" s="1">
        <v>45706</v>
      </c>
      <c r="C1050">
        <v>2025</v>
      </c>
      <c r="D1050">
        <v>2</v>
      </c>
      <c r="E1050" t="str">
        <f t="shared" si="16"/>
        <v>Februari</v>
      </c>
      <c r="F1050">
        <v>1</v>
      </c>
      <c r="G1050" t="s">
        <v>1529</v>
      </c>
      <c r="H1050" t="s">
        <v>1530</v>
      </c>
      <c r="I1050" t="s">
        <v>1513</v>
      </c>
      <c r="J1050" t="s">
        <v>1517</v>
      </c>
      <c r="K1050" t="s">
        <v>1514</v>
      </c>
      <c r="L1050" s="2">
        <v>1</v>
      </c>
      <c r="M1050" s="10">
        <v>1978</v>
      </c>
      <c r="N1050" s="7">
        <v>1978</v>
      </c>
    </row>
    <row r="1051" spans="1:14" x14ac:dyDescent="0.3">
      <c r="A1051">
        <v>1049</v>
      </c>
      <c r="B1051" s="1">
        <v>45707</v>
      </c>
      <c r="C1051">
        <v>2025</v>
      </c>
      <c r="D1051">
        <v>2</v>
      </c>
      <c r="E1051" t="str">
        <f t="shared" si="16"/>
        <v>Februari</v>
      </c>
      <c r="F1051">
        <v>1</v>
      </c>
      <c r="G1051" t="s">
        <v>1532</v>
      </c>
      <c r="H1051" t="s">
        <v>1512</v>
      </c>
      <c r="I1051" t="s">
        <v>1535</v>
      </c>
      <c r="J1051" t="s">
        <v>1566</v>
      </c>
      <c r="K1051" t="s">
        <v>1514</v>
      </c>
      <c r="L1051" s="2">
        <v>2</v>
      </c>
      <c r="M1051" s="10">
        <v>14326</v>
      </c>
      <c r="N1051" s="7">
        <v>28652</v>
      </c>
    </row>
    <row r="1052" spans="1:14" x14ac:dyDescent="0.3">
      <c r="A1052">
        <v>1050</v>
      </c>
      <c r="B1052" s="1">
        <v>45708</v>
      </c>
      <c r="C1052">
        <v>2025</v>
      </c>
      <c r="D1052">
        <v>2</v>
      </c>
      <c r="E1052" t="str">
        <f t="shared" si="16"/>
        <v>Februari</v>
      </c>
      <c r="F1052">
        <v>1</v>
      </c>
      <c r="G1052" t="s">
        <v>1533</v>
      </c>
      <c r="H1052" t="s">
        <v>1520</v>
      </c>
      <c r="I1052" t="s">
        <v>1535</v>
      </c>
      <c r="J1052" t="s">
        <v>1517</v>
      </c>
      <c r="K1052" t="s">
        <v>1514</v>
      </c>
      <c r="L1052" s="2">
        <v>3</v>
      </c>
      <c r="M1052" s="10">
        <v>100</v>
      </c>
      <c r="N1052" s="7">
        <v>300</v>
      </c>
    </row>
    <row r="1053" spans="1:14" x14ac:dyDescent="0.3">
      <c r="A1053">
        <v>1051</v>
      </c>
      <c r="B1053" s="1">
        <v>45709</v>
      </c>
      <c r="C1053">
        <v>2025</v>
      </c>
      <c r="D1053">
        <v>2</v>
      </c>
      <c r="E1053" t="str">
        <f t="shared" si="16"/>
        <v>Februari</v>
      </c>
      <c r="F1053">
        <v>1</v>
      </c>
      <c r="G1053" t="s">
        <v>1511</v>
      </c>
      <c r="H1053" t="s">
        <v>1512</v>
      </c>
      <c r="I1053" t="s">
        <v>1513</v>
      </c>
      <c r="J1053" t="s">
        <v>1517</v>
      </c>
      <c r="K1053" t="s">
        <v>1525</v>
      </c>
      <c r="L1053" s="2">
        <v>2</v>
      </c>
      <c r="M1053" s="10">
        <v>54846</v>
      </c>
      <c r="N1053" s="7">
        <v>109692</v>
      </c>
    </row>
    <row r="1054" spans="1:14" x14ac:dyDescent="0.3">
      <c r="A1054">
        <v>1052</v>
      </c>
      <c r="B1054" s="1">
        <v>45710</v>
      </c>
      <c r="C1054">
        <v>2025</v>
      </c>
      <c r="D1054">
        <v>2</v>
      </c>
      <c r="E1054" t="str">
        <f t="shared" si="16"/>
        <v>Februari</v>
      </c>
      <c r="F1054">
        <v>1</v>
      </c>
      <c r="G1054" t="s">
        <v>1515</v>
      </c>
      <c r="H1054" t="s">
        <v>1512</v>
      </c>
      <c r="I1054" t="s">
        <v>1513</v>
      </c>
      <c r="J1054" t="s">
        <v>1517</v>
      </c>
      <c r="K1054" t="s">
        <v>1514</v>
      </c>
      <c r="L1054" s="2">
        <v>3</v>
      </c>
      <c r="M1054" s="10">
        <v>4855</v>
      </c>
      <c r="N1054" s="7">
        <v>14565</v>
      </c>
    </row>
    <row r="1055" spans="1:14" x14ac:dyDescent="0.3">
      <c r="A1055">
        <v>1053</v>
      </c>
      <c r="B1055" s="1">
        <v>45711</v>
      </c>
      <c r="C1055">
        <v>2025</v>
      </c>
      <c r="D1055">
        <v>2</v>
      </c>
      <c r="E1055" t="str">
        <f t="shared" si="16"/>
        <v>Februari</v>
      </c>
      <c r="F1055">
        <v>1</v>
      </c>
      <c r="G1055" t="s">
        <v>1534</v>
      </c>
      <c r="H1055" t="s">
        <v>1530</v>
      </c>
      <c r="I1055" t="s">
        <v>1528</v>
      </c>
      <c r="J1055" t="s">
        <v>1566</v>
      </c>
      <c r="K1055" t="s">
        <v>1518</v>
      </c>
      <c r="L1055" s="2">
        <v>3</v>
      </c>
      <c r="M1055" s="10">
        <v>1718</v>
      </c>
      <c r="N1055" s="7">
        <v>5154</v>
      </c>
    </row>
    <row r="1056" spans="1:14" x14ac:dyDescent="0.3">
      <c r="A1056">
        <v>1054</v>
      </c>
      <c r="B1056" s="1">
        <v>45712</v>
      </c>
      <c r="C1056">
        <v>2025</v>
      </c>
      <c r="D1056">
        <v>2</v>
      </c>
      <c r="E1056" t="str">
        <f t="shared" si="16"/>
        <v>Februari</v>
      </c>
      <c r="F1056">
        <v>1</v>
      </c>
      <c r="G1056" t="s">
        <v>1519</v>
      </c>
      <c r="H1056" t="s">
        <v>1520</v>
      </c>
      <c r="I1056" t="s">
        <v>1521</v>
      </c>
      <c r="J1056" t="s">
        <v>1517</v>
      </c>
      <c r="K1056" t="s">
        <v>1525</v>
      </c>
      <c r="L1056" s="2">
        <v>5</v>
      </c>
      <c r="M1056" s="10">
        <v>17415</v>
      </c>
      <c r="N1056" s="7">
        <v>87075</v>
      </c>
    </row>
    <row r="1057" spans="1:14" x14ac:dyDescent="0.3">
      <c r="A1057">
        <v>1055</v>
      </c>
      <c r="B1057" s="1">
        <v>45713</v>
      </c>
      <c r="C1057">
        <v>2025</v>
      </c>
      <c r="D1057">
        <v>2</v>
      </c>
      <c r="E1057" t="str">
        <f t="shared" si="16"/>
        <v>Februari</v>
      </c>
      <c r="F1057">
        <v>1</v>
      </c>
      <c r="G1057" t="s">
        <v>1522</v>
      </c>
      <c r="H1057" t="s">
        <v>1520</v>
      </c>
      <c r="I1057" t="s">
        <v>1535</v>
      </c>
      <c r="J1057" t="s">
        <v>1517</v>
      </c>
      <c r="K1057" t="s">
        <v>1518</v>
      </c>
      <c r="L1057" s="2">
        <v>3</v>
      </c>
      <c r="M1057" s="10">
        <v>661</v>
      </c>
      <c r="N1057" s="7">
        <v>1983</v>
      </c>
    </row>
    <row r="1058" spans="1:14" x14ac:dyDescent="0.3">
      <c r="A1058">
        <v>1056</v>
      </c>
      <c r="B1058" s="1">
        <v>45714</v>
      </c>
      <c r="C1058">
        <v>2025</v>
      </c>
      <c r="D1058">
        <v>2</v>
      </c>
      <c r="E1058" t="str">
        <f t="shared" si="16"/>
        <v>Februari</v>
      </c>
      <c r="F1058">
        <v>1</v>
      </c>
      <c r="G1058" t="s">
        <v>1523</v>
      </c>
      <c r="H1058" t="s">
        <v>1512</v>
      </c>
      <c r="I1058" t="s">
        <v>1521</v>
      </c>
      <c r="J1058" t="s">
        <v>1524</v>
      </c>
      <c r="K1058" t="s">
        <v>1514</v>
      </c>
      <c r="L1058" s="2">
        <v>2</v>
      </c>
      <c r="M1058" s="10">
        <v>30075</v>
      </c>
      <c r="N1058" s="7">
        <v>60150</v>
      </c>
    </row>
    <row r="1059" spans="1:14" x14ac:dyDescent="0.3">
      <c r="A1059">
        <v>1057</v>
      </c>
      <c r="B1059" s="1">
        <v>45715</v>
      </c>
      <c r="C1059">
        <v>2025</v>
      </c>
      <c r="D1059">
        <v>2</v>
      </c>
      <c r="E1059" t="str">
        <f t="shared" si="16"/>
        <v>Februari</v>
      </c>
      <c r="F1059">
        <v>1</v>
      </c>
      <c r="G1059" t="s">
        <v>1526</v>
      </c>
      <c r="H1059" t="s">
        <v>1527</v>
      </c>
      <c r="I1059" t="s">
        <v>1528</v>
      </c>
      <c r="J1059" t="s">
        <v>1566</v>
      </c>
      <c r="K1059" t="s">
        <v>1514</v>
      </c>
      <c r="L1059" s="2">
        <v>3</v>
      </c>
      <c r="M1059" s="10">
        <v>387</v>
      </c>
      <c r="N1059" s="7">
        <v>1161</v>
      </c>
    </row>
    <row r="1060" spans="1:14" x14ac:dyDescent="0.3">
      <c r="A1060">
        <v>1058</v>
      </c>
      <c r="B1060" s="1">
        <v>45716</v>
      </c>
      <c r="C1060">
        <v>2025</v>
      </c>
      <c r="D1060">
        <v>2</v>
      </c>
      <c r="E1060" t="str">
        <f t="shared" si="16"/>
        <v>Februari</v>
      </c>
      <c r="F1060">
        <v>1</v>
      </c>
      <c r="G1060" t="s">
        <v>1529</v>
      </c>
      <c r="H1060" t="s">
        <v>1530</v>
      </c>
      <c r="I1060" t="s">
        <v>1535</v>
      </c>
      <c r="J1060" t="s">
        <v>1517</v>
      </c>
      <c r="K1060" t="s">
        <v>1518</v>
      </c>
      <c r="L1060" s="2">
        <v>5</v>
      </c>
      <c r="M1060" s="10">
        <v>1084</v>
      </c>
      <c r="N1060" s="7">
        <v>5420</v>
      </c>
    </row>
    <row r="1061" spans="1:14" x14ac:dyDescent="0.3">
      <c r="A1061">
        <v>1059</v>
      </c>
      <c r="B1061" s="1">
        <v>45717</v>
      </c>
      <c r="C1061">
        <v>2025</v>
      </c>
      <c r="D1061">
        <v>3</v>
      </c>
      <c r="E1061" t="str">
        <f t="shared" si="16"/>
        <v>Maret</v>
      </c>
      <c r="F1061">
        <v>1</v>
      </c>
      <c r="G1061" t="s">
        <v>1532</v>
      </c>
      <c r="H1061" t="s">
        <v>1512</v>
      </c>
      <c r="I1061" t="s">
        <v>1535</v>
      </c>
      <c r="J1061" t="s">
        <v>1517</v>
      </c>
      <c r="K1061" t="s">
        <v>1514</v>
      </c>
      <c r="L1061" s="2">
        <v>1</v>
      </c>
      <c r="M1061" s="10">
        <v>11559</v>
      </c>
      <c r="N1061" s="7">
        <v>11559</v>
      </c>
    </row>
    <row r="1062" spans="1:14" x14ac:dyDescent="0.3">
      <c r="A1062">
        <v>1060</v>
      </c>
      <c r="B1062" s="1">
        <v>45718</v>
      </c>
      <c r="C1062">
        <v>2025</v>
      </c>
      <c r="D1062">
        <v>3</v>
      </c>
      <c r="E1062" t="str">
        <f t="shared" si="16"/>
        <v>Maret</v>
      </c>
      <c r="F1062">
        <v>1</v>
      </c>
      <c r="G1062" t="s">
        <v>1533</v>
      </c>
      <c r="H1062" t="s">
        <v>1520</v>
      </c>
      <c r="I1062" t="s">
        <v>1516</v>
      </c>
      <c r="J1062" t="s">
        <v>1566</v>
      </c>
      <c r="K1062" t="s">
        <v>1518</v>
      </c>
      <c r="L1062" s="2">
        <v>5</v>
      </c>
      <c r="M1062" s="10">
        <v>717</v>
      </c>
      <c r="N1062" s="7">
        <v>3585</v>
      </c>
    </row>
    <row r="1063" spans="1:14" x14ac:dyDescent="0.3">
      <c r="A1063">
        <v>1061</v>
      </c>
      <c r="B1063" s="1">
        <v>45719</v>
      </c>
      <c r="C1063">
        <v>2025</v>
      </c>
      <c r="D1063">
        <v>3</v>
      </c>
      <c r="E1063" t="str">
        <f t="shared" si="16"/>
        <v>Maret</v>
      </c>
      <c r="F1063">
        <v>1</v>
      </c>
      <c r="G1063" t="s">
        <v>1511</v>
      </c>
      <c r="H1063" t="s">
        <v>1512</v>
      </c>
      <c r="I1063" t="s">
        <v>1521</v>
      </c>
      <c r="J1063" t="s">
        <v>1524</v>
      </c>
      <c r="K1063" t="s">
        <v>1525</v>
      </c>
      <c r="L1063" s="2">
        <v>2</v>
      </c>
      <c r="M1063" s="10">
        <v>51590</v>
      </c>
      <c r="N1063" s="7">
        <v>103180</v>
      </c>
    </row>
    <row r="1064" spans="1:14" x14ac:dyDescent="0.3">
      <c r="A1064">
        <v>1062</v>
      </c>
      <c r="B1064" s="1">
        <v>45720</v>
      </c>
      <c r="C1064">
        <v>2025</v>
      </c>
      <c r="D1064">
        <v>3</v>
      </c>
      <c r="E1064" t="str">
        <f t="shared" si="16"/>
        <v>Maret</v>
      </c>
      <c r="F1064">
        <v>1</v>
      </c>
      <c r="G1064" t="s">
        <v>1515</v>
      </c>
      <c r="H1064" t="s">
        <v>1512</v>
      </c>
      <c r="I1064" t="s">
        <v>1531</v>
      </c>
      <c r="J1064" t="s">
        <v>1517</v>
      </c>
      <c r="K1064" t="s">
        <v>1518</v>
      </c>
      <c r="L1064" s="2">
        <v>2</v>
      </c>
      <c r="M1064" s="10">
        <v>2555</v>
      </c>
      <c r="N1064" s="7">
        <v>5110</v>
      </c>
    </row>
    <row r="1065" spans="1:14" x14ac:dyDescent="0.3">
      <c r="A1065">
        <v>1063</v>
      </c>
      <c r="B1065" s="1">
        <v>45721</v>
      </c>
      <c r="C1065">
        <v>2025</v>
      </c>
      <c r="D1065">
        <v>3</v>
      </c>
      <c r="E1065" t="str">
        <f t="shared" si="16"/>
        <v>Maret</v>
      </c>
      <c r="F1065">
        <v>1</v>
      </c>
      <c r="G1065" t="s">
        <v>1534</v>
      </c>
      <c r="H1065" t="s">
        <v>1530</v>
      </c>
      <c r="I1065" t="s">
        <v>1521</v>
      </c>
      <c r="J1065" t="s">
        <v>1517</v>
      </c>
      <c r="K1065" t="s">
        <v>1525</v>
      </c>
      <c r="L1065" s="2">
        <v>3</v>
      </c>
      <c r="M1065" s="10">
        <v>3601</v>
      </c>
      <c r="N1065" s="7">
        <v>10803</v>
      </c>
    </row>
    <row r="1066" spans="1:14" x14ac:dyDescent="0.3">
      <c r="A1066">
        <v>1064</v>
      </c>
      <c r="B1066" s="1">
        <v>45722</v>
      </c>
      <c r="C1066">
        <v>2025</v>
      </c>
      <c r="D1066">
        <v>3</v>
      </c>
      <c r="E1066" t="str">
        <f t="shared" si="16"/>
        <v>Maret</v>
      </c>
      <c r="F1066">
        <v>1</v>
      </c>
      <c r="G1066" t="s">
        <v>1519</v>
      </c>
      <c r="H1066" t="s">
        <v>1520</v>
      </c>
      <c r="I1066" t="s">
        <v>1513</v>
      </c>
      <c r="J1066" t="s">
        <v>1566</v>
      </c>
      <c r="K1066" t="s">
        <v>1518</v>
      </c>
      <c r="L1066" s="2">
        <v>5</v>
      </c>
      <c r="M1066" s="10">
        <v>9924</v>
      </c>
      <c r="N1066" s="7">
        <v>49620</v>
      </c>
    </row>
    <row r="1067" spans="1:14" x14ac:dyDescent="0.3">
      <c r="A1067">
        <v>1065</v>
      </c>
      <c r="B1067" s="1">
        <v>45723</v>
      </c>
      <c r="C1067">
        <v>2025</v>
      </c>
      <c r="D1067">
        <v>3</v>
      </c>
      <c r="E1067" t="str">
        <f t="shared" si="16"/>
        <v>Maret</v>
      </c>
      <c r="F1067">
        <v>1</v>
      </c>
      <c r="G1067" t="s">
        <v>1522</v>
      </c>
      <c r="H1067" t="s">
        <v>1520</v>
      </c>
      <c r="I1067" t="s">
        <v>1516</v>
      </c>
      <c r="J1067" t="s">
        <v>1524</v>
      </c>
      <c r="K1067" t="s">
        <v>1525</v>
      </c>
      <c r="L1067" s="2">
        <v>5</v>
      </c>
      <c r="M1067" s="10">
        <v>511</v>
      </c>
      <c r="N1067" s="7">
        <v>2555</v>
      </c>
    </row>
    <row r="1068" spans="1:14" x14ac:dyDescent="0.3">
      <c r="A1068">
        <v>1066</v>
      </c>
      <c r="B1068" s="1">
        <v>45724</v>
      </c>
      <c r="C1068">
        <v>2025</v>
      </c>
      <c r="D1068">
        <v>3</v>
      </c>
      <c r="E1068" t="str">
        <f t="shared" si="16"/>
        <v>Maret</v>
      </c>
      <c r="F1068">
        <v>1</v>
      </c>
      <c r="G1068" t="s">
        <v>1523</v>
      </c>
      <c r="H1068" t="s">
        <v>1512</v>
      </c>
      <c r="I1068" t="s">
        <v>1516</v>
      </c>
      <c r="J1068" t="s">
        <v>1517</v>
      </c>
      <c r="K1068" t="s">
        <v>1525</v>
      </c>
      <c r="L1068" s="2">
        <v>1</v>
      </c>
      <c r="M1068" s="10">
        <v>29247</v>
      </c>
      <c r="N1068" s="7">
        <v>29247</v>
      </c>
    </row>
    <row r="1069" spans="1:14" x14ac:dyDescent="0.3">
      <c r="A1069">
        <v>1067</v>
      </c>
      <c r="B1069" s="1">
        <v>45725</v>
      </c>
      <c r="C1069">
        <v>2025</v>
      </c>
      <c r="D1069">
        <v>3</v>
      </c>
      <c r="E1069" t="str">
        <f t="shared" si="16"/>
        <v>Maret</v>
      </c>
      <c r="F1069">
        <v>1</v>
      </c>
      <c r="G1069" t="s">
        <v>1526</v>
      </c>
      <c r="H1069" t="s">
        <v>1527</v>
      </c>
      <c r="I1069" t="s">
        <v>1521</v>
      </c>
      <c r="J1069" t="s">
        <v>1566</v>
      </c>
      <c r="K1069" t="s">
        <v>1518</v>
      </c>
      <c r="L1069" s="2">
        <v>4</v>
      </c>
      <c r="M1069" s="10">
        <v>699</v>
      </c>
      <c r="N1069" s="7">
        <v>2796</v>
      </c>
    </row>
    <row r="1070" spans="1:14" x14ac:dyDescent="0.3">
      <c r="A1070">
        <v>1068</v>
      </c>
      <c r="B1070" s="1">
        <v>45726</v>
      </c>
      <c r="C1070">
        <v>2025</v>
      </c>
      <c r="D1070">
        <v>3</v>
      </c>
      <c r="E1070" t="str">
        <f t="shared" si="16"/>
        <v>Maret</v>
      </c>
      <c r="F1070">
        <v>1</v>
      </c>
      <c r="G1070" t="s">
        <v>1529</v>
      </c>
      <c r="H1070" t="s">
        <v>1530</v>
      </c>
      <c r="I1070" t="s">
        <v>1528</v>
      </c>
      <c r="J1070" t="s">
        <v>1524</v>
      </c>
      <c r="K1070" t="s">
        <v>1525</v>
      </c>
      <c r="L1070" s="2">
        <v>5</v>
      </c>
      <c r="M1070" s="10">
        <v>566</v>
      </c>
      <c r="N1070" s="7">
        <v>2830</v>
      </c>
    </row>
    <row r="1071" spans="1:14" x14ac:dyDescent="0.3">
      <c r="A1071">
        <v>1069</v>
      </c>
      <c r="B1071" s="1">
        <v>45727</v>
      </c>
      <c r="C1071">
        <v>2025</v>
      </c>
      <c r="D1071">
        <v>3</v>
      </c>
      <c r="E1071" t="str">
        <f t="shared" si="16"/>
        <v>Maret</v>
      </c>
      <c r="F1071">
        <v>1</v>
      </c>
      <c r="G1071" t="s">
        <v>1532</v>
      </c>
      <c r="H1071" t="s">
        <v>1512</v>
      </c>
      <c r="I1071" t="s">
        <v>1531</v>
      </c>
      <c r="J1071" t="s">
        <v>1566</v>
      </c>
      <c r="K1071" t="s">
        <v>1518</v>
      </c>
      <c r="L1071" s="2">
        <v>1</v>
      </c>
      <c r="M1071" s="10">
        <v>5629</v>
      </c>
      <c r="N1071" s="7">
        <v>5629</v>
      </c>
    </row>
    <row r="1072" spans="1:14" x14ac:dyDescent="0.3">
      <c r="A1072">
        <v>1070</v>
      </c>
      <c r="B1072" s="1">
        <v>45728</v>
      </c>
      <c r="C1072">
        <v>2025</v>
      </c>
      <c r="D1072">
        <v>3</v>
      </c>
      <c r="E1072" t="str">
        <f t="shared" si="16"/>
        <v>Maret</v>
      </c>
      <c r="F1072">
        <v>1</v>
      </c>
      <c r="G1072" t="s">
        <v>1533</v>
      </c>
      <c r="H1072" t="s">
        <v>1520</v>
      </c>
      <c r="I1072" t="s">
        <v>1516</v>
      </c>
      <c r="J1072" t="s">
        <v>1524</v>
      </c>
      <c r="K1072" t="s">
        <v>1514</v>
      </c>
      <c r="L1072" s="2">
        <v>3</v>
      </c>
      <c r="M1072" s="10">
        <v>579</v>
      </c>
      <c r="N1072" s="7">
        <v>1737</v>
      </c>
    </row>
    <row r="1073" spans="1:14" x14ac:dyDescent="0.3">
      <c r="A1073">
        <v>1071</v>
      </c>
      <c r="B1073" s="1">
        <v>45729</v>
      </c>
      <c r="C1073">
        <v>2025</v>
      </c>
      <c r="D1073">
        <v>3</v>
      </c>
      <c r="E1073" t="str">
        <f t="shared" si="16"/>
        <v>Maret</v>
      </c>
      <c r="F1073">
        <v>1</v>
      </c>
      <c r="G1073" t="s">
        <v>1511</v>
      </c>
      <c r="H1073" t="s">
        <v>1512</v>
      </c>
      <c r="I1073" t="s">
        <v>1521</v>
      </c>
      <c r="J1073" t="s">
        <v>1517</v>
      </c>
      <c r="K1073" t="s">
        <v>1514</v>
      </c>
      <c r="L1073" s="2">
        <v>2</v>
      </c>
      <c r="M1073" s="10">
        <v>58940</v>
      </c>
      <c r="N1073" s="7">
        <v>117880</v>
      </c>
    </row>
    <row r="1074" spans="1:14" x14ac:dyDescent="0.3">
      <c r="A1074">
        <v>1072</v>
      </c>
      <c r="B1074" s="1">
        <v>45730</v>
      </c>
      <c r="C1074">
        <v>2025</v>
      </c>
      <c r="D1074">
        <v>3</v>
      </c>
      <c r="E1074" t="str">
        <f t="shared" si="16"/>
        <v>Maret</v>
      </c>
      <c r="F1074">
        <v>1</v>
      </c>
      <c r="G1074" t="s">
        <v>1515</v>
      </c>
      <c r="H1074" t="s">
        <v>1512</v>
      </c>
      <c r="I1074" t="s">
        <v>1521</v>
      </c>
      <c r="J1074" t="s">
        <v>1517</v>
      </c>
      <c r="K1074" t="s">
        <v>1518</v>
      </c>
      <c r="L1074" s="2">
        <v>1</v>
      </c>
      <c r="M1074" s="10">
        <v>3615</v>
      </c>
      <c r="N1074" s="7">
        <v>3615</v>
      </c>
    </row>
    <row r="1075" spans="1:14" x14ac:dyDescent="0.3">
      <c r="A1075">
        <v>1073</v>
      </c>
      <c r="B1075" s="1">
        <v>45731</v>
      </c>
      <c r="C1075">
        <v>2025</v>
      </c>
      <c r="D1075">
        <v>3</v>
      </c>
      <c r="E1075" t="str">
        <f t="shared" si="16"/>
        <v>Maret</v>
      </c>
      <c r="F1075">
        <v>1</v>
      </c>
      <c r="G1075" t="s">
        <v>1534</v>
      </c>
      <c r="H1075" t="s">
        <v>1530</v>
      </c>
      <c r="I1075" t="s">
        <v>1516</v>
      </c>
      <c r="J1075" t="s">
        <v>1566</v>
      </c>
      <c r="K1075" t="s">
        <v>1525</v>
      </c>
      <c r="L1075" s="2">
        <v>3</v>
      </c>
      <c r="M1075" s="10">
        <v>3472</v>
      </c>
      <c r="N1075" s="7">
        <v>10416</v>
      </c>
    </row>
    <row r="1076" spans="1:14" x14ac:dyDescent="0.3">
      <c r="A1076">
        <v>1074</v>
      </c>
      <c r="B1076" s="1">
        <v>45732</v>
      </c>
      <c r="C1076">
        <v>2025</v>
      </c>
      <c r="D1076">
        <v>3</v>
      </c>
      <c r="E1076" t="str">
        <f t="shared" si="16"/>
        <v>Maret</v>
      </c>
      <c r="F1076">
        <v>1</v>
      </c>
      <c r="G1076" t="s">
        <v>1519</v>
      </c>
      <c r="H1076" t="s">
        <v>1520</v>
      </c>
      <c r="I1076" t="s">
        <v>1516</v>
      </c>
      <c r="J1076" t="s">
        <v>1524</v>
      </c>
      <c r="K1076" t="s">
        <v>1514</v>
      </c>
      <c r="L1076" s="2">
        <v>1</v>
      </c>
      <c r="M1076" s="10">
        <v>2976</v>
      </c>
      <c r="N1076" s="7">
        <v>2976</v>
      </c>
    </row>
    <row r="1077" spans="1:14" x14ac:dyDescent="0.3">
      <c r="A1077">
        <v>1075</v>
      </c>
      <c r="B1077" s="1">
        <v>45733</v>
      </c>
      <c r="C1077">
        <v>2025</v>
      </c>
      <c r="D1077">
        <v>3</v>
      </c>
      <c r="E1077" t="str">
        <f t="shared" si="16"/>
        <v>Maret</v>
      </c>
      <c r="F1077">
        <v>1</v>
      </c>
      <c r="G1077" t="s">
        <v>1522</v>
      </c>
      <c r="H1077" t="s">
        <v>1520</v>
      </c>
      <c r="I1077" t="s">
        <v>1531</v>
      </c>
      <c r="J1077" t="s">
        <v>1566</v>
      </c>
      <c r="K1077" t="s">
        <v>1514</v>
      </c>
      <c r="L1077" s="2">
        <v>3</v>
      </c>
      <c r="M1077" s="10">
        <v>359</v>
      </c>
      <c r="N1077" s="7">
        <v>1077</v>
      </c>
    </row>
    <row r="1078" spans="1:14" x14ac:dyDescent="0.3">
      <c r="A1078">
        <v>1076</v>
      </c>
      <c r="B1078" s="1">
        <v>45734</v>
      </c>
      <c r="C1078">
        <v>2025</v>
      </c>
      <c r="D1078">
        <v>3</v>
      </c>
      <c r="E1078" t="str">
        <f t="shared" si="16"/>
        <v>Maret</v>
      </c>
      <c r="F1078">
        <v>1</v>
      </c>
      <c r="G1078" t="s">
        <v>1523</v>
      </c>
      <c r="H1078" t="s">
        <v>1512</v>
      </c>
      <c r="I1078" t="s">
        <v>1531</v>
      </c>
      <c r="J1078" t="s">
        <v>1517</v>
      </c>
      <c r="K1078" t="s">
        <v>1525</v>
      </c>
      <c r="L1078" s="2">
        <v>1</v>
      </c>
      <c r="M1078" s="10">
        <v>20775</v>
      </c>
      <c r="N1078" s="7">
        <v>20775</v>
      </c>
    </row>
    <row r="1079" spans="1:14" x14ac:dyDescent="0.3">
      <c r="A1079">
        <v>1077</v>
      </c>
      <c r="B1079" s="1">
        <v>45735</v>
      </c>
      <c r="C1079">
        <v>2025</v>
      </c>
      <c r="D1079">
        <v>3</v>
      </c>
      <c r="E1079" t="str">
        <f t="shared" si="16"/>
        <v>Maret</v>
      </c>
      <c r="F1079">
        <v>1</v>
      </c>
      <c r="G1079" t="s">
        <v>1526</v>
      </c>
      <c r="H1079" t="s">
        <v>1527</v>
      </c>
      <c r="I1079" t="s">
        <v>1516</v>
      </c>
      <c r="J1079" t="s">
        <v>1517</v>
      </c>
      <c r="K1079" t="s">
        <v>1514</v>
      </c>
      <c r="L1079" s="2">
        <v>4</v>
      </c>
      <c r="M1079" s="10">
        <v>920</v>
      </c>
      <c r="N1079" s="7">
        <v>3680</v>
      </c>
    </row>
    <row r="1080" spans="1:14" x14ac:dyDescent="0.3">
      <c r="A1080">
        <v>1078</v>
      </c>
      <c r="B1080" s="1">
        <v>45736</v>
      </c>
      <c r="C1080">
        <v>2025</v>
      </c>
      <c r="D1080">
        <v>3</v>
      </c>
      <c r="E1080" t="str">
        <f t="shared" si="16"/>
        <v>Maret</v>
      </c>
      <c r="F1080">
        <v>1</v>
      </c>
      <c r="G1080" t="s">
        <v>1529</v>
      </c>
      <c r="H1080" t="s">
        <v>1530</v>
      </c>
      <c r="I1080" t="s">
        <v>1521</v>
      </c>
      <c r="J1080" t="s">
        <v>1566</v>
      </c>
      <c r="K1080" t="s">
        <v>1518</v>
      </c>
      <c r="L1080" s="2">
        <v>2</v>
      </c>
      <c r="M1080" s="10">
        <v>907</v>
      </c>
      <c r="N1080" s="7">
        <v>1814</v>
      </c>
    </row>
    <row r="1081" spans="1:14" x14ac:dyDescent="0.3">
      <c r="A1081">
        <v>1079</v>
      </c>
      <c r="B1081" s="1">
        <v>45737</v>
      </c>
      <c r="C1081">
        <v>2025</v>
      </c>
      <c r="D1081">
        <v>3</v>
      </c>
      <c r="E1081" t="str">
        <f t="shared" si="16"/>
        <v>Maret</v>
      </c>
      <c r="F1081">
        <v>1</v>
      </c>
      <c r="G1081" t="s">
        <v>1532</v>
      </c>
      <c r="H1081" t="s">
        <v>1512</v>
      </c>
      <c r="I1081" t="s">
        <v>1521</v>
      </c>
      <c r="J1081" t="s">
        <v>1524</v>
      </c>
      <c r="K1081" t="s">
        <v>1525</v>
      </c>
      <c r="L1081" s="2">
        <v>1</v>
      </c>
      <c r="M1081" s="10">
        <v>13388</v>
      </c>
      <c r="N1081" s="7">
        <v>13388</v>
      </c>
    </row>
    <row r="1082" spans="1:14" x14ac:dyDescent="0.3">
      <c r="A1082">
        <v>1080</v>
      </c>
      <c r="B1082" s="1">
        <v>45738</v>
      </c>
      <c r="C1082">
        <v>2025</v>
      </c>
      <c r="D1082">
        <v>3</v>
      </c>
      <c r="E1082" t="str">
        <f t="shared" si="16"/>
        <v>Maret</v>
      </c>
      <c r="F1082">
        <v>1</v>
      </c>
      <c r="G1082" t="s">
        <v>1533</v>
      </c>
      <c r="H1082" t="s">
        <v>1520</v>
      </c>
      <c r="I1082" t="s">
        <v>1528</v>
      </c>
      <c r="J1082" t="s">
        <v>1517</v>
      </c>
      <c r="K1082" t="s">
        <v>1518</v>
      </c>
      <c r="L1082" s="2">
        <v>2</v>
      </c>
      <c r="M1082" s="10">
        <v>372</v>
      </c>
      <c r="N1082" s="7">
        <v>744</v>
      </c>
    </row>
    <row r="1083" spans="1:14" x14ac:dyDescent="0.3">
      <c r="A1083">
        <v>1081</v>
      </c>
      <c r="B1083" s="1">
        <v>45739</v>
      </c>
      <c r="C1083">
        <v>2025</v>
      </c>
      <c r="D1083">
        <v>3</v>
      </c>
      <c r="E1083" t="str">
        <f t="shared" si="16"/>
        <v>Maret</v>
      </c>
      <c r="F1083">
        <v>1</v>
      </c>
      <c r="G1083" t="s">
        <v>1511</v>
      </c>
      <c r="H1083" t="s">
        <v>1512</v>
      </c>
      <c r="I1083" t="s">
        <v>1516</v>
      </c>
      <c r="J1083" t="s">
        <v>1566</v>
      </c>
      <c r="K1083" t="s">
        <v>1525</v>
      </c>
      <c r="L1083" s="2">
        <v>1</v>
      </c>
      <c r="M1083" s="10">
        <v>44531</v>
      </c>
      <c r="N1083" s="7">
        <v>44531</v>
      </c>
    </row>
    <row r="1084" spans="1:14" x14ac:dyDescent="0.3">
      <c r="A1084">
        <v>1082</v>
      </c>
      <c r="B1084" s="1">
        <v>45740</v>
      </c>
      <c r="C1084">
        <v>2025</v>
      </c>
      <c r="D1084">
        <v>3</v>
      </c>
      <c r="E1084" t="str">
        <f t="shared" si="16"/>
        <v>Maret</v>
      </c>
      <c r="F1084">
        <v>1</v>
      </c>
      <c r="G1084" t="s">
        <v>1515</v>
      </c>
      <c r="H1084" t="s">
        <v>1512</v>
      </c>
      <c r="I1084" t="s">
        <v>1528</v>
      </c>
      <c r="J1084" t="s">
        <v>1566</v>
      </c>
      <c r="K1084" t="s">
        <v>1514</v>
      </c>
      <c r="L1084" s="2">
        <v>2</v>
      </c>
      <c r="M1084" s="10">
        <v>1963</v>
      </c>
      <c r="N1084" s="7">
        <v>3926</v>
      </c>
    </row>
    <row r="1085" spans="1:14" x14ac:dyDescent="0.3">
      <c r="A1085">
        <v>1083</v>
      </c>
      <c r="B1085" s="1">
        <v>45741</v>
      </c>
      <c r="C1085">
        <v>2025</v>
      </c>
      <c r="D1085">
        <v>3</v>
      </c>
      <c r="E1085" t="str">
        <f t="shared" si="16"/>
        <v>Maret</v>
      </c>
      <c r="F1085">
        <v>1</v>
      </c>
      <c r="G1085" t="s">
        <v>1534</v>
      </c>
      <c r="H1085" t="s">
        <v>1530</v>
      </c>
      <c r="I1085" t="s">
        <v>1521</v>
      </c>
      <c r="J1085" t="s">
        <v>1517</v>
      </c>
      <c r="K1085" t="s">
        <v>1514</v>
      </c>
      <c r="L1085" s="2">
        <v>1</v>
      </c>
      <c r="M1085" s="10">
        <v>2483</v>
      </c>
      <c r="N1085" s="7">
        <v>2483</v>
      </c>
    </row>
    <row r="1086" spans="1:14" x14ac:dyDescent="0.3">
      <c r="A1086">
        <v>1084</v>
      </c>
      <c r="B1086" s="1">
        <v>45742</v>
      </c>
      <c r="C1086">
        <v>2025</v>
      </c>
      <c r="D1086">
        <v>3</v>
      </c>
      <c r="E1086" t="str">
        <f t="shared" si="16"/>
        <v>Maret</v>
      </c>
      <c r="F1086">
        <v>1</v>
      </c>
      <c r="G1086" t="s">
        <v>1519</v>
      </c>
      <c r="H1086" t="s">
        <v>1520</v>
      </c>
      <c r="I1086" t="s">
        <v>1535</v>
      </c>
      <c r="J1086" t="s">
        <v>1517</v>
      </c>
      <c r="K1086" t="s">
        <v>1525</v>
      </c>
      <c r="L1086" s="2">
        <v>5</v>
      </c>
      <c r="M1086" s="10">
        <v>18677</v>
      </c>
      <c r="N1086" s="7">
        <v>93385</v>
      </c>
    </row>
    <row r="1087" spans="1:14" x14ac:dyDescent="0.3">
      <c r="A1087">
        <v>1085</v>
      </c>
      <c r="B1087" s="1">
        <v>45743</v>
      </c>
      <c r="C1087">
        <v>2025</v>
      </c>
      <c r="D1087">
        <v>3</v>
      </c>
      <c r="E1087" t="str">
        <f t="shared" si="16"/>
        <v>Maret</v>
      </c>
      <c r="F1087">
        <v>1</v>
      </c>
      <c r="G1087" t="s">
        <v>1522</v>
      </c>
      <c r="H1087" t="s">
        <v>1520</v>
      </c>
      <c r="I1087" t="s">
        <v>1521</v>
      </c>
      <c r="J1087" t="s">
        <v>1517</v>
      </c>
      <c r="K1087" t="s">
        <v>1514</v>
      </c>
      <c r="L1087" s="2">
        <v>1</v>
      </c>
      <c r="M1087" s="10">
        <v>583</v>
      </c>
      <c r="N1087" s="7">
        <v>583</v>
      </c>
    </row>
    <row r="1088" spans="1:14" x14ac:dyDescent="0.3">
      <c r="A1088">
        <v>1086</v>
      </c>
      <c r="B1088" s="1">
        <v>45744</v>
      </c>
      <c r="C1088">
        <v>2025</v>
      </c>
      <c r="D1088">
        <v>3</v>
      </c>
      <c r="E1088" t="str">
        <f t="shared" si="16"/>
        <v>Maret</v>
      </c>
      <c r="F1088">
        <v>1</v>
      </c>
      <c r="G1088" t="s">
        <v>1523</v>
      </c>
      <c r="H1088" t="s">
        <v>1512</v>
      </c>
      <c r="I1088" t="s">
        <v>1521</v>
      </c>
      <c r="J1088" t="s">
        <v>1524</v>
      </c>
      <c r="K1088" t="s">
        <v>1514</v>
      </c>
      <c r="L1088" s="2">
        <v>1</v>
      </c>
      <c r="M1088" s="10">
        <v>34775</v>
      </c>
      <c r="N1088" s="7">
        <v>34775</v>
      </c>
    </row>
    <row r="1089" spans="1:14" x14ac:dyDescent="0.3">
      <c r="A1089">
        <v>1087</v>
      </c>
      <c r="B1089" s="1">
        <v>45745</v>
      </c>
      <c r="C1089">
        <v>2025</v>
      </c>
      <c r="D1089">
        <v>3</v>
      </c>
      <c r="E1089" t="str">
        <f t="shared" si="16"/>
        <v>Maret</v>
      </c>
      <c r="F1089">
        <v>1</v>
      </c>
      <c r="G1089" t="s">
        <v>1526</v>
      </c>
      <c r="H1089" t="s">
        <v>1527</v>
      </c>
      <c r="I1089" t="s">
        <v>1521</v>
      </c>
      <c r="J1089" t="s">
        <v>1517</v>
      </c>
      <c r="K1089" t="s">
        <v>1514</v>
      </c>
      <c r="L1089" s="2">
        <v>3</v>
      </c>
      <c r="M1089" s="10">
        <v>635</v>
      </c>
      <c r="N1089" s="7">
        <v>1905</v>
      </c>
    </row>
    <row r="1090" spans="1:14" x14ac:dyDescent="0.3">
      <c r="A1090">
        <v>1088</v>
      </c>
      <c r="B1090" s="1">
        <v>45746</v>
      </c>
      <c r="C1090">
        <v>2025</v>
      </c>
      <c r="D1090">
        <v>3</v>
      </c>
      <c r="E1090" t="str">
        <f t="shared" si="16"/>
        <v>Maret</v>
      </c>
      <c r="F1090">
        <v>1</v>
      </c>
      <c r="G1090" t="s">
        <v>1529</v>
      </c>
      <c r="H1090" t="s">
        <v>1530</v>
      </c>
      <c r="I1090" t="s">
        <v>1521</v>
      </c>
      <c r="J1090" t="s">
        <v>1524</v>
      </c>
      <c r="K1090" t="s">
        <v>1525</v>
      </c>
      <c r="L1090" s="2">
        <v>5</v>
      </c>
      <c r="M1090" s="10">
        <v>527</v>
      </c>
      <c r="N1090" s="7">
        <v>2635</v>
      </c>
    </row>
    <row r="1091" spans="1:14" x14ac:dyDescent="0.3">
      <c r="A1091">
        <v>1089</v>
      </c>
      <c r="B1091" s="1">
        <v>45747</v>
      </c>
      <c r="C1091">
        <v>2025</v>
      </c>
      <c r="D1091">
        <v>3</v>
      </c>
      <c r="E1091" t="str">
        <f t="shared" ref="E1091:E1154" si="17">TEXT(DATE(2026, D1091, 1), "[$-id-ID]mmmm")</f>
        <v>Maret</v>
      </c>
      <c r="F1091">
        <v>1</v>
      </c>
      <c r="G1091" t="s">
        <v>1532</v>
      </c>
      <c r="H1091" t="s">
        <v>1512</v>
      </c>
      <c r="I1091" t="s">
        <v>1535</v>
      </c>
      <c r="J1091" t="s">
        <v>1524</v>
      </c>
      <c r="K1091" t="s">
        <v>1525</v>
      </c>
      <c r="L1091" s="2">
        <v>2</v>
      </c>
      <c r="M1091" s="10">
        <v>3327</v>
      </c>
      <c r="N1091" s="7">
        <v>6654</v>
      </c>
    </row>
    <row r="1092" spans="1:14" x14ac:dyDescent="0.3">
      <c r="A1092">
        <v>1090</v>
      </c>
      <c r="B1092" s="1">
        <v>45748</v>
      </c>
      <c r="C1092">
        <v>2025</v>
      </c>
      <c r="D1092">
        <v>4</v>
      </c>
      <c r="E1092" t="str">
        <f t="shared" si="17"/>
        <v>April</v>
      </c>
      <c r="F1092">
        <v>2</v>
      </c>
      <c r="G1092" t="s">
        <v>1533</v>
      </c>
      <c r="H1092" t="s">
        <v>1520</v>
      </c>
      <c r="I1092" t="s">
        <v>1528</v>
      </c>
      <c r="J1092" t="s">
        <v>1517</v>
      </c>
      <c r="K1092" t="s">
        <v>1518</v>
      </c>
      <c r="L1092" s="2">
        <v>1</v>
      </c>
      <c r="M1092" s="10">
        <v>383</v>
      </c>
      <c r="N1092" s="7">
        <v>383</v>
      </c>
    </row>
    <row r="1093" spans="1:14" x14ac:dyDescent="0.3">
      <c r="A1093">
        <v>1091</v>
      </c>
      <c r="B1093" s="1">
        <v>45749</v>
      </c>
      <c r="C1093">
        <v>2025</v>
      </c>
      <c r="D1093">
        <v>4</v>
      </c>
      <c r="E1093" t="str">
        <f t="shared" si="17"/>
        <v>April</v>
      </c>
      <c r="F1093">
        <v>2</v>
      </c>
      <c r="G1093" t="s">
        <v>1511</v>
      </c>
      <c r="H1093" t="s">
        <v>1512</v>
      </c>
      <c r="I1093" t="s">
        <v>1513</v>
      </c>
      <c r="J1093" t="s">
        <v>1566</v>
      </c>
      <c r="K1093" t="s">
        <v>1518</v>
      </c>
      <c r="L1093" s="2">
        <v>1</v>
      </c>
      <c r="M1093" s="10">
        <v>61156</v>
      </c>
      <c r="N1093" s="7">
        <v>61156</v>
      </c>
    </row>
    <row r="1094" spans="1:14" x14ac:dyDescent="0.3">
      <c r="A1094">
        <v>1092</v>
      </c>
      <c r="B1094" s="1">
        <v>45750</v>
      </c>
      <c r="C1094">
        <v>2025</v>
      </c>
      <c r="D1094">
        <v>4</v>
      </c>
      <c r="E1094" t="str">
        <f t="shared" si="17"/>
        <v>April</v>
      </c>
      <c r="F1094">
        <v>2</v>
      </c>
      <c r="G1094" t="s">
        <v>1515</v>
      </c>
      <c r="H1094" t="s">
        <v>1512</v>
      </c>
      <c r="I1094" t="s">
        <v>1516</v>
      </c>
      <c r="J1094" t="s">
        <v>1524</v>
      </c>
      <c r="K1094" t="s">
        <v>1525</v>
      </c>
      <c r="L1094" s="2">
        <v>1</v>
      </c>
      <c r="M1094" s="10">
        <v>3607</v>
      </c>
      <c r="N1094" s="7">
        <v>3607</v>
      </c>
    </row>
    <row r="1095" spans="1:14" x14ac:dyDescent="0.3">
      <c r="A1095">
        <v>1093</v>
      </c>
      <c r="B1095" s="1">
        <v>45751</v>
      </c>
      <c r="C1095">
        <v>2025</v>
      </c>
      <c r="D1095">
        <v>4</v>
      </c>
      <c r="E1095" t="str">
        <f t="shared" si="17"/>
        <v>April</v>
      </c>
      <c r="F1095">
        <v>2</v>
      </c>
      <c r="G1095" t="s">
        <v>1534</v>
      </c>
      <c r="H1095" t="s">
        <v>1530</v>
      </c>
      <c r="I1095" t="s">
        <v>1521</v>
      </c>
      <c r="J1095" t="s">
        <v>1566</v>
      </c>
      <c r="K1095" t="s">
        <v>1525</v>
      </c>
      <c r="L1095" s="2">
        <v>3</v>
      </c>
      <c r="M1095" s="10">
        <v>3055</v>
      </c>
      <c r="N1095" s="7">
        <v>9165</v>
      </c>
    </row>
    <row r="1096" spans="1:14" x14ac:dyDescent="0.3">
      <c r="A1096">
        <v>1094</v>
      </c>
      <c r="B1096" s="1">
        <v>45752</v>
      </c>
      <c r="C1096">
        <v>2025</v>
      </c>
      <c r="D1096">
        <v>4</v>
      </c>
      <c r="E1096" t="str">
        <f t="shared" si="17"/>
        <v>April</v>
      </c>
      <c r="F1096">
        <v>2</v>
      </c>
      <c r="G1096" t="s">
        <v>1519</v>
      </c>
      <c r="H1096" t="s">
        <v>1520</v>
      </c>
      <c r="I1096" t="s">
        <v>1521</v>
      </c>
      <c r="J1096" t="s">
        <v>1517</v>
      </c>
      <c r="K1096" t="s">
        <v>1525</v>
      </c>
      <c r="L1096" s="2">
        <v>4</v>
      </c>
      <c r="M1096" s="10">
        <v>18106</v>
      </c>
      <c r="N1096" s="7">
        <v>72424</v>
      </c>
    </row>
    <row r="1097" spans="1:14" x14ac:dyDescent="0.3">
      <c r="A1097">
        <v>1095</v>
      </c>
      <c r="B1097" s="1">
        <v>45753</v>
      </c>
      <c r="C1097">
        <v>2025</v>
      </c>
      <c r="D1097">
        <v>4</v>
      </c>
      <c r="E1097" t="str">
        <f t="shared" si="17"/>
        <v>April</v>
      </c>
      <c r="F1097">
        <v>2</v>
      </c>
      <c r="G1097" t="s">
        <v>1522</v>
      </c>
      <c r="H1097" t="s">
        <v>1520</v>
      </c>
      <c r="I1097" t="s">
        <v>1516</v>
      </c>
      <c r="J1097" t="s">
        <v>1566</v>
      </c>
      <c r="K1097" t="s">
        <v>1518</v>
      </c>
      <c r="L1097" s="2">
        <v>5</v>
      </c>
      <c r="M1097" s="10">
        <v>103</v>
      </c>
      <c r="N1097" s="7">
        <v>515</v>
      </c>
    </row>
    <row r="1098" spans="1:14" x14ac:dyDescent="0.3">
      <c r="A1098">
        <v>1096</v>
      </c>
      <c r="B1098" s="1">
        <v>45754</v>
      </c>
      <c r="C1098">
        <v>2025</v>
      </c>
      <c r="D1098">
        <v>4</v>
      </c>
      <c r="E1098" t="str">
        <f t="shared" si="17"/>
        <v>April</v>
      </c>
      <c r="F1098">
        <v>2</v>
      </c>
      <c r="G1098" t="s">
        <v>1523</v>
      </c>
      <c r="H1098" t="s">
        <v>1512</v>
      </c>
      <c r="I1098" t="s">
        <v>1521</v>
      </c>
      <c r="J1098" t="s">
        <v>1524</v>
      </c>
      <c r="K1098" t="s">
        <v>1514</v>
      </c>
      <c r="L1098" s="2">
        <v>1</v>
      </c>
      <c r="M1098" s="10">
        <v>13217</v>
      </c>
      <c r="N1098" s="7">
        <v>13217</v>
      </c>
    </row>
    <row r="1099" spans="1:14" x14ac:dyDescent="0.3">
      <c r="A1099">
        <v>1097</v>
      </c>
      <c r="B1099" s="1">
        <v>45755</v>
      </c>
      <c r="C1099">
        <v>2025</v>
      </c>
      <c r="D1099">
        <v>4</v>
      </c>
      <c r="E1099" t="str">
        <f t="shared" si="17"/>
        <v>April</v>
      </c>
      <c r="F1099">
        <v>2</v>
      </c>
      <c r="G1099" t="s">
        <v>1526</v>
      </c>
      <c r="H1099" t="s">
        <v>1527</v>
      </c>
      <c r="I1099" t="s">
        <v>1528</v>
      </c>
      <c r="J1099" t="s">
        <v>1566</v>
      </c>
      <c r="K1099" t="s">
        <v>1525</v>
      </c>
      <c r="L1099" s="2">
        <v>2</v>
      </c>
      <c r="M1099" s="10">
        <v>511</v>
      </c>
      <c r="N1099" s="7">
        <v>1022</v>
      </c>
    </row>
    <row r="1100" spans="1:14" x14ac:dyDescent="0.3">
      <c r="A1100">
        <v>1098</v>
      </c>
      <c r="B1100" s="1">
        <v>45756</v>
      </c>
      <c r="C1100">
        <v>2025</v>
      </c>
      <c r="D1100">
        <v>4</v>
      </c>
      <c r="E1100" t="str">
        <f t="shared" si="17"/>
        <v>April</v>
      </c>
      <c r="F1100">
        <v>2</v>
      </c>
      <c r="G1100" t="s">
        <v>1529</v>
      </c>
      <c r="H1100" t="s">
        <v>1530</v>
      </c>
      <c r="I1100" t="s">
        <v>1535</v>
      </c>
      <c r="J1100" t="s">
        <v>1566</v>
      </c>
      <c r="K1100" t="s">
        <v>1518</v>
      </c>
      <c r="L1100" s="2">
        <v>2</v>
      </c>
      <c r="M1100" s="10">
        <v>513</v>
      </c>
      <c r="N1100" s="7">
        <v>1026</v>
      </c>
    </row>
    <row r="1101" spans="1:14" x14ac:dyDescent="0.3">
      <c r="A1101">
        <v>1099</v>
      </c>
      <c r="B1101" s="1">
        <v>45757</v>
      </c>
      <c r="C1101">
        <v>2025</v>
      </c>
      <c r="D1101">
        <v>4</v>
      </c>
      <c r="E1101" t="str">
        <f t="shared" si="17"/>
        <v>April</v>
      </c>
      <c r="F1101">
        <v>2</v>
      </c>
      <c r="G1101" t="s">
        <v>1532</v>
      </c>
      <c r="H1101" t="s">
        <v>1512</v>
      </c>
      <c r="I1101" t="s">
        <v>1513</v>
      </c>
      <c r="J1101" t="s">
        <v>1566</v>
      </c>
      <c r="K1101" t="s">
        <v>1518</v>
      </c>
      <c r="L1101" s="2">
        <v>2</v>
      </c>
      <c r="M1101" s="10">
        <v>6283</v>
      </c>
      <c r="N1101" s="7">
        <v>12566</v>
      </c>
    </row>
    <row r="1102" spans="1:14" x14ac:dyDescent="0.3">
      <c r="A1102">
        <v>1100</v>
      </c>
      <c r="B1102" s="1">
        <v>45758</v>
      </c>
      <c r="C1102">
        <v>2025</v>
      </c>
      <c r="D1102">
        <v>4</v>
      </c>
      <c r="E1102" t="str">
        <f t="shared" si="17"/>
        <v>April</v>
      </c>
      <c r="F1102">
        <v>2</v>
      </c>
      <c r="G1102" t="s">
        <v>1533</v>
      </c>
      <c r="H1102" t="s">
        <v>1520</v>
      </c>
      <c r="I1102" t="s">
        <v>1516</v>
      </c>
      <c r="J1102" t="s">
        <v>1566</v>
      </c>
      <c r="K1102" t="s">
        <v>1525</v>
      </c>
      <c r="L1102" s="2">
        <v>4</v>
      </c>
      <c r="M1102" s="10">
        <v>552</v>
      </c>
      <c r="N1102" s="7">
        <v>2208</v>
      </c>
    </row>
    <row r="1103" spans="1:14" x14ac:dyDescent="0.3">
      <c r="A1103">
        <v>1101</v>
      </c>
      <c r="B1103" s="1">
        <v>45759</v>
      </c>
      <c r="C1103">
        <v>2025</v>
      </c>
      <c r="D1103">
        <v>4</v>
      </c>
      <c r="E1103" t="str">
        <f t="shared" si="17"/>
        <v>April</v>
      </c>
      <c r="F1103">
        <v>2</v>
      </c>
      <c r="G1103" t="s">
        <v>1511</v>
      </c>
      <c r="H1103" t="s">
        <v>1512</v>
      </c>
      <c r="I1103" t="s">
        <v>1513</v>
      </c>
      <c r="J1103" t="s">
        <v>1524</v>
      </c>
      <c r="K1103" t="s">
        <v>1514</v>
      </c>
      <c r="L1103" s="2">
        <v>1</v>
      </c>
      <c r="M1103" s="10">
        <v>56441</v>
      </c>
      <c r="N1103" s="7">
        <v>56441</v>
      </c>
    </row>
    <row r="1104" spans="1:14" x14ac:dyDescent="0.3">
      <c r="A1104">
        <v>1102</v>
      </c>
      <c r="B1104" s="1">
        <v>45760</v>
      </c>
      <c r="C1104">
        <v>2025</v>
      </c>
      <c r="D1104">
        <v>4</v>
      </c>
      <c r="E1104" t="str">
        <f t="shared" si="17"/>
        <v>April</v>
      </c>
      <c r="F1104">
        <v>2</v>
      </c>
      <c r="G1104" t="s">
        <v>1515</v>
      </c>
      <c r="H1104" t="s">
        <v>1512</v>
      </c>
      <c r="I1104" t="s">
        <v>1528</v>
      </c>
      <c r="J1104" t="s">
        <v>1566</v>
      </c>
      <c r="K1104" t="s">
        <v>1518</v>
      </c>
      <c r="L1104" s="2">
        <v>2</v>
      </c>
      <c r="M1104" s="10">
        <v>4833</v>
      </c>
      <c r="N1104" s="7">
        <v>9666</v>
      </c>
    </row>
    <row r="1105" spans="1:14" x14ac:dyDescent="0.3">
      <c r="A1105">
        <v>1103</v>
      </c>
      <c r="B1105" s="1">
        <v>45761</v>
      </c>
      <c r="C1105">
        <v>2025</v>
      </c>
      <c r="D1105">
        <v>4</v>
      </c>
      <c r="E1105" t="str">
        <f t="shared" si="17"/>
        <v>April</v>
      </c>
      <c r="F1105">
        <v>2</v>
      </c>
      <c r="G1105" t="s">
        <v>1534</v>
      </c>
      <c r="H1105" t="s">
        <v>1530</v>
      </c>
      <c r="I1105" t="s">
        <v>1528</v>
      </c>
      <c r="J1105" t="s">
        <v>1566</v>
      </c>
      <c r="K1105" t="s">
        <v>1514</v>
      </c>
      <c r="L1105" s="2">
        <v>1</v>
      </c>
      <c r="M1105" s="10">
        <v>1314</v>
      </c>
      <c r="N1105" s="7">
        <v>1314</v>
      </c>
    </row>
    <row r="1106" spans="1:14" x14ac:dyDescent="0.3">
      <c r="A1106">
        <v>1104</v>
      </c>
      <c r="B1106" s="1">
        <v>45762</v>
      </c>
      <c r="C1106">
        <v>2025</v>
      </c>
      <c r="D1106">
        <v>4</v>
      </c>
      <c r="E1106" t="str">
        <f t="shared" si="17"/>
        <v>April</v>
      </c>
      <c r="F1106">
        <v>2</v>
      </c>
      <c r="G1106" t="s">
        <v>1519</v>
      </c>
      <c r="H1106" t="s">
        <v>1520</v>
      </c>
      <c r="I1106" t="s">
        <v>1513</v>
      </c>
      <c r="J1106" t="s">
        <v>1517</v>
      </c>
      <c r="K1106" t="s">
        <v>1525</v>
      </c>
      <c r="L1106" s="2">
        <v>1</v>
      </c>
      <c r="M1106" s="10">
        <v>5201</v>
      </c>
      <c r="N1106" s="7">
        <v>5201</v>
      </c>
    </row>
    <row r="1107" spans="1:14" x14ac:dyDescent="0.3">
      <c r="A1107">
        <v>1105</v>
      </c>
      <c r="B1107" s="1">
        <v>45763</v>
      </c>
      <c r="C1107">
        <v>2025</v>
      </c>
      <c r="D1107">
        <v>4</v>
      </c>
      <c r="E1107" t="str">
        <f t="shared" si="17"/>
        <v>April</v>
      </c>
      <c r="F1107">
        <v>2</v>
      </c>
      <c r="G1107" t="s">
        <v>1522</v>
      </c>
      <c r="H1107" t="s">
        <v>1520</v>
      </c>
      <c r="I1107" t="s">
        <v>1513</v>
      </c>
      <c r="J1107" t="s">
        <v>1517</v>
      </c>
      <c r="K1107" t="s">
        <v>1514</v>
      </c>
      <c r="L1107" s="2">
        <v>2</v>
      </c>
      <c r="M1107" s="10">
        <v>469</v>
      </c>
      <c r="N1107" s="7">
        <v>938</v>
      </c>
    </row>
    <row r="1108" spans="1:14" x14ac:dyDescent="0.3">
      <c r="A1108">
        <v>1106</v>
      </c>
      <c r="B1108" s="1">
        <v>45764</v>
      </c>
      <c r="C1108">
        <v>2025</v>
      </c>
      <c r="D1108">
        <v>4</v>
      </c>
      <c r="E1108" t="str">
        <f t="shared" si="17"/>
        <v>April</v>
      </c>
      <c r="F1108">
        <v>2</v>
      </c>
      <c r="G1108" t="s">
        <v>1523</v>
      </c>
      <c r="H1108" t="s">
        <v>1512</v>
      </c>
      <c r="I1108" t="s">
        <v>1521</v>
      </c>
      <c r="J1108" t="s">
        <v>1517</v>
      </c>
      <c r="K1108" t="s">
        <v>1518</v>
      </c>
      <c r="L1108" s="2">
        <v>2</v>
      </c>
      <c r="M1108" s="10">
        <v>24448</v>
      </c>
      <c r="N1108" s="7">
        <v>48896</v>
      </c>
    </row>
    <row r="1109" spans="1:14" x14ac:dyDescent="0.3">
      <c r="A1109">
        <v>1107</v>
      </c>
      <c r="B1109" s="1">
        <v>45765</v>
      </c>
      <c r="C1109">
        <v>2025</v>
      </c>
      <c r="D1109">
        <v>4</v>
      </c>
      <c r="E1109" t="str">
        <f t="shared" si="17"/>
        <v>April</v>
      </c>
      <c r="F1109">
        <v>2</v>
      </c>
      <c r="G1109" t="s">
        <v>1526</v>
      </c>
      <c r="H1109" t="s">
        <v>1527</v>
      </c>
      <c r="I1109" t="s">
        <v>1535</v>
      </c>
      <c r="J1109" t="s">
        <v>1517</v>
      </c>
      <c r="K1109" t="s">
        <v>1518</v>
      </c>
      <c r="L1109" s="2">
        <v>3</v>
      </c>
      <c r="M1109" s="10">
        <v>378</v>
      </c>
      <c r="N1109" s="7">
        <v>1134</v>
      </c>
    </row>
    <row r="1110" spans="1:14" x14ac:dyDescent="0.3">
      <c r="A1110">
        <v>1108</v>
      </c>
      <c r="B1110" s="1">
        <v>45766</v>
      </c>
      <c r="C1110">
        <v>2025</v>
      </c>
      <c r="D1110">
        <v>4</v>
      </c>
      <c r="E1110" t="str">
        <f t="shared" si="17"/>
        <v>April</v>
      </c>
      <c r="F1110">
        <v>2</v>
      </c>
      <c r="G1110" t="s">
        <v>1529</v>
      </c>
      <c r="H1110" t="s">
        <v>1530</v>
      </c>
      <c r="I1110" t="s">
        <v>1535</v>
      </c>
      <c r="J1110" t="s">
        <v>1517</v>
      </c>
      <c r="K1110" t="s">
        <v>1518</v>
      </c>
      <c r="L1110" s="2">
        <v>1</v>
      </c>
      <c r="M1110" s="10">
        <v>1310</v>
      </c>
      <c r="N1110" s="7">
        <v>1310</v>
      </c>
    </row>
    <row r="1111" spans="1:14" x14ac:dyDescent="0.3">
      <c r="A1111">
        <v>1109</v>
      </c>
      <c r="B1111" s="1">
        <v>45767</v>
      </c>
      <c r="C1111">
        <v>2025</v>
      </c>
      <c r="D1111">
        <v>4</v>
      </c>
      <c r="E1111" t="str">
        <f t="shared" si="17"/>
        <v>April</v>
      </c>
      <c r="F1111">
        <v>2</v>
      </c>
      <c r="G1111" t="s">
        <v>1532</v>
      </c>
      <c r="H1111" t="s">
        <v>1512</v>
      </c>
      <c r="I1111" t="s">
        <v>1535</v>
      </c>
      <c r="J1111" t="s">
        <v>1524</v>
      </c>
      <c r="K1111" t="s">
        <v>1525</v>
      </c>
      <c r="L1111" s="2">
        <v>1</v>
      </c>
      <c r="M1111" s="10">
        <v>5590</v>
      </c>
      <c r="N1111" s="7">
        <v>5590</v>
      </c>
    </row>
    <row r="1112" spans="1:14" x14ac:dyDescent="0.3">
      <c r="A1112">
        <v>1110</v>
      </c>
      <c r="B1112" s="1">
        <v>45768</v>
      </c>
      <c r="C1112">
        <v>2025</v>
      </c>
      <c r="D1112">
        <v>4</v>
      </c>
      <c r="E1112" t="str">
        <f t="shared" si="17"/>
        <v>April</v>
      </c>
      <c r="F1112">
        <v>2</v>
      </c>
      <c r="G1112" t="s">
        <v>1533</v>
      </c>
      <c r="H1112" t="s">
        <v>1520</v>
      </c>
      <c r="I1112" t="s">
        <v>1516</v>
      </c>
      <c r="J1112" t="s">
        <v>1566</v>
      </c>
      <c r="K1112" t="s">
        <v>1525</v>
      </c>
      <c r="L1112" s="2">
        <v>3</v>
      </c>
      <c r="M1112" s="10">
        <v>405</v>
      </c>
      <c r="N1112" s="7">
        <v>1215</v>
      </c>
    </row>
    <row r="1113" spans="1:14" x14ac:dyDescent="0.3">
      <c r="A1113">
        <v>1111</v>
      </c>
      <c r="B1113" s="1">
        <v>45769</v>
      </c>
      <c r="C1113">
        <v>2025</v>
      </c>
      <c r="D1113">
        <v>4</v>
      </c>
      <c r="E1113" t="str">
        <f t="shared" si="17"/>
        <v>April</v>
      </c>
      <c r="F1113">
        <v>2</v>
      </c>
      <c r="G1113" t="s">
        <v>1511</v>
      </c>
      <c r="H1113" t="s">
        <v>1512</v>
      </c>
      <c r="I1113" t="s">
        <v>1531</v>
      </c>
      <c r="J1113" t="s">
        <v>1566</v>
      </c>
      <c r="K1113" t="s">
        <v>1525</v>
      </c>
      <c r="L1113" s="2">
        <v>1</v>
      </c>
      <c r="M1113" s="10">
        <v>51984</v>
      </c>
      <c r="N1113" s="7">
        <v>51984</v>
      </c>
    </row>
    <row r="1114" spans="1:14" x14ac:dyDescent="0.3">
      <c r="A1114">
        <v>1112</v>
      </c>
      <c r="B1114" s="1">
        <v>45770</v>
      </c>
      <c r="C1114">
        <v>2025</v>
      </c>
      <c r="D1114">
        <v>4</v>
      </c>
      <c r="E1114" t="str">
        <f t="shared" si="17"/>
        <v>April</v>
      </c>
      <c r="F1114">
        <v>2</v>
      </c>
      <c r="G1114" t="s">
        <v>1515</v>
      </c>
      <c r="H1114" t="s">
        <v>1512</v>
      </c>
      <c r="I1114" t="s">
        <v>1513</v>
      </c>
      <c r="J1114" t="s">
        <v>1524</v>
      </c>
      <c r="K1114" t="s">
        <v>1525</v>
      </c>
      <c r="L1114" s="2">
        <v>3</v>
      </c>
      <c r="M1114" s="10">
        <v>2766</v>
      </c>
      <c r="N1114" s="7">
        <v>8298</v>
      </c>
    </row>
    <row r="1115" spans="1:14" x14ac:dyDescent="0.3">
      <c r="A1115">
        <v>1113</v>
      </c>
      <c r="B1115" s="1">
        <v>45771</v>
      </c>
      <c r="C1115">
        <v>2025</v>
      </c>
      <c r="D1115">
        <v>4</v>
      </c>
      <c r="E1115" t="str">
        <f t="shared" si="17"/>
        <v>April</v>
      </c>
      <c r="F1115">
        <v>2</v>
      </c>
      <c r="G1115" t="s">
        <v>1534</v>
      </c>
      <c r="H1115" t="s">
        <v>1530</v>
      </c>
      <c r="I1115" t="s">
        <v>1535</v>
      </c>
      <c r="J1115" t="s">
        <v>1566</v>
      </c>
      <c r="K1115" t="s">
        <v>1518</v>
      </c>
      <c r="L1115" s="2">
        <v>3</v>
      </c>
      <c r="M1115" s="10">
        <v>2625</v>
      </c>
      <c r="N1115" s="7">
        <v>7875</v>
      </c>
    </row>
    <row r="1116" spans="1:14" x14ac:dyDescent="0.3">
      <c r="A1116">
        <v>1114</v>
      </c>
      <c r="B1116" s="1">
        <v>45772</v>
      </c>
      <c r="C1116">
        <v>2025</v>
      </c>
      <c r="D1116">
        <v>4</v>
      </c>
      <c r="E1116" t="str">
        <f t="shared" si="17"/>
        <v>April</v>
      </c>
      <c r="F1116">
        <v>2</v>
      </c>
      <c r="G1116" t="s">
        <v>1519</v>
      </c>
      <c r="H1116" t="s">
        <v>1520</v>
      </c>
      <c r="I1116" t="s">
        <v>1521</v>
      </c>
      <c r="J1116" t="s">
        <v>1524</v>
      </c>
      <c r="K1116" t="s">
        <v>1518</v>
      </c>
      <c r="L1116" s="2">
        <v>2</v>
      </c>
      <c r="M1116" s="10">
        <v>2573</v>
      </c>
      <c r="N1116" s="7">
        <v>5146</v>
      </c>
    </row>
    <row r="1117" spans="1:14" x14ac:dyDescent="0.3">
      <c r="A1117">
        <v>1115</v>
      </c>
      <c r="B1117" s="1">
        <v>45773</v>
      </c>
      <c r="C1117">
        <v>2025</v>
      </c>
      <c r="D1117">
        <v>4</v>
      </c>
      <c r="E1117" t="str">
        <f t="shared" si="17"/>
        <v>April</v>
      </c>
      <c r="F1117">
        <v>2</v>
      </c>
      <c r="G1117" t="s">
        <v>1522</v>
      </c>
      <c r="H1117" t="s">
        <v>1520</v>
      </c>
      <c r="I1117" t="s">
        <v>1516</v>
      </c>
      <c r="J1117" t="s">
        <v>1566</v>
      </c>
      <c r="K1117" t="s">
        <v>1525</v>
      </c>
      <c r="L1117" s="2">
        <v>2</v>
      </c>
      <c r="M1117" s="10">
        <v>798</v>
      </c>
      <c r="N1117" s="7">
        <v>1596</v>
      </c>
    </row>
    <row r="1118" spans="1:14" x14ac:dyDescent="0.3">
      <c r="A1118">
        <v>1116</v>
      </c>
      <c r="B1118" s="1">
        <v>45774</v>
      </c>
      <c r="C1118">
        <v>2025</v>
      </c>
      <c r="D1118">
        <v>4</v>
      </c>
      <c r="E1118" t="str">
        <f t="shared" si="17"/>
        <v>April</v>
      </c>
      <c r="F1118">
        <v>2</v>
      </c>
      <c r="G1118" t="s">
        <v>1523</v>
      </c>
      <c r="H1118" t="s">
        <v>1512</v>
      </c>
      <c r="I1118" t="s">
        <v>1535</v>
      </c>
      <c r="J1118" t="s">
        <v>1566</v>
      </c>
      <c r="K1118" t="s">
        <v>1514</v>
      </c>
      <c r="L1118" s="2">
        <v>2</v>
      </c>
      <c r="M1118" s="10">
        <v>31517</v>
      </c>
      <c r="N1118" s="7">
        <v>63034</v>
      </c>
    </row>
    <row r="1119" spans="1:14" x14ac:dyDescent="0.3">
      <c r="A1119">
        <v>1117</v>
      </c>
      <c r="B1119" s="1">
        <v>45775</v>
      </c>
      <c r="C1119">
        <v>2025</v>
      </c>
      <c r="D1119">
        <v>4</v>
      </c>
      <c r="E1119" t="str">
        <f t="shared" si="17"/>
        <v>April</v>
      </c>
      <c r="F1119">
        <v>2</v>
      </c>
      <c r="G1119" t="s">
        <v>1526</v>
      </c>
      <c r="H1119" t="s">
        <v>1527</v>
      </c>
      <c r="I1119" t="s">
        <v>1513</v>
      </c>
      <c r="J1119" t="s">
        <v>1524</v>
      </c>
      <c r="K1119" t="s">
        <v>1518</v>
      </c>
      <c r="L1119" s="2">
        <v>1</v>
      </c>
      <c r="M1119" s="10">
        <v>343</v>
      </c>
      <c r="N1119" s="7">
        <v>343</v>
      </c>
    </row>
    <row r="1120" spans="1:14" x14ac:dyDescent="0.3">
      <c r="A1120">
        <v>1118</v>
      </c>
      <c r="B1120" s="1">
        <v>45776</v>
      </c>
      <c r="C1120">
        <v>2025</v>
      </c>
      <c r="D1120">
        <v>4</v>
      </c>
      <c r="E1120" t="str">
        <f t="shared" si="17"/>
        <v>April</v>
      </c>
      <c r="F1120">
        <v>2</v>
      </c>
      <c r="G1120" t="s">
        <v>1529</v>
      </c>
      <c r="H1120" t="s">
        <v>1530</v>
      </c>
      <c r="I1120" t="s">
        <v>1513</v>
      </c>
      <c r="J1120" t="s">
        <v>1524</v>
      </c>
      <c r="K1120" t="s">
        <v>1525</v>
      </c>
      <c r="L1120" s="2">
        <v>3</v>
      </c>
      <c r="M1120" s="10">
        <v>1021</v>
      </c>
      <c r="N1120" s="7">
        <v>3063</v>
      </c>
    </row>
    <row r="1121" spans="1:14" x14ac:dyDescent="0.3">
      <c r="A1121">
        <v>1119</v>
      </c>
      <c r="B1121" s="1">
        <v>45777</v>
      </c>
      <c r="C1121">
        <v>2025</v>
      </c>
      <c r="D1121">
        <v>4</v>
      </c>
      <c r="E1121" t="str">
        <f t="shared" si="17"/>
        <v>April</v>
      </c>
      <c r="F1121">
        <v>2</v>
      </c>
      <c r="G1121" t="s">
        <v>1532</v>
      </c>
      <c r="H1121" t="s">
        <v>1512</v>
      </c>
      <c r="I1121" t="s">
        <v>1535</v>
      </c>
      <c r="J1121" t="s">
        <v>1566</v>
      </c>
      <c r="K1121" t="s">
        <v>1514</v>
      </c>
      <c r="L1121" s="2">
        <v>1</v>
      </c>
      <c r="M1121" s="10">
        <v>8543</v>
      </c>
      <c r="N1121" s="7">
        <v>8543</v>
      </c>
    </row>
    <row r="1122" spans="1:14" x14ac:dyDescent="0.3">
      <c r="A1122">
        <v>1120</v>
      </c>
      <c r="B1122" s="1">
        <v>45778</v>
      </c>
      <c r="C1122">
        <v>2025</v>
      </c>
      <c r="D1122">
        <v>5</v>
      </c>
      <c r="E1122" t="str">
        <f t="shared" si="17"/>
        <v>Mei</v>
      </c>
      <c r="F1122">
        <v>2</v>
      </c>
      <c r="G1122" t="s">
        <v>1533</v>
      </c>
      <c r="H1122" t="s">
        <v>1520</v>
      </c>
      <c r="I1122" t="s">
        <v>1516</v>
      </c>
      <c r="J1122" t="s">
        <v>1524</v>
      </c>
      <c r="K1122" t="s">
        <v>1514</v>
      </c>
      <c r="L1122" s="2">
        <v>2</v>
      </c>
      <c r="M1122" s="10">
        <v>235</v>
      </c>
      <c r="N1122" s="7">
        <v>470</v>
      </c>
    </row>
    <row r="1123" spans="1:14" x14ac:dyDescent="0.3">
      <c r="A1123">
        <v>1121</v>
      </c>
      <c r="B1123" s="1">
        <v>45779</v>
      </c>
      <c r="C1123">
        <v>2025</v>
      </c>
      <c r="D1123">
        <v>5</v>
      </c>
      <c r="E1123" t="str">
        <f t="shared" si="17"/>
        <v>Mei</v>
      </c>
      <c r="F1123">
        <v>2</v>
      </c>
      <c r="G1123" t="s">
        <v>1511</v>
      </c>
      <c r="H1123" t="s">
        <v>1512</v>
      </c>
      <c r="I1123" t="s">
        <v>1516</v>
      </c>
      <c r="J1123" t="s">
        <v>1566</v>
      </c>
      <c r="K1123" t="s">
        <v>1525</v>
      </c>
      <c r="L1123" s="2">
        <v>1</v>
      </c>
      <c r="M1123" s="10">
        <v>51840</v>
      </c>
      <c r="N1123" s="7">
        <v>51840</v>
      </c>
    </row>
    <row r="1124" spans="1:14" x14ac:dyDescent="0.3">
      <c r="A1124">
        <v>1122</v>
      </c>
      <c r="B1124" s="1">
        <v>45780</v>
      </c>
      <c r="C1124">
        <v>2025</v>
      </c>
      <c r="D1124">
        <v>5</v>
      </c>
      <c r="E1124" t="str">
        <f t="shared" si="17"/>
        <v>Mei</v>
      </c>
      <c r="F1124">
        <v>2</v>
      </c>
      <c r="G1124" t="s">
        <v>1515</v>
      </c>
      <c r="H1124" t="s">
        <v>1512</v>
      </c>
      <c r="I1124" t="s">
        <v>1513</v>
      </c>
      <c r="J1124" t="s">
        <v>1566</v>
      </c>
      <c r="K1124" t="s">
        <v>1525</v>
      </c>
      <c r="L1124" s="2">
        <v>2</v>
      </c>
      <c r="M1124" s="10">
        <v>4435</v>
      </c>
      <c r="N1124" s="7">
        <v>8870</v>
      </c>
    </row>
    <row r="1125" spans="1:14" x14ac:dyDescent="0.3">
      <c r="A1125">
        <v>1123</v>
      </c>
      <c r="B1125" s="1">
        <v>45781</v>
      </c>
      <c r="C1125">
        <v>2025</v>
      </c>
      <c r="D1125">
        <v>5</v>
      </c>
      <c r="E1125" t="str">
        <f t="shared" si="17"/>
        <v>Mei</v>
      </c>
      <c r="F1125">
        <v>2</v>
      </c>
      <c r="G1125" t="s">
        <v>1534</v>
      </c>
      <c r="H1125" t="s">
        <v>1530</v>
      </c>
      <c r="I1125" t="s">
        <v>1513</v>
      </c>
      <c r="J1125" t="s">
        <v>1566</v>
      </c>
      <c r="K1125" t="s">
        <v>1514</v>
      </c>
      <c r="L1125" s="2">
        <v>3</v>
      </c>
      <c r="M1125" s="10">
        <v>2138</v>
      </c>
      <c r="N1125" s="7">
        <v>6414</v>
      </c>
    </row>
    <row r="1126" spans="1:14" x14ac:dyDescent="0.3">
      <c r="A1126">
        <v>1124</v>
      </c>
      <c r="B1126" s="1">
        <v>45782</v>
      </c>
      <c r="C1126">
        <v>2025</v>
      </c>
      <c r="D1126">
        <v>5</v>
      </c>
      <c r="E1126" t="str">
        <f t="shared" si="17"/>
        <v>Mei</v>
      </c>
      <c r="F1126">
        <v>2</v>
      </c>
      <c r="G1126" t="s">
        <v>1519</v>
      </c>
      <c r="H1126" t="s">
        <v>1520</v>
      </c>
      <c r="I1126" t="s">
        <v>1528</v>
      </c>
      <c r="J1126" t="s">
        <v>1566</v>
      </c>
      <c r="K1126" t="s">
        <v>1514</v>
      </c>
      <c r="L1126" s="2">
        <v>5</v>
      </c>
      <c r="M1126" s="10">
        <v>5434</v>
      </c>
      <c r="N1126" s="7">
        <v>27170</v>
      </c>
    </row>
    <row r="1127" spans="1:14" x14ac:dyDescent="0.3">
      <c r="A1127">
        <v>1125</v>
      </c>
      <c r="B1127" s="1">
        <v>45783</v>
      </c>
      <c r="C1127">
        <v>2025</v>
      </c>
      <c r="D1127">
        <v>5</v>
      </c>
      <c r="E1127" t="str">
        <f t="shared" si="17"/>
        <v>Mei</v>
      </c>
      <c r="F1127">
        <v>2</v>
      </c>
      <c r="G1127" t="s">
        <v>1522</v>
      </c>
      <c r="H1127" t="s">
        <v>1520</v>
      </c>
      <c r="I1127" t="s">
        <v>1513</v>
      </c>
      <c r="J1127" t="s">
        <v>1566</v>
      </c>
      <c r="K1127" t="s">
        <v>1518</v>
      </c>
      <c r="L1127" s="2">
        <v>1</v>
      </c>
      <c r="M1127" s="10">
        <v>961</v>
      </c>
      <c r="N1127" s="7">
        <v>961</v>
      </c>
    </row>
    <row r="1128" spans="1:14" x14ac:dyDescent="0.3">
      <c r="A1128">
        <v>1126</v>
      </c>
      <c r="B1128" s="1">
        <v>45784</v>
      </c>
      <c r="C1128">
        <v>2025</v>
      </c>
      <c r="D1128">
        <v>5</v>
      </c>
      <c r="E1128" t="str">
        <f t="shared" si="17"/>
        <v>Mei</v>
      </c>
      <c r="F1128">
        <v>2</v>
      </c>
      <c r="G1128" t="s">
        <v>1523</v>
      </c>
      <c r="H1128" t="s">
        <v>1512</v>
      </c>
      <c r="I1128" t="s">
        <v>1521</v>
      </c>
      <c r="J1128" t="s">
        <v>1517</v>
      </c>
      <c r="K1128" t="s">
        <v>1514</v>
      </c>
      <c r="L1128" s="2">
        <v>2</v>
      </c>
      <c r="M1128" s="10">
        <v>28891</v>
      </c>
      <c r="N1128" s="7">
        <v>57782</v>
      </c>
    </row>
    <row r="1129" spans="1:14" x14ac:dyDescent="0.3">
      <c r="A1129">
        <v>1127</v>
      </c>
      <c r="B1129" s="1">
        <v>45785</v>
      </c>
      <c r="C1129">
        <v>2025</v>
      </c>
      <c r="D1129">
        <v>5</v>
      </c>
      <c r="E1129" t="str">
        <f t="shared" si="17"/>
        <v>Mei</v>
      </c>
      <c r="F1129">
        <v>2</v>
      </c>
      <c r="G1129" t="s">
        <v>1526</v>
      </c>
      <c r="H1129" t="s">
        <v>1527</v>
      </c>
      <c r="I1129" t="s">
        <v>1535</v>
      </c>
      <c r="J1129" t="s">
        <v>1566</v>
      </c>
      <c r="K1129" t="s">
        <v>1525</v>
      </c>
      <c r="L1129" s="2">
        <v>3</v>
      </c>
      <c r="M1129" s="10">
        <v>433</v>
      </c>
      <c r="N1129" s="7">
        <v>1299</v>
      </c>
    </row>
    <row r="1130" spans="1:14" x14ac:dyDescent="0.3">
      <c r="A1130">
        <v>1128</v>
      </c>
      <c r="B1130" s="1">
        <v>45786</v>
      </c>
      <c r="C1130">
        <v>2025</v>
      </c>
      <c r="D1130">
        <v>5</v>
      </c>
      <c r="E1130" t="str">
        <f t="shared" si="17"/>
        <v>Mei</v>
      </c>
      <c r="F1130">
        <v>2</v>
      </c>
      <c r="G1130" t="s">
        <v>1529</v>
      </c>
      <c r="H1130" t="s">
        <v>1530</v>
      </c>
      <c r="I1130" t="s">
        <v>1535</v>
      </c>
      <c r="J1130" t="s">
        <v>1566</v>
      </c>
      <c r="K1130" t="s">
        <v>1525</v>
      </c>
      <c r="L1130" s="2">
        <v>2</v>
      </c>
      <c r="M1130" s="10">
        <v>912</v>
      </c>
      <c r="N1130" s="7">
        <v>1824</v>
      </c>
    </row>
    <row r="1131" spans="1:14" x14ac:dyDescent="0.3">
      <c r="A1131">
        <v>1129</v>
      </c>
      <c r="B1131" s="1">
        <v>45787</v>
      </c>
      <c r="C1131">
        <v>2025</v>
      </c>
      <c r="D1131">
        <v>5</v>
      </c>
      <c r="E1131" t="str">
        <f t="shared" si="17"/>
        <v>Mei</v>
      </c>
      <c r="F1131">
        <v>2</v>
      </c>
      <c r="G1131" t="s">
        <v>1532</v>
      </c>
      <c r="H1131" t="s">
        <v>1512</v>
      </c>
      <c r="I1131" t="s">
        <v>1513</v>
      </c>
      <c r="J1131" t="s">
        <v>1517</v>
      </c>
      <c r="K1131" t="s">
        <v>1514</v>
      </c>
      <c r="L1131" s="2">
        <v>2</v>
      </c>
      <c r="M1131" s="10">
        <v>12792</v>
      </c>
      <c r="N1131" s="7">
        <v>25584</v>
      </c>
    </row>
    <row r="1132" spans="1:14" x14ac:dyDescent="0.3">
      <c r="A1132">
        <v>1130</v>
      </c>
      <c r="B1132" s="1">
        <v>45788</v>
      </c>
      <c r="C1132">
        <v>2025</v>
      </c>
      <c r="D1132">
        <v>5</v>
      </c>
      <c r="E1132" t="str">
        <f t="shared" si="17"/>
        <v>Mei</v>
      </c>
      <c r="F1132">
        <v>2</v>
      </c>
      <c r="G1132" t="s">
        <v>1533</v>
      </c>
      <c r="H1132" t="s">
        <v>1520</v>
      </c>
      <c r="I1132" t="s">
        <v>1531</v>
      </c>
      <c r="J1132" t="s">
        <v>1517</v>
      </c>
      <c r="K1132" t="s">
        <v>1525</v>
      </c>
      <c r="L1132" s="2">
        <v>3</v>
      </c>
      <c r="M1132" s="10">
        <v>150</v>
      </c>
      <c r="N1132" s="7">
        <v>450</v>
      </c>
    </row>
    <row r="1133" spans="1:14" x14ac:dyDescent="0.3">
      <c r="A1133">
        <v>1131</v>
      </c>
      <c r="B1133" s="1">
        <v>45789</v>
      </c>
      <c r="C1133">
        <v>2025</v>
      </c>
      <c r="D1133">
        <v>5</v>
      </c>
      <c r="E1133" t="str">
        <f t="shared" si="17"/>
        <v>Mei</v>
      </c>
      <c r="F1133">
        <v>2</v>
      </c>
      <c r="G1133" t="s">
        <v>1511</v>
      </c>
      <c r="H1133" t="s">
        <v>1512</v>
      </c>
      <c r="I1133" t="s">
        <v>1528</v>
      </c>
      <c r="J1133" t="s">
        <v>1517</v>
      </c>
      <c r="K1133" t="s">
        <v>1514</v>
      </c>
      <c r="L1133" s="2">
        <v>1</v>
      </c>
      <c r="M1133" s="10">
        <v>61259</v>
      </c>
      <c r="N1133" s="7">
        <v>61259</v>
      </c>
    </row>
    <row r="1134" spans="1:14" x14ac:dyDescent="0.3">
      <c r="A1134">
        <v>1132</v>
      </c>
      <c r="B1134" s="1">
        <v>45790</v>
      </c>
      <c r="C1134">
        <v>2025</v>
      </c>
      <c r="D1134">
        <v>5</v>
      </c>
      <c r="E1134" t="str">
        <f t="shared" si="17"/>
        <v>Mei</v>
      </c>
      <c r="F1134">
        <v>2</v>
      </c>
      <c r="G1134" t="s">
        <v>1515</v>
      </c>
      <c r="H1134" t="s">
        <v>1512</v>
      </c>
      <c r="I1134" t="s">
        <v>1513</v>
      </c>
      <c r="J1134" t="s">
        <v>1566</v>
      </c>
      <c r="K1134" t="s">
        <v>1514</v>
      </c>
      <c r="L1134" s="2">
        <v>1</v>
      </c>
      <c r="M1134" s="10">
        <v>2998</v>
      </c>
      <c r="N1134" s="7">
        <v>2998</v>
      </c>
    </row>
    <row r="1135" spans="1:14" x14ac:dyDescent="0.3">
      <c r="A1135">
        <v>1133</v>
      </c>
      <c r="B1135" s="1">
        <v>45791</v>
      </c>
      <c r="C1135">
        <v>2025</v>
      </c>
      <c r="D1135">
        <v>5</v>
      </c>
      <c r="E1135" t="str">
        <f t="shared" si="17"/>
        <v>Mei</v>
      </c>
      <c r="F1135">
        <v>2</v>
      </c>
      <c r="G1135" t="s">
        <v>1534</v>
      </c>
      <c r="H1135" t="s">
        <v>1530</v>
      </c>
      <c r="I1135" t="s">
        <v>1528</v>
      </c>
      <c r="J1135" t="s">
        <v>1517</v>
      </c>
      <c r="K1135" t="s">
        <v>1518</v>
      </c>
      <c r="L1135" s="2">
        <v>3</v>
      </c>
      <c r="M1135" s="10">
        <v>1682</v>
      </c>
      <c r="N1135" s="7">
        <v>5046</v>
      </c>
    </row>
    <row r="1136" spans="1:14" x14ac:dyDescent="0.3">
      <c r="A1136">
        <v>1134</v>
      </c>
      <c r="B1136" s="1">
        <v>45792</v>
      </c>
      <c r="C1136">
        <v>2025</v>
      </c>
      <c r="D1136">
        <v>5</v>
      </c>
      <c r="E1136" t="str">
        <f t="shared" si="17"/>
        <v>Mei</v>
      </c>
      <c r="F1136">
        <v>2</v>
      </c>
      <c r="G1136" t="s">
        <v>1519</v>
      </c>
      <c r="H1136" t="s">
        <v>1520</v>
      </c>
      <c r="I1136" t="s">
        <v>1513</v>
      </c>
      <c r="J1136" t="s">
        <v>1566</v>
      </c>
      <c r="K1136" t="s">
        <v>1518</v>
      </c>
      <c r="L1136" s="2">
        <v>1</v>
      </c>
      <c r="M1136" s="10">
        <v>12576</v>
      </c>
      <c r="N1136" s="7">
        <v>12576</v>
      </c>
    </row>
    <row r="1137" spans="1:14" x14ac:dyDescent="0.3">
      <c r="A1137">
        <v>1135</v>
      </c>
      <c r="B1137" s="1">
        <v>45793</v>
      </c>
      <c r="C1137">
        <v>2025</v>
      </c>
      <c r="D1137">
        <v>5</v>
      </c>
      <c r="E1137" t="str">
        <f t="shared" si="17"/>
        <v>Mei</v>
      </c>
      <c r="F1137">
        <v>2</v>
      </c>
      <c r="G1137" t="s">
        <v>1522</v>
      </c>
      <c r="H1137" t="s">
        <v>1520</v>
      </c>
      <c r="I1137" t="s">
        <v>1535</v>
      </c>
      <c r="J1137" t="s">
        <v>1524</v>
      </c>
      <c r="K1137" t="s">
        <v>1525</v>
      </c>
      <c r="L1137" s="2">
        <v>1</v>
      </c>
      <c r="M1137" s="10">
        <v>740</v>
      </c>
      <c r="N1137" s="7">
        <v>740</v>
      </c>
    </row>
    <row r="1138" spans="1:14" x14ac:dyDescent="0.3">
      <c r="A1138">
        <v>1136</v>
      </c>
      <c r="B1138" s="1">
        <v>45794</v>
      </c>
      <c r="C1138">
        <v>2025</v>
      </c>
      <c r="D1138">
        <v>5</v>
      </c>
      <c r="E1138" t="str">
        <f t="shared" si="17"/>
        <v>Mei</v>
      </c>
      <c r="F1138">
        <v>2</v>
      </c>
      <c r="G1138" t="s">
        <v>1523</v>
      </c>
      <c r="H1138" t="s">
        <v>1512</v>
      </c>
      <c r="I1138" t="s">
        <v>1528</v>
      </c>
      <c r="J1138" t="s">
        <v>1517</v>
      </c>
      <c r="K1138" t="s">
        <v>1518</v>
      </c>
      <c r="L1138" s="2">
        <v>2</v>
      </c>
      <c r="M1138" s="10">
        <v>38690</v>
      </c>
      <c r="N1138" s="7">
        <v>77380</v>
      </c>
    </row>
    <row r="1139" spans="1:14" x14ac:dyDescent="0.3">
      <c r="A1139">
        <v>1137</v>
      </c>
      <c r="B1139" s="1">
        <v>45795</v>
      </c>
      <c r="C1139">
        <v>2025</v>
      </c>
      <c r="D1139">
        <v>5</v>
      </c>
      <c r="E1139" t="str">
        <f t="shared" si="17"/>
        <v>Mei</v>
      </c>
      <c r="F1139">
        <v>2</v>
      </c>
      <c r="G1139" t="s">
        <v>1526</v>
      </c>
      <c r="H1139" t="s">
        <v>1527</v>
      </c>
      <c r="I1139" t="s">
        <v>1535</v>
      </c>
      <c r="J1139" t="s">
        <v>1524</v>
      </c>
      <c r="K1139" t="s">
        <v>1514</v>
      </c>
      <c r="L1139" s="2">
        <v>1</v>
      </c>
      <c r="M1139" s="10">
        <v>309</v>
      </c>
      <c r="N1139" s="7">
        <v>309</v>
      </c>
    </row>
    <row r="1140" spans="1:14" x14ac:dyDescent="0.3">
      <c r="A1140">
        <v>1138</v>
      </c>
      <c r="B1140" s="1">
        <v>45796</v>
      </c>
      <c r="C1140">
        <v>2025</v>
      </c>
      <c r="D1140">
        <v>5</v>
      </c>
      <c r="E1140" t="str">
        <f t="shared" si="17"/>
        <v>Mei</v>
      </c>
      <c r="F1140">
        <v>2</v>
      </c>
      <c r="G1140" t="s">
        <v>1529</v>
      </c>
      <c r="H1140" t="s">
        <v>1530</v>
      </c>
      <c r="I1140" t="s">
        <v>1528</v>
      </c>
      <c r="J1140" t="s">
        <v>1524</v>
      </c>
      <c r="K1140" t="s">
        <v>1518</v>
      </c>
      <c r="L1140" s="2">
        <v>3</v>
      </c>
      <c r="M1140" s="10">
        <v>1670</v>
      </c>
      <c r="N1140" s="7">
        <v>5010</v>
      </c>
    </row>
    <row r="1141" spans="1:14" x14ac:dyDescent="0.3">
      <c r="A1141">
        <v>1139</v>
      </c>
      <c r="B1141" s="1">
        <v>45797</v>
      </c>
      <c r="C1141">
        <v>2025</v>
      </c>
      <c r="D1141">
        <v>5</v>
      </c>
      <c r="E1141" t="str">
        <f t="shared" si="17"/>
        <v>Mei</v>
      </c>
      <c r="F1141">
        <v>2</v>
      </c>
      <c r="G1141" t="s">
        <v>1532</v>
      </c>
      <c r="H1141" t="s">
        <v>1512</v>
      </c>
      <c r="I1141" t="s">
        <v>1521</v>
      </c>
      <c r="J1141" t="s">
        <v>1566</v>
      </c>
      <c r="K1141" t="s">
        <v>1514</v>
      </c>
      <c r="L1141" s="2">
        <v>1</v>
      </c>
      <c r="M1141" s="10">
        <v>13908</v>
      </c>
      <c r="N1141" s="7">
        <v>13908</v>
      </c>
    </row>
    <row r="1142" spans="1:14" x14ac:dyDescent="0.3">
      <c r="A1142">
        <v>1140</v>
      </c>
      <c r="B1142" s="1">
        <v>45798</v>
      </c>
      <c r="C1142">
        <v>2025</v>
      </c>
      <c r="D1142">
        <v>5</v>
      </c>
      <c r="E1142" t="str">
        <f t="shared" si="17"/>
        <v>Mei</v>
      </c>
      <c r="F1142">
        <v>2</v>
      </c>
      <c r="G1142" t="s">
        <v>1533</v>
      </c>
      <c r="H1142" t="s">
        <v>1520</v>
      </c>
      <c r="I1142" t="s">
        <v>1521</v>
      </c>
      <c r="J1142" t="s">
        <v>1517</v>
      </c>
      <c r="K1142" t="s">
        <v>1525</v>
      </c>
      <c r="L1142" s="2">
        <v>1</v>
      </c>
      <c r="M1142" s="10">
        <v>619</v>
      </c>
      <c r="N1142" s="7">
        <v>619</v>
      </c>
    </row>
    <row r="1143" spans="1:14" x14ac:dyDescent="0.3">
      <c r="A1143">
        <v>1141</v>
      </c>
      <c r="B1143" s="1">
        <v>45799</v>
      </c>
      <c r="C1143">
        <v>2025</v>
      </c>
      <c r="D1143">
        <v>5</v>
      </c>
      <c r="E1143" t="str">
        <f t="shared" si="17"/>
        <v>Mei</v>
      </c>
      <c r="F1143">
        <v>2</v>
      </c>
      <c r="G1143" t="s">
        <v>1511</v>
      </c>
      <c r="H1143" t="s">
        <v>1512</v>
      </c>
      <c r="I1143" t="s">
        <v>1516</v>
      </c>
      <c r="J1143" t="s">
        <v>1566</v>
      </c>
      <c r="K1143" t="s">
        <v>1525</v>
      </c>
      <c r="L1143" s="2">
        <v>1</v>
      </c>
      <c r="M1143" s="10">
        <v>58661</v>
      </c>
      <c r="N1143" s="7">
        <v>58661</v>
      </c>
    </row>
    <row r="1144" spans="1:14" x14ac:dyDescent="0.3">
      <c r="A1144">
        <v>1142</v>
      </c>
      <c r="B1144" s="1">
        <v>45800</v>
      </c>
      <c r="C1144">
        <v>2025</v>
      </c>
      <c r="D1144">
        <v>5</v>
      </c>
      <c r="E1144" t="str">
        <f t="shared" si="17"/>
        <v>Mei</v>
      </c>
      <c r="F1144">
        <v>2</v>
      </c>
      <c r="G1144" t="s">
        <v>1515</v>
      </c>
      <c r="H1144" t="s">
        <v>1512</v>
      </c>
      <c r="I1144" t="s">
        <v>1521</v>
      </c>
      <c r="J1144" t="s">
        <v>1517</v>
      </c>
      <c r="K1144" t="s">
        <v>1525</v>
      </c>
      <c r="L1144" s="2">
        <v>3</v>
      </c>
      <c r="M1144" s="10">
        <v>3441</v>
      </c>
      <c r="N1144" s="7">
        <v>10323</v>
      </c>
    </row>
    <row r="1145" spans="1:14" x14ac:dyDescent="0.3">
      <c r="A1145">
        <v>1143</v>
      </c>
      <c r="B1145" s="1">
        <v>45801</v>
      </c>
      <c r="C1145">
        <v>2025</v>
      </c>
      <c r="D1145">
        <v>5</v>
      </c>
      <c r="E1145" t="str">
        <f t="shared" si="17"/>
        <v>Mei</v>
      </c>
      <c r="F1145">
        <v>2</v>
      </c>
      <c r="G1145" t="s">
        <v>1534</v>
      </c>
      <c r="H1145" t="s">
        <v>1530</v>
      </c>
      <c r="I1145" t="s">
        <v>1516</v>
      </c>
      <c r="J1145" t="s">
        <v>1517</v>
      </c>
      <c r="K1145" t="s">
        <v>1514</v>
      </c>
      <c r="L1145" s="2">
        <v>2</v>
      </c>
      <c r="M1145" s="10">
        <v>4503</v>
      </c>
      <c r="N1145" s="7">
        <v>9006</v>
      </c>
    </row>
    <row r="1146" spans="1:14" x14ac:dyDescent="0.3">
      <c r="A1146">
        <v>1144</v>
      </c>
      <c r="B1146" s="1">
        <v>45802</v>
      </c>
      <c r="C1146">
        <v>2025</v>
      </c>
      <c r="D1146">
        <v>5</v>
      </c>
      <c r="E1146" t="str">
        <f t="shared" si="17"/>
        <v>Mei</v>
      </c>
      <c r="F1146">
        <v>2</v>
      </c>
      <c r="G1146" t="s">
        <v>1519</v>
      </c>
      <c r="H1146" t="s">
        <v>1520</v>
      </c>
      <c r="I1146" t="s">
        <v>1513</v>
      </c>
      <c r="J1146" t="s">
        <v>1524</v>
      </c>
      <c r="K1146" t="s">
        <v>1518</v>
      </c>
      <c r="L1146" s="2">
        <v>5</v>
      </c>
      <c r="M1146" s="10">
        <v>10835</v>
      </c>
      <c r="N1146" s="7">
        <v>54175</v>
      </c>
    </row>
    <row r="1147" spans="1:14" x14ac:dyDescent="0.3">
      <c r="A1147">
        <v>1145</v>
      </c>
      <c r="B1147" s="1">
        <v>45803</v>
      </c>
      <c r="C1147">
        <v>2025</v>
      </c>
      <c r="D1147">
        <v>5</v>
      </c>
      <c r="E1147" t="str">
        <f t="shared" si="17"/>
        <v>Mei</v>
      </c>
      <c r="F1147">
        <v>2</v>
      </c>
      <c r="G1147" t="s">
        <v>1522</v>
      </c>
      <c r="H1147" t="s">
        <v>1520</v>
      </c>
      <c r="I1147" t="s">
        <v>1521</v>
      </c>
      <c r="J1147" t="s">
        <v>1524</v>
      </c>
      <c r="K1147" t="s">
        <v>1518</v>
      </c>
      <c r="L1147" s="2">
        <v>2</v>
      </c>
      <c r="M1147" s="10">
        <v>334</v>
      </c>
      <c r="N1147" s="7">
        <v>668</v>
      </c>
    </row>
    <row r="1148" spans="1:14" x14ac:dyDescent="0.3">
      <c r="A1148">
        <v>1146</v>
      </c>
      <c r="B1148" s="1">
        <v>45804</v>
      </c>
      <c r="C1148">
        <v>2025</v>
      </c>
      <c r="D1148">
        <v>5</v>
      </c>
      <c r="E1148" t="str">
        <f t="shared" si="17"/>
        <v>Mei</v>
      </c>
      <c r="F1148">
        <v>2</v>
      </c>
      <c r="G1148" t="s">
        <v>1523</v>
      </c>
      <c r="H1148" t="s">
        <v>1512</v>
      </c>
      <c r="I1148" t="s">
        <v>1516</v>
      </c>
      <c r="J1148" t="s">
        <v>1566</v>
      </c>
      <c r="K1148" t="s">
        <v>1525</v>
      </c>
      <c r="L1148" s="2">
        <v>2</v>
      </c>
      <c r="M1148" s="10">
        <v>14992</v>
      </c>
      <c r="N1148" s="7">
        <v>29984</v>
      </c>
    </row>
    <row r="1149" spans="1:14" x14ac:dyDescent="0.3">
      <c r="A1149">
        <v>1147</v>
      </c>
      <c r="B1149" s="1">
        <v>45805</v>
      </c>
      <c r="C1149">
        <v>2025</v>
      </c>
      <c r="D1149">
        <v>5</v>
      </c>
      <c r="E1149" t="str">
        <f t="shared" si="17"/>
        <v>Mei</v>
      </c>
      <c r="F1149">
        <v>2</v>
      </c>
      <c r="G1149" t="s">
        <v>1526</v>
      </c>
      <c r="H1149" t="s">
        <v>1527</v>
      </c>
      <c r="I1149" t="s">
        <v>1516</v>
      </c>
      <c r="J1149" t="s">
        <v>1517</v>
      </c>
      <c r="K1149" t="s">
        <v>1514</v>
      </c>
      <c r="L1149" s="2">
        <v>3</v>
      </c>
      <c r="M1149" s="10">
        <v>385</v>
      </c>
      <c r="N1149" s="7">
        <v>1155</v>
      </c>
    </row>
    <row r="1150" spans="1:14" x14ac:dyDescent="0.3">
      <c r="A1150">
        <v>1148</v>
      </c>
      <c r="B1150" s="1">
        <v>45806</v>
      </c>
      <c r="C1150">
        <v>2025</v>
      </c>
      <c r="D1150">
        <v>5</v>
      </c>
      <c r="E1150" t="str">
        <f t="shared" si="17"/>
        <v>Mei</v>
      </c>
      <c r="F1150">
        <v>2</v>
      </c>
      <c r="G1150" t="s">
        <v>1529</v>
      </c>
      <c r="H1150" t="s">
        <v>1530</v>
      </c>
      <c r="I1150" t="s">
        <v>1535</v>
      </c>
      <c r="J1150" t="s">
        <v>1524</v>
      </c>
      <c r="K1150" t="s">
        <v>1518</v>
      </c>
      <c r="L1150" s="2">
        <v>1</v>
      </c>
      <c r="M1150" s="10">
        <v>1196</v>
      </c>
      <c r="N1150" s="7">
        <v>1196</v>
      </c>
    </row>
    <row r="1151" spans="1:14" x14ac:dyDescent="0.3">
      <c r="A1151">
        <v>1149</v>
      </c>
      <c r="B1151" s="1">
        <v>45807</v>
      </c>
      <c r="C1151">
        <v>2025</v>
      </c>
      <c r="D1151">
        <v>5</v>
      </c>
      <c r="E1151" t="str">
        <f t="shared" si="17"/>
        <v>Mei</v>
      </c>
      <c r="F1151">
        <v>2</v>
      </c>
      <c r="G1151" t="s">
        <v>1532</v>
      </c>
      <c r="H1151" t="s">
        <v>1512</v>
      </c>
      <c r="I1151" t="s">
        <v>1531</v>
      </c>
      <c r="J1151" t="s">
        <v>1524</v>
      </c>
      <c r="K1151" t="s">
        <v>1514</v>
      </c>
      <c r="L1151" s="2">
        <v>2</v>
      </c>
      <c r="M1151" s="10">
        <v>4766</v>
      </c>
      <c r="N1151" s="7">
        <v>9532</v>
      </c>
    </row>
    <row r="1152" spans="1:14" x14ac:dyDescent="0.3">
      <c r="A1152">
        <v>1150</v>
      </c>
      <c r="B1152" s="1">
        <v>45808</v>
      </c>
      <c r="C1152">
        <v>2025</v>
      </c>
      <c r="D1152">
        <v>5</v>
      </c>
      <c r="E1152" t="str">
        <f t="shared" si="17"/>
        <v>Mei</v>
      </c>
      <c r="F1152">
        <v>2</v>
      </c>
      <c r="G1152" t="s">
        <v>1533</v>
      </c>
      <c r="H1152" t="s">
        <v>1520</v>
      </c>
      <c r="I1152" t="s">
        <v>1513</v>
      </c>
      <c r="J1152" t="s">
        <v>1566</v>
      </c>
      <c r="K1152" t="s">
        <v>1525</v>
      </c>
      <c r="L1152" s="2">
        <v>4</v>
      </c>
      <c r="M1152" s="10">
        <v>317</v>
      </c>
      <c r="N1152" s="7">
        <v>1268</v>
      </c>
    </row>
    <row r="1153" spans="1:14" x14ac:dyDescent="0.3">
      <c r="A1153">
        <v>1151</v>
      </c>
      <c r="B1153" s="1">
        <v>45809</v>
      </c>
      <c r="C1153">
        <v>2025</v>
      </c>
      <c r="D1153">
        <v>6</v>
      </c>
      <c r="E1153" t="str">
        <f t="shared" si="17"/>
        <v>Juni</v>
      </c>
      <c r="F1153">
        <v>2</v>
      </c>
      <c r="G1153" t="s">
        <v>1511</v>
      </c>
      <c r="H1153" t="s">
        <v>1512</v>
      </c>
      <c r="I1153" t="s">
        <v>1516</v>
      </c>
      <c r="J1153" t="s">
        <v>1524</v>
      </c>
      <c r="K1153" t="s">
        <v>1518</v>
      </c>
      <c r="L1153" s="2">
        <v>2</v>
      </c>
      <c r="M1153" s="10">
        <v>59735</v>
      </c>
      <c r="N1153" s="7">
        <v>119470</v>
      </c>
    </row>
    <row r="1154" spans="1:14" x14ac:dyDescent="0.3">
      <c r="A1154">
        <v>1152</v>
      </c>
      <c r="B1154" s="1">
        <v>45810</v>
      </c>
      <c r="C1154">
        <v>2025</v>
      </c>
      <c r="D1154">
        <v>6</v>
      </c>
      <c r="E1154" t="str">
        <f t="shared" si="17"/>
        <v>Juni</v>
      </c>
      <c r="F1154">
        <v>2</v>
      </c>
      <c r="G1154" t="s">
        <v>1515</v>
      </c>
      <c r="H1154" t="s">
        <v>1512</v>
      </c>
      <c r="I1154" t="s">
        <v>1521</v>
      </c>
      <c r="J1154" t="s">
        <v>1517</v>
      </c>
      <c r="K1154" t="s">
        <v>1518</v>
      </c>
      <c r="L1154" s="2">
        <v>2</v>
      </c>
      <c r="M1154" s="10">
        <v>3950</v>
      </c>
      <c r="N1154" s="7">
        <v>7900</v>
      </c>
    </row>
    <row r="1155" spans="1:14" x14ac:dyDescent="0.3">
      <c r="A1155">
        <v>1153</v>
      </c>
      <c r="B1155" s="1">
        <v>45811</v>
      </c>
      <c r="C1155">
        <v>2025</v>
      </c>
      <c r="D1155">
        <v>6</v>
      </c>
      <c r="E1155" t="str">
        <f t="shared" ref="E1155:E1218" si="18">TEXT(DATE(2026, D1155, 1), "[$-id-ID]mmmm")</f>
        <v>Juni</v>
      </c>
      <c r="F1155">
        <v>2</v>
      </c>
      <c r="G1155" t="s">
        <v>1534</v>
      </c>
      <c r="H1155" t="s">
        <v>1530</v>
      </c>
      <c r="I1155" t="s">
        <v>1513</v>
      </c>
      <c r="J1155" t="s">
        <v>1517</v>
      </c>
      <c r="K1155" t="s">
        <v>1518</v>
      </c>
      <c r="L1155" s="2">
        <v>2</v>
      </c>
      <c r="M1155" s="10">
        <v>3263</v>
      </c>
      <c r="N1155" s="7">
        <v>6526</v>
      </c>
    </row>
    <row r="1156" spans="1:14" x14ac:dyDescent="0.3">
      <c r="A1156">
        <v>1154</v>
      </c>
      <c r="B1156" s="1">
        <v>45812</v>
      </c>
      <c r="C1156">
        <v>2025</v>
      </c>
      <c r="D1156">
        <v>6</v>
      </c>
      <c r="E1156" t="str">
        <f t="shared" si="18"/>
        <v>Juni</v>
      </c>
      <c r="F1156">
        <v>2</v>
      </c>
      <c r="G1156" t="s">
        <v>1519</v>
      </c>
      <c r="H1156" t="s">
        <v>1520</v>
      </c>
      <c r="I1156" t="s">
        <v>1516</v>
      </c>
      <c r="J1156" t="s">
        <v>1517</v>
      </c>
      <c r="K1156" t="s">
        <v>1525</v>
      </c>
      <c r="L1156" s="2">
        <v>4</v>
      </c>
      <c r="M1156" s="10">
        <v>8514</v>
      </c>
      <c r="N1156" s="7">
        <v>34056</v>
      </c>
    </row>
    <row r="1157" spans="1:14" x14ac:dyDescent="0.3">
      <c r="A1157">
        <v>1155</v>
      </c>
      <c r="B1157" s="1">
        <v>45813</v>
      </c>
      <c r="C1157">
        <v>2025</v>
      </c>
      <c r="D1157">
        <v>6</v>
      </c>
      <c r="E1157" t="str">
        <f t="shared" si="18"/>
        <v>Juni</v>
      </c>
      <c r="F1157">
        <v>2</v>
      </c>
      <c r="G1157" t="s">
        <v>1522</v>
      </c>
      <c r="H1157" t="s">
        <v>1520</v>
      </c>
      <c r="I1157" t="s">
        <v>1531</v>
      </c>
      <c r="J1157" t="s">
        <v>1566</v>
      </c>
      <c r="K1157" t="s">
        <v>1525</v>
      </c>
      <c r="L1157" s="2">
        <v>2</v>
      </c>
      <c r="M1157" s="10">
        <v>172</v>
      </c>
      <c r="N1157" s="7">
        <v>344</v>
      </c>
    </row>
    <row r="1158" spans="1:14" x14ac:dyDescent="0.3">
      <c r="A1158">
        <v>1156</v>
      </c>
      <c r="B1158" s="1">
        <v>45814</v>
      </c>
      <c r="C1158">
        <v>2025</v>
      </c>
      <c r="D1158">
        <v>6</v>
      </c>
      <c r="E1158" t="str">
        <f t="shared" si="18"/>
        <v>Juni</v>
      </c>
      <c r="F1158">
        <v>2</v>
      </c>
      <c r="G1158" t="s">
        <v>1523</v>
      </c>
      <c r="H1158" t="s">
        <v>1512</v>
      </c>
      <c r="I1158" t="s">
        <v>1531</v>
      </c>
      <c r="J1158" t="s">
        <v>1517</v>
      </c>
      <c r="K1158" t="s">
        <v>1518</v>
      </c>
      <c r="L1158" s="2">
        <v>1</v>
      </c>
      <c r="M1158" s="10">
        <v>21077</v>
      </c>
      <c r="N1158" s="7">
        <v>21077</v>
      </c>
    </row>
    <row r="1159" spans="1:14" x14ac:dyDescent="0.3">
      <c r="A1159">
        <v>1157</v>
      </c>
      <c r="B1159" s="1">
        <v>45815</v>
      </c>
      <c r="C1159">
        <v>2025</v>
      </c>
      <c r="D1159">
        <v>6</v>
      </c>
      <c r="E1159" t="str">
        <f t="shared" si="18"/>
        <v>Juni</v>
      </c>
      <c r="F1159">
        <v>2</v>
      </c>
      <c r="G1159" t="s">
        <v>1526</v>
      </c>
      <c r="H1159" t="s">
        <v>1527</v>
      </c>
      <c r="I1159" t="s">
        <v>1531</v>
      </c>
      <c r="J1159" t="s">
        <v>1524</v>
      </c>
      <c r="K1159" t="s">
        <v>1525</v>
      </c>
      <c r="L1159" s="2">
        <v>5</v>
      </c>
      <c r="M1159" s="10">
        <v>747</v>
      </c>
      <c r="N1159" s="7">
        <v>3735</v>
      </c>
    </row>
    <row r="1160" spans="1:14" x14ac:dyDescent="0.3">
      <c r="A1160">
        <v>1158</v>
      </c>
      <c r="B1160" s="1">
        <v>45816</v>
      </c>
      <c r="C1160">
        <v>2025</v>
      </c>
      <c r="D1160">
        <v>6</v>
      </c>
      <c r="E1160" t="str">
        <f t="shared" si="18"/>
        <v>Juni</v>
      </c>
      <c r="F1160">
        <v>2</v>
      </c>
      <c r="G1160" t="s">
        <v>1529</v>
      </c>
      <c r="H1160" t="s">
        <v>1530</v>
      </c>
      <c r="I1160" t="s">
        <v>1521</v>
      </c>
      <c r="J1160" t="s">
        <v>1566</v>
      </c>
      <c r="K1160" t="s">
        <v>1514</v>
      </c>
      <c r="L1160" s="2">
        <v>2</v>
      </c>
      <c r="M1160" s="10">
        <v>850</v>
      </c>
      <c r="N1160" s="7">
        <v>1700</v>
      </c>
    </row>
    <row r="1161" spans="1:14" x14ac:dyDescent="0.3">
      <c r="A1161">
        <v>1159</v>
      </c>
      <c r="B1161" s="1">
        <v>45817</v>
      </c>
      <c r="C1161">
        <v>2025</v>
      </c>
      <c r="D1161">
        <v>6</v>
      </c>
      <c r="E1161" t="str">
        <f t="shared" si="18"/>
        <v>Juni</v>
      </c>
      <c r="F1161">
        <v>2</v>
      </c>
      <c r="G1161" t="s">
        <v>1532</v>
      </c>
      <c r="H1161" t="s">
        <v>1512</v>
      </c>
      <c r="I1161" t="s">
        <v>1513</v>
      </c>
      <c r="J1161" t="s">
        <v>1566</v>
      </c>
      <c r="K1161" t="s">
        <v>1514</v>
      </c>
      <c r="L1161" s="2">
        <v>2</v>
      </c>
      <c r="M1161" s="10">
        <v>13771</v>
      </c>
      <c r="N1161" s="7">
        <v>27542</v>
      </c>
    </row>
    <row r="1162" spans="1:14" x14ac:dyDescent="0.3">
      <c r="A1162">
        <v>1160</v>
      </c>
      <c r="B1162" s="1">
        <v>45818</v>
      </c>
      <c r="C1162">
        <v>2025</v>
      </c>
      <c r="D1162">
        <v>6</v>
      </c>
      <c r="E1162" t="str">
        <f t="shared" si="18"/>
        <v>Juni</v>
      </c>
      <c r="F1162">
        <v>2</v>
      </c>
      <c r="G1162" t="s">
        <v>1533</v>
      </c>
      <c r="H1162" t="s">
        <v>1520</v>
      </c>
      <c r="I1162" t="s">
        <v>1531</v>
      </c>
      <c r="J1162" t="s">
        <v>1517</v>
      </c>
      <c r="K1162" t="s">
        <v>1518</v>
      </c>
      <c r="L1162" s="2">
        <v>4</v>
      </c>
      <c r="M1162" s="10">
        <v>258</v>
      </c>
      <c r="N1162" s="7">
        <v>1032</v>
      </c>
    </row>
    <row r="1163" spans="1:14" x14ac:dyDescent="0.3">
      <c r="A1163">
        <v>1161</v>
      </c>
      <c r="B1163" s="1">
        <v>45819</v>
      </c>
      <c r="C1163">
        <v>2025</v>
      </c>
      <c r="D1163">
        <v>6</v>
      </c>
      <c r="E1163" t="str">
        <f t="shared" si="18"/>
        <v>Juni</v>
      </c>
      <c r="F1163">
        <v>2</v>
      </c>
      <c r="G1163" t="s">
        <v>1511</v>
      </c>
      <c r="H1163" t="s">
        <v>1512</v>
      </c>
      <c r="I1163" t="s">
        <v>1535</v>
      </c>
      <c r="J1163" t="s">
        <v>1517</v>
      </c>
      <c r="K1163" t="s">
        <v>1525</v>
      </c>
      <c r="L1163" s="2">
        <v>2</v>
      </c>
      <c r="M1163" s="10">
        <v>44856</v>
      </c>
      <c r="N1163" s="7">
        <v>89712</v>
      </c>
    </row>
    <row r="1164" spans="1:14" x14ac:dyDescent="0.3">
      <c r="A1164">
        <v>1162</v>
      </c>
      <c r="B1164" s="1">
        <v>45820</v>
      </c>
      <c r="C1164">
        <v>2025</v>
      </c>
      <c r="D1164">
        <v>6</v>
      </c>
      <c r="E1164" t="str">
        <f t="shared" si="18"/>
        <v>Juni</v>
      </c>
      <c r="F1164">
        <v>2</v>
      </c>
      <c r="G1164" t="s">
        <v>1515</v>
      </c>
      <c r="H1164" t="s">
        <v>1512</v>
      </c>
      <c r="I1164" t="s">
        <v>1513</v>
      </c>
      <c r="J1164" t="s">
        <v>1517</v>
      </c>
      <c r="K1164" t="s">
        <v>1525</v>
      </c>
      <c r="L1164" s="2">
        <v>3</v>
      </c>
      <c r="M1164" s="10">
        <v>3161</v>
      </c>
      <c r="N1164" s="7">
        <v>9483</v>
      </c>
    </row>
    <row r="1165" spans="1:14" x14ac:dyDescent="0.3">
      <c r="A1165">
        <v>1163</v>
      </c>
      <c r="B1165" s="1">
        <v>45821</v>
      </c>
      <c r="C1165">
        <v>2025</v>
      </c>
      <c r="D1165">
        <v>6</v>
      </c>
      <c r="E1165" t="str">
        <f t="shared" si="18"/>
        <v>Juni</v>
      </c>
      <c r="F1165">
        <v>2</v>
      </c>
      <c r="G1165" t="s">
        <v>1534</v>
      </c>
      <c r="H1165" t="s">
        <v>1530</v>
      </c>
      <c r="I1165" t="s">
        <v>1513</v>
      </c>
      <c r="J1165" t="s">
        <v>1524</v>
      </c>
      <c r="K1165" t="s">
        <v>1525</v>
      </c>
      <c r="L1165" s="2">
        <v>1</v>
      </c>
      <c r="M1165" s="10">
        <v>4464</v>
      </c>
      <c r="N1165" s="7">
        <v>4464</v>
      </c>
    </row>
    <row r="1166" spans="1:14" x14ac:dyDescent="0.3">
      <c r="A1166">
        <v>1164</v>
      </c>
      <c r="B1166" s="1">
        <v>45822</v>
      </c>
      <c r="C1166">
        <v>2025</v>
      </c>
      <c r="D1166">
        <v>6</v>
      </c>
      <c r="E1166" t="str">
        <f t="shared" si="18"/>
        <v>Juni</v>
      </c>
      <c r="F1166">
        <v>2</v>
      </c>
      <c r="G1166" t="s">
        <v>1519</v>
      </c>
      <c r="H1166" t="s">
        <v>1520</v>
      </c>
      <c r="I1166" t="s">
        <v>1516</v>
      </c>
      <c r="J1166" t="s">
        <v>1524</v>
      </c>
      <c r="K1166" t="s">
        <v>1525</v>
      </c>
      <c r="L1166" s="2">
        <v>1</v>
      </c>
      <c r="M1166" s="10">
        <v>4758</v>
      </c>
      <c r="N1166" s="7">
        <v>4758</v>
      </c>
    </row>
    <row r="1167" spans="1:14" x14ac:dyDescent="0.3">
      <c r="A1167">
        <v>1165</v>
      </c>
      <c r="B1167" s="1">
        <v>45823</v>
      </c>
      <c r="C1167">
        <v>2025</v>
      </c>
      <c r="D1167">
        <v>6</v>
      </c>
      <c r="E1167" t="str">
        <f t="shared" si="18"/>
        <v>Juni</v>
      </c>
      <c r="F1167">
        <v>2</v>
      </c>
      <c r="G1167" t="s">
        <v>1522</v>
      </c>
      <c r="H1167" t="s">
        <v>1520</v>
      </c>
      <c r="I1167" t="s">
        <v>1513</v>
      </c>
      <c r="J1167" t="s">
        <v>1524</v>
      </c>
      <c r="K1167" t="s">
        <v>1518</v>
      </c>
      <c r="L1167" s="2">
        <v>4</v>
      </c>
      <c r="M1167" s="10">
        <v>490</v>
      </c>
      <c r="N1167" s="7">
        <v>1960</v>
      </c>
    </row>
    <row r="1168" spans="1:14" x14ac:dyDescent="0.3">
      <c r="A1168">
        <v>1166</v>
      </c>
      <c r="B1168" s="1">
        <v>45824</v>
      </c>
      <c r="C1168">
        <v>2025</v>
      </c>
      <c r="D1168">
        <v>6</v>
      </c>
      <c r="E1168" t="str">
        <f t="shared" si="18"/>
        <v>Juni</v>
      </c>
      <c r="F1168">
        <v>2</v>
      </c>
      <c r="G1168" t="s">
        <v>1523</v>
      </c>
      <c r="H1168" t="s">
        <v>1512</v>
      </c>
      <c r="I1168" t="s">
        <v>1531</v>
      </c>
      <c r="J1168" t="s">
        <v>1566</v>
      </c>
      <c r="K1168" t="s">
        <v>1518</v>
      </c>
      <c r="L1168" s="2">
        <v>1</v>
      </c>
      <c r="M1168" s="10">
        <v>38739</v>
      </c>
      <c r="N1168" s="7">
        <v>38739</v>
      </c>
    </row>
    <row r="1169" spans="1:14" x14ac:dyDescent="0.3">
      <c r="A1169">
        <v>1167</v>
      </c>
      <c r="B1169" s="1">
        <v>45825</v>
      </c>
      <c r="C1169">
        <v>2025</v>
      </c>
      <c r="D1169">
        <v>6</v>
      </c>
      <c r="E1169" t="str">
        <f t="shared" si="18"/>
        <v>Juni</v>
      </c>
      <c r="F1169">
        <v>2</v>
      </c>
      <c r="G1169" t="s">
        <v>1526</v>
      </c>
      <c r="H1169" t="s">
        <v>1527</v>
      </c>
      <c r="I1169" t="s">
        <v>1513</v>
      </c>
      <c r="J1169" t="s">
        <v>1517</v>
      </c>
      <c r="K1169" t="s">
        <v>1525</v>
      </c>
      <c r="L1169" s="2">
        <v>3</v>
      </c>
      <c r="M1169" s="10">
        <v>368</v>
      </c>
      <c r="N1169" s="7">
        <v>1104</v>
      </c>
    </row>
    <row r="1170" spans="1:14" x14ac:dyDescent="0.3">
      <c r="A1170">
        <v>1168</v>
      </c>
      <c r="B1170" s="1">
        <v>45826</v>
      </c>
      <c r="C1170">
        <v>2025</v>
      </c>
      <c r="D1170">
        <v>6</v>
      </c>
      <c r="E1170" t="str">
        <f t="shared" si="18"/>
        <v>Juni</v>
      </c>
      <c r="F1170">
        <v>2</v>
      </c>
      <c r="G1170" t="s">
        <v>1529</v>
      </c>
      <c r="H1170" t="s">
        <v>1530</v>
      </c>
      <c r="I1170" t="s">
        <v>1521</v>
      </c>
      <c r="J1170" t="s">
        <v>1517</v>
      </c>
      <c r="K1170" t="s">
        <v>1514</v>
      </c>
      <c r="L1170" s="2">
        <v>1</v>
      </c>
      <c r="M1170" s="10">
        <v>1931</v>
      </c>
      <c r="N1170" s="7">
        <v>1931</v>
      </c>
    </row>
    <row r="1171" spans="1:14" x14ac:dyDescent="0.3">
      <c r="A1171">
        <v>1169</v>
      </c>
      <c r="B1171" s="1">
        <v>45827</v>
      </c>
      <c r="C1171">
        <v>2025</v>
      </c>
      <c r="D1171">
        <v>6</v>
      </c>
      <c r="E1171" t="str">
        <f t="shared" si="18"/>
        <v>Juni</v>
      </c>
      <c r="F1171">
        <v>2</v>
      </c>
      <c r="G1171" t="s">
        <v>1532</v>
      </c>
      <c r="H1171" t="s">
        <v>1512</v>
      </c>
      <c r="I1171" t="s">
        <v>1535</v>
      </c>
      <c r="J1171" t="s">
        <v>1517</v>
      </c>
      <c r="K1171" t="s">
        <v>1518</v>
      </c>
      <c r="L1171" s="2">
        <v>2</v>
      </c>
      <c r="M1171" s="10">
        <v>14370</v>
      </c>
      <c r="N1171" s="7">
        <v>28740</v>
      </c>
    </row>
    <row r="1172" spans="1:14" x14ac:dyDescent="0.3">
      <c r="A1172">
        <v>1170</v>
      </c>
      <c r="B1172" s="1">
        <v>45828</v>
      </c>
      <c r="C1172">
        <v>2025</v>
      </c>
      <c r="D1172">
        <v>6</v>
      </c>
      <c r="E1172" t="str">
        <f t="shared" si="18"/>
        <v>Juni</v>
      </c>
      <c r="F1172">
        <v>2</v>
      </c>
      <c r="G1172" t="s">
        <v>1533</v>
      </c>
      <c r="H1172" t="s">
        <v>1520</v>
      </c>
      <c r="I1172" t="s">
        <v>1513</v>
      </c>
      <c r="J1172" t="s">
        <v>1524</v>
      </c>
      <c r="K1172" t="s">
        <v>1525</v>
      </c>
      <c r="L1172" s="2">
        <v>2</v>
      </c>
      <c r="M1172" s="10">
        <v>780</v>
      </c>
      <c r="N1172" s="7">
        <v>1560</v>
      </c>
    </row>
    <row r="1173" spans="1:14" x14ac:dyDescent="0.3">
      <c r="A1173">
        <v>1171</v>
      </c>
      <c r="B1173" s="1">
        <v>45829</v>
      </c>
      <c r="C1173">
        <v>2025</v>
      </c>
      <c r="D1173">
        <v>6</v>
      </c>
      <c r="E1173" t="str">
        <f t="shared" si="18"/>
        <v>Juni</v>
      </c>
      <c r="F1173">
        <v>2</v>
      </c>
      <c r="G1173" t="s">
        <v>1511</v>
      </c>
      <c r="H1173" t="s">
        <v>1512</v>
      </c>
      <c r="I1173" t="s">
        <v>1531</v>
      </c>
      <c r="J1173" t="s">
        <v>1566</v>
      </c>
      <c r="K1173" t="s">
        <v>1518</v>
      </c>
      <c r="L1173" s="2">
        <v>2</v>
      </c>
      <c r="M1173" s="10">
        <v>54865</v>
      </c>
      <c r="N1173" s="7">
        <v>109730</v>
      </c>
    </row>
    <row r="1174" spans="1:14" x14ac:dyDescent="0.3">
      <c r="A1174">
        <v>1172</v>
      </c>
      <c r="B1174" s="1">
        <v>45830</v>
      </c>
      <c r="C1174">
        <v>2025</v>
      </c>
      <c r="D1174">
        <v>6</v>
      </c>
      <c r="E1174" t="str">
        <f t="shared" si="18"/>
        <v>Juni</v>
      </c>
      <c r="F1174">
        <v>2</v>
      </c>
      <c r="G1174" t="s">
        <v>1515</v>
      </c>
      <c r="H1174" t="s">
        <v>1512</v>
      </c>
      <c r="I1174" t="s">
        <v>1528</v>
      </c>
      <c r="J1174" t="s">
        <v>1566</v>
      </c>
      <c r="K1174" t="s">
        <v>1518</v>
      </c>
      <c r="L1174" s="2">
        <v>2</v>
      </c>
      <c r="M1174" s="10">
        <v>4481</v>
      </c>
      <c r="N1174" s="7">
        <v>8962</v>
      </c>
    </row>
    <row r="1175" spans="1:14" x14ac:dyDescent="0.3">
      <c r="A1175">
        <v>1173</v>
      </c>
      <c r="B1175" s="1">
        <v>45831</v>
      </c>
      <c r="C1175">
        <v>2025</v>
      </c>
      <c r="D1175">
        <v>6</v>
      </c>
      <c r="E1175" t="str">
        <f t="shared" si="18"/>
        <v>Juni</v>
      </c>
      <c r="F1175">
        <v>2</v>
      </c>
      <c r="G1175" t="s">
        <v>1534</v>
      </c>
      <c r="H1175" t="s">
        <v>1530</v>
      </c>
      <c r="I1175" t="s">
        <v>1521</v>
      </c>
      <c r="J1175" t="s">
        <v>1566</v>
      </c>
      <c r="K1175" t="s">
        <v>1514</v>
      </c>
      <c r="L1175" s="2">
        <v>2</v>
      </c>
      <c r="M1175" s="10">
        <v>1972</v>
      </c>
      <c r="N1175" s="7">
        <v>3944</v>
      </c>
    </row>
    <row r="1176" spans="1:14" x14ac:dyDescent="0.3">
      <c r="A1176">
        <v>1174</v>
      </c>
      <c r="B1176" s="1">
        <v>45832</v>
      </c>
      <c r="C1176">
        <v>2025</v>
      </c>
      <c r="D1176">
        <v>6</v>
      </c>
      <c r="E1176" t="str">
        <f t="shared" si="18"/>
        <v>Juni</v>
      </c>
      <c r="F1176">
        <v>2</v>
      </c>
      <c r="G1176" t="s">
        <v>1519</v>
      </c>
      <c r="H1176" t="s">
        <v>1520</v>
      </c>
      <c r="I1176" t="s">
        <v>1531</v>
      </c>
      <c r="J1176" t="s">
        <v>1566</v>
      </c>
      <c r="K1176" t="s">
        <v>1514</v>
      </c>
      <c r="L1176" s="2">
        <v>1</v>
      </c>
      <c r="M1176" s="10">
        <v>9837</v>
      </c>
      <c r="N1176" s="7">
        <v>9837</v>
      </c>
    </row>
    <row r="1177" spans="1:14" x14ac:dyDescent="0.3">
      <c r="A1177">
        <v>1175</v>
      </c>
      <c r="B1177" s="1">
        <v>45833</v>
      </c>
      <c r="C1177">
        <v>2025</v>
      </c>
      <c r="D1177">
        <v>6</v>
      </c>
      <c r="E1177" t="str">
        <f t="shared" si="18"/>
        <v>Juni</v>
      </c>
      <c r="F1177">
        <v>2</v>
      </c>
      <c r="G1177" t="s">
        <v>1522</v>
      </c>
      <c r="H1177" t="s">
        <v>1520</v>
      </c>
      <c r="I1177" t="s">
        <v>1513</v>
      </c>
      <c r="J1177" t="s">
        <v>1517</v>
      </c>
      <c r="K1177" t="s">
        <v>1514</v>
      </c>
      <c r="L1177" s="2">
        <v>5</v>
      </c>
      <c r="M1177" s="10">
        <v>857</v>
      </c>
      <c r="N1177" s="7">
        <v>4285</v>
      </c>
    </row>
    <row r="1178" spans="1:14" x14ac:dyDescent="0.3">
      <c r="A1178">
        <v>1176</v>
      </c>
      <c r="B1178" s="1">
        <v>45834</v>
      </c>
      <c r="C1178">
        <v>2025</v>
      </c>
      <c r="D1178">
        <v>6</v>
      </c>
      <c r="E1178" t="str">
        <f t="shared" si="18"/>
        <v>Juni</v>
      </c>
      <c r="F1178">
        <v>2</v>
      </c>
      <c r="G1178" t="s">
        <v>1523</v>
      </c>
      <c r="H1178" t="s">
        <v>1512</v>
      </c>
      <c r="I1178" t="s">
        <v>1513</v>
      </c>
      <c r="J1178" t="s">
        <v>1566</v>
      </c>
      <c r="K1178" t="s">
        <v>1514</v>
      </c>
      <c r="L1178" s="2">
        <v>1</v>
      </c>
      <c r="M1178" s="10">
        <v>20323</v>
      </c>
      <c r="N1178" s="7">
        <v>20323</v>
      </c>
    </row>
    <row r="1179" spans="1:14" x14ac:dyDescent="0.3">
      <c r="A1179">
        <v>1177</v>
      </c>
      <c r="B1179" s="1">
        <v>45835</v>
      </c>
      <c r="C1179">
        <v>2025</v>
      </c>
      <c r="D1179">
        <v>6</v>
      </c>
      <c r="E1179" t="str">
        <f t="shared" si="18"/>
        <v>Juni</v>
      </c>
      <c r="F1179">
        <v>2</v>
      </c>
      <c r="G1179" t="s">
        <v>1526</v>
      </c>
      <c r="H1179" t="s">
        <v>1527</v>
      </c>
      <c r="I1179" t="s">
        <v>1531</v>
      </c>
      <c r="J1179" t="s">
        <v>1517</v>
      </c>
      <c r="K1179" t="s">
        <v>1525</v>
      </c>
      <c r="L1179" s="2">
        <v>5</v>
      </c>
      <c r="M1179" s="10">
        <v>1000</v>
      </c>
      <c r="N1179" s="7">
        <v>5000</v>
      </c>
    </row>
    <row r="1180" spans="1:14" x14ac:dyDescent="0.3">
      <c r="A1180">
        <v>1178</v>
      </c>
      <c r="B1180" s="1">
        <v>45836</v>
      </c>
      <c r="C1180">
        <v>2025</v>
      </c>
      <c r="D1180">
        <v>6</v>
      </c>
      <c r="E1180" t="str">
        <f t="shared" si="18"/>
        <v>Juni</v>
      </c>
      <c r="F1180">
        <v>2</v>
      </c>
      <c r="G1180" t="s">
        <v>1529</v>
      </c>
      <c r="H1180" t="s">
        <v>1530</v>
      </c>
      <c r="I1180" t="s">
        <v>1513</v>
      </c>
      <c r="J1180" t="s">
        <v>1524</v>
      </c>
      <c r="K1180" t="s">
        <v>1525</v>
      </c>
      <c r="L1180" s="2">
        <v>5</v>
      </c>
      <c r="M1180" s="10">
        <v>1359</v>
      </c>
      <c r="N1180" s="7">
        <v>6795</v>
      </c>
    </row>
    <row r="1181" spans="1:14" x14ac:dyDescent="0.3">
      <c r="A1181">
        <v>1179</v>
      </c>
      <c r="B1181" s="1">
        <v>45837</v>
      </c>
      <c r="C1181">
        <v>2025</v>
      </c>
      <c r="D1181">
        <v>6</v>
      </c>
      <c r="E1181" t="str">
        <f t="shared" si="18"/>
        <v>Juni</v>
      </c>
      <c r="F1181">
        <v>2</v>
      </c>
      <c r="G1181" t="s">
        <v>1532</v>
      </c>
      <c r="H1181" t="s">
        <v>1512</v>
      </c>
      <c r="I1181" t="s">
        <v>1521</v>
      </c>
      <c r="J1181" t="s">
        <v>1524</v>
      </c>
      <c r="K1181" t="s">
        <v>1514</v>
      </c>
      <c r="L1181" s="2">
        <v>1</v>
      </c>
      <c r="M1181" s="10">
        <v>14026</v>
      </c>
      <c r="N1181" s="7">
        <v>14026</v>
      </c>
    </row>
    <row r="1182" spans="1:14" x14ac:dyDescent="0.3">
      <c r="A1182">
        <v>1180</v>
      </c>
      <c r="B1182" s="1">
        <v>45838</v>
      </c>
      <c r="C1182">
        <v>2025</v>
      </c>
      <c r="D1182">
        <v>6</v>
      </c>
      <c r="E1182" t="str">
        <f t="shared" si="18"/>
        <v>Juni</v>
      </c>
      <c r="F1182">
        <v>2</v>
      </c>
      <c r="G1182" t="s">
        <v>1533</v>
      </c>
      <c r="H1182" t="s">
        <v>1520</v>
      </c>
      <c r="I1182" t="s">
        <v>1531</v>
      </c>
      <c r="J1182" t="s">
        <v>1517</v>
      </c>
      <c r="K1182" t="s">
        <v>1518</v>
      </c>
      <c r="L1182" s="2">
        <v>2</v>
      </c>
      <c r="M1182" s="10">
        <v>685</v>
      </c>
      <c r="N1182" s="7">
        <v>1370</v>
      </c>
    </row>
    <row r="1183" spans="1:14" x14ac:dyDescent="0.3">
      <c r="A1183">
        <v>1181</v>
      </c>
      <c r="B1183" s="1">
        <v>45839</v>
      </c>
      <c r="C1183">
        <v>2025</v>
      </c>
      <c r="D1183">
        <v>7</v>
      </c>
      <c r="E1183" t="str">
        <f t="shared" si="18"/>
        <v>Juli</v>
      </c>
      <c r="F1183">
        <v>3</v>
      </c>
      <c r="G1183" t="s">
        <v>1511</v>
      </c>
      <c r="H1183" t="s">
        <v>1512</v>
      </c>
      <c r="I1183" t="s">
        <v>1516</v>
      </c>
      <c r="J1183" t="s">
        <v>1524</v>
      </c>
      <c r="K1183" t="s">
        <v>1518</v>
      </c>
      <c r="L1183" s="2">
        <v>1</v>
      </c>
      <c r="M1183" s="10">
        <v>54311</v>
      </c>
      <c r="N1183" s="7">
        <v>54311</v>
      </c>
    </row>
    <row r="1184" spans="1:14" x14ac:dyDescent="0.3">
      <c r="A1184">
        <v>1182</v>
      </c>
      <c r="B1184" s="1">
        <v>45840</v>
      </c>
      <c r="C1184">
        <v>2025</v>
      </c>
      <c r="D1184">
        <v>7</v>
      </c>
      <c r="E1184" t="str">
        <f t="shared" si="18"/>
        <v>Juli</v>
      </c>
      <c r="F1184">
        <v>3</v>
      </c>
      <c r="G1184" t="s">
        <v>1515</v>
      </c>
      <c r="H1184" t="s">
        <v>1512</v>
      </c>
      <c r="I1184" t="s">
        <v>1521</v>
      </c>
      <c r="J1184" t="s">
        <v>1566</v>
      </c>
      <c r="K1184" t="s">
        <v>1514</v>
      </c>
      <c r="L1184" s="2">
        <v>2</v>
      </c>
      <c r="M1184" s="10">
        <v>1713</v>
      </c>
      <c r="N1184" s="7">
        <v>3426</v>
      </c>
    </row>
    <row r="1185" spans="1:14" x14ac:dyDescent="0.3">
      <c r="A1185">
        <v>1183</v>
      </c>
      <c r="B1185" s="1">
        <v>45841</v>
      </c>
      <c r="C1185">
        <v>2025</v>
      </c>
      <c r="D1185">
        <v>7</v>
      </c>
      <c r="E1185" t="str">
        <f t="shared" si="18"/>
        <v>Juli</v>
      </c>
      <c r="F1185">
        <v>3</v>
      </c>
      <c r="G1185" t="s">
        <v>1534</v>
      </c>
      <c r="H1185" t="s">
        <v>1530</v>
      </c>
      <c r="I1185" t="s">
        <v>1531</v>
      </c>
      <c r="J1185" t="s">
        <v>1524</v>
      </c>
      <c r="K1185" t="s">
        <v>1518</v>
      </c>
      <c r="L1185" s="2">
        <v>2</v>
      </c>
      <c r="M1185" s="10">
        <v>3204</v>
      </c>
      <c r="N1185" s="7">
        <v>6408</v>
      </c>
    </row>
    <row r="1186" spans="1:14" x14ac:dyDescent="0.3">
      <c r="A1186">
        <v>1184</v>
      </c>
      <c r="B1186" s="1">
        <v>45842</v>
      </c>
      <c r="C1186">
        <v>2025</v>
      </c>
      <c r="D1186">
        <v>7</v>
      </c>
      <c r="E1186" t="str">
        <f t="shared" si="18"/>
        <v>Juli</v>
      </c>
      <c r="F1186">
        <v>3</v>
      </c>
      <c r="G1186" t="s">
        <v>1519</v>
      </c>
      <c r="H1186" t="s">
        <v>1520</v>
      </c>
      <c r="I1186" t="s">
        <v>1531</v>
      </c>
      <c r="J1186" t="s">
        <v>1517</v>
      </c>
      <c r="K1186" t="s">
        <v>1518</v>
      </c>
      <c r="L1186" s="2">
        <v>5</v>
      </c>
      <c r="M1186" s="10">
        <v>18542</v>
      </c>
      <c r="N1186" s="7">
        <v>92710</v>
      </c>
    </row>
    <row r="1187" spans="1:14" x14ac:dyDescent="0.3">
      <c r="A1187">
        <v>1185</v>
      </c>
      <c r="B1187" s="1">
        <v>45843</v>
      </c>
      <c r="C1187">
        <v>2025</v>
      </c>
      <c r="D1187">
        <v>7</v>
      </c>
      <c r="E1187" t="str">
        <f t="shared" si="18"/>
        <v>Juli</v>
      </c>
      <c r="F1187">
        <v>3</v>
      </c>
      <c r="G1187" t="s">
        <v>1522</v>
      </c>
      <c r="H1187" t="s">
        <v>1520</v>
      </c>
      <c r="I1187" t="s">
        <v>1513</v>
      </c>
      <c r="J1187" t="s">
        <v>1566</v>
      </c>
      <c r="K1187" t="s">
        <v>1518</v>
      </c>
      <c r="L1187" s="2">
        <v>1</v>
      </c>
      <c r="M1187" s="10">
        <v>521</v>
      </c>
      <c r="N1187" s="7">
        <v>521</v>
      </c>
    </row>
    <row r="1188" spans="1:14" x14ac:dyDescent="0.3">
      <c r="A1188">
        <v>1186</v>
      </c>
      <c r="B1188" s="1">
        <v>45844</v>
      </c>
      <c r="C1188">
        <v>2025</v>
      </c>
      <c r="D1188">
        <v>7</v>
      </c>
      <c r="E1188" t="str">
        <f t="shared" si="18"/>
        <v>Juli</v>
      </c>
      <c r="F1188">
        <v>3</v>
      </c>
      <c r="G1188" t="s">
        <v>1523</v>
      </c>
      <c r="H1188" t="s">
        <v>1512</v>
      </c>
      <c r="I1188" t="s">
        <v>1531</v>
      </c>
      <c r="J1188" t="s">
        <v>1566</v>
      </c>
      <c r="K1188" t="s">
        <v>1518</v>
      </c>
      <c r="L1188" s="2">
        <v>1</v>
      </c>
      <c r="M1188" s="10">
        <v>13218</v>
      </c>
      <c r="N1188" s="7">
        <v>13218</v>
      </c>
    </row>
    <row r="1189" spans="1:14" x14ac:dyDescent="0.3">
      <c r="A1189">
        <v>1187</v>
      </c>
      <c r="B1189" s="1">
        <v>45845</v>
      </c>
      <c r="C1189">
        <v>2025</v>
      </c>
      <c r="D1189">
        <v>7</v>
      </c>
      <c r="E1189" t="str">
        <f t="shared" si="18"/>
        <v>Juli</v>
      </c>
      <c r="F1189">
        <v>3</v>
      </c>
      <c r="G1189" t="s">
        <v>1526</v>
      </c>
      <c r="H1189" t="s">
        <v>1527</v>
      </c>
      <c r="I1189" t="s">
        <v>1521</v>
      </c>
      <c r="J1189" t="s">
        <v>1517</v>
      </c>
      <c r="K1189" t="s">
        <v>1518</v>
      </c>
      <c r="L1189" s="2">
        <v>2</v>
      </c>
      <c r="M1189" s="10">
        <v>248</v>
      </c>
      <c r="N1189" s="7">
        <v>496</v>
      </c>
    </row>
    <row r="1190" spans="1:14" x14ac:dyDescent="0.3">
      <c r="A1190">
        <v>1188</v>
      </c>
      <c r="B1190" s="1">
        <v>45846</v>
      </c>
      <c r="C1190">
        <v>2025</v>
      </c>
      <c r="D1190">
        <v>7</v>
      </c>
      <c r="E1190" t="str">
        <f t="shared" si="18"/>
        <v>Juli</v>
      </c>
      <c r="F1190">
        <v>3</v>
      </c>
      <c r="G1190" t="s">
        <v>1529</v>
      </c>
      <c r="H1190" t="s">
        <v>1530</v>
      </c>
      <c r="I1190" t="s">
        <v>1521</v>
      </c>
      <c r="J1190" t="s">
        <v>1524</v>
      </c>
      <c r="K1190" t="s">
        <v>1525</v>
      </c>
      <c r="L1190" s="2">
        <v>4</v>
      </c>
      <c r="M1190" s="10">
        <v>1353</v>
      </c>
      <c r="N1190" s="7">
        <v>5412</v>
      </c>
    </row>
    <row r="1191" spans="1:14" x14ac:dyDescent="0.3">
      <c r="A1191">
        <v>1189</v>
      </c>
      <c r="B1191" s="1">
        <v>45847</v>
      </c>
      <c r="C1191">
        <v>2025</v>
      </c>
      <c r="D1191">
        <v>7</v>
      </c>
      <c r="E1191" t="str">
        <f t="shared" si="18"/>
        <v>Juli</v>
      </c>
      <c r="F1191">
        <v>3</v>
      </c>
      <c r="G1191" t="s">
        <v>1532</v>
      </c>
      <c r="H1191" t="s">
        <v>1512</v>
      </c>
      <c r="I1191" t="s">
        <v>1513</v>
      </c>
      <c r="J1191" t="s">
        <v>1517</v>
      </c>
      <c r="K1191" t="s">
        <v>1525</v>
      </c>
      <c r="L1191" s="2">
        <v>2</v>
      </c>
      <c r="M1191" s="10">
        <v>13462</v>
      </c>
      <c r="N1191" s="7">
        <v>26924</v>
      </c>
    </row>
    <row r="1192" spans="1:14" x14ac:dyDescent="0.3">
      <c r="A1192">
        <v>1190</v>
      </c>
      <c r="B1192" s="1">
        <v>45848</v>
      </c>
      <c r="C1192">
        <v>2025</v>
      </c>
      <c r="D1192">
        <v>7</v>
      </c>
      <c r="E1192" t="str">
        <f t="shared" si="18"/>
        <v>Juli</v>
      </c>
      <c r="F1192">
        <v>3</v>
      </c>
      <c r="G1192" t="s">
        <v>1533</v>
      </c>
      <c r="H1192" t="s">
        <v>1520</v>
      </c>
      <c r="I1192" t="s">
        <v>1531</v>
      </c>
      <c r="J1192" t="s">
        <v>1517</v>
      </c>
      <c r="K1192" t="s">
        <v>1514</v>
      </c>
      <c r="L1192" s="2">
        <v>5</v>
      </c>
      <c r="M1192" s="10">
        <v>404</v>
      </c>
      <c r="N1192" s="7">
        <v>2020</v>
      </c>
    </row>
    <row r="1193" spans="1:14" x14ac:dyDescent="0.3">
      <c r="A1193">
        <v>1191</v>
      </c>
      <c r="B1193" s="1">
        <v>45849</v>
      </c>
      <c r="C1193">
        <v>2025</v>
      </c>
      <c r="D1193">
        <v>7</v>
      </c>
      <c r="E1193" t="str">
        <f t="shared" si="18"/>
        <v>Juli</v>
      </c>
      <c r="F1193">
        <v>3</v>
      </c>
      <c r="G1193" t="s">
        <v>1511</v>
      </c>
      <c r="H1193" t="s">
        <v>1512</v>
      </c>
      <c r="I1193" t="s">
        <v>1528</v>
      </c>
      <c r="J1193" t="s">
        <v>1517</v>
      </c>
      <c r="K1193" t="s">
        <v>1525</v>
      </c>
      <c r="L1193" s="2">
        <v>1</v>
      </c>
      <c r="M1193" s="10">
        <v>59800</v>
      </c>
      <c r="N1193" s="7">
        <v>59800</v>
      </c>
    </row>
    <row r="1194" spans="1:14" x14ac:dyDescent="0.3">
      <c r="A1194">
        <v>1192</v>
      </c>
      <c r="B1194" s="1">
        <v>45850</v>
      </c>
      <c r="C1194">
        <v>2025</v>
      </c>
      <c r="D1194">
        <v>7</v>
      </c>
      <c r="E1194" t="str">
        <f t="shared" si="18"/>
        <v>Juli</v>
      </c>
      <c r="F1194">
        <v>3</v>
      </c>
      <c r="G1194" t="s">
        <v>1515</v>
      </c>
      <c r="H1194" t="s">
        <v>1512</v>
      </c>
      <c r="I1194" t="s">
        <v>1516</v>
      </c>
      <c r="J1194" t="s">
        <v>1524</v>
      </c>
      <c r="K1194" t="s">
        <v>1518</v>
      </c>
      <c r="L1194" s="2">
        <v>2</v>
      </c>
      <c r="M1194" s="10">
        <v>2639</v>
      </c>
      <c r="N1194" s="7">
        <v>5278</v>
      </c>
    </row>
    <row r="1195" spans="1:14" x14ac:dyDescent="0.3">
      <c r="A1195">
        <v>1193</v>
      </c>
      <c r="B1195" s="1">
        <v>45851</v>
      </c>
      <c r="C1195">
        <v>2025</v>
      </c>
      <c r="D1195">
        <v>7</v>
      </c>
      <c r="E1195" t="str">
        <f t="shared" si="18"/>
        <v>Juli</v>
      </c>
      <c r="F1195">
        <v>3</v>
      </c>
      <c r="G1195" t="s">
        <v>1534</v>
      </c>
      <c r="H1195" t="s">
        <v>1530</v>
      </c>
      <c r="I1195" t="s">
        <v>1535</v>
      </c>
      <c r="J1195" t="s">
        <v>1566</v>
      </c>
      <c r="K1195" t="s">
        <v>1518</v>
      </c>
      <c r="L1195" s="2">
        <v>1</v>
      </c>
      <c r="M1195" s="10">
        <v>2167</v>
      </c>
      <c r="N1195" s="7">
        <v>2167</v>
      </c>
    </row>
    <row r="1196" spans="1:14" x14ac:dyDescent="0.3">
      <c r="A1196">
        <v>1194</v>
      </c>
      <c r="B1196" s="1">
        <v>45852</v>
      </c>
      <c r="C1196">
        <v>2025</v>
      </c>
      <c r="D1196">
        <v>7</v>
      </c>
      <c r="E1196" t="str">
        <f t="shared" si="18"/>
        <v>Juli</v>
      </c>
      <c r="F1196">
        <v>3</v>
      </c>
      <c r="G1196" t="s">
        <v>1519</v>
      </c>
      <c r="H1196" t="s">
        <v>1520</v>
      </c>
      <c r="I1196" t="s">
        <v>1513</v>
      </c>
      <c r="J1196" t="s">
        <v>1524</v>
      </c>
      <c r="K1196" t="s">
        <v>1514</v>
      </c>
      <c r="L1196" s="2">
        <v>3</v>
      </c>
      <c r="M1196" s="10">
        <v>8179</v>
      </c>
      <c r="N1196" s="7">
        <v>24537</v>
      </c>
    </row>
    <row r="1197" spans="1:14" x14ac:dyDescent="0.3">
      <c r="A1197">
        <v>1195</v>
      </c>
      <c r="B1197" s="1">
        <v>45853</v>
      </c>
      <c r="C1197">
        <v>2025</v>
      </c>
      <c r="D1197">
        <v>7</v>
      </c>
      <c r="E1197" t="str">
        <f t="shared" si="18"/>
        <v>Juli</v>
      </c>
      <c r="F1197">
        <v>3</v>
      </c>
      <c r="G1197" t="s">
        <v>1522</v>
      </c>
      <c r="H1197" t="s">
        <v>1520</v>
      </c>
      <c r="I1197" t="s">
        <v>1531</v>
      </c>
      <c r="J1197" t="s">
        <v>1566</v>
      </c>
      <c r="K1197" t="s">
        <v>1514</v>
      </c>
      <c r="L1197" s="2">
        <v>1</v>
      </c>
      <c r="M1197" s="10">
        <v>374</v>
      </c>
      <c r="N1197" s="7">
        <v>374</v>
      </c>
    </row>
    <row r="1198" spans="1:14" x14ac:dyDescent="0.3">
      <c r="A1198">
        <v>1196</v>
      </c>
      <c r="B1198" s="1">
        <v>45854</v>
      </c>
      <c r="C1198">
        <v>2025</v>
      </c>
      <c r="D1198">
        <v>7</v>
      </c>
      <c r="E1198" t="str">
        <f t="shared" si="18"/>
        <v>Juli</v>
      </c>
      <c r="F1198">
        <v>3</v>
      </c>
      <c r="G1198" t="s">
        <v>1523</v>
      </c>
      <c r="H1198" t="s">
        <v>1512</v>
      </c>
      <c r="I1198" t="s">
        <v>1521</v>
      </c>
      <c r="J1198" t="s">
        <v>1566</v>
      </c>
      <c r="K1198" t="s">
        <v>1525</v>
      </c>
      <c r="L1198" s="2">
        <v>1</v>
      </c>
      <c r="M1198" s="10">
        <v>36595</v>
      </c>
      <c r="N1198" s="7">
        <v>36595</v>
      </c>
    </row>
    <row r="1199" spans="1:14" x14ac:dyDescent="0.3">
      <c r="A1199">
        <v>1197</v>
      </c>
      <c r="B1199" s="1">
        <v>45855</v>
      </c>
      <c r="C1199">
        <v>2025</v>
      </c>
      <c r="D1199">
        <v>7</v>
      </c>
      <c r="E1199" t="str">
        <f t="shared" si="18"/>
        <v>Juli</v>
      </c>
      <c r="F1199">
        <v>3</v>
      </c>
      <c r="G1199" t="s">
        <v>1526</v>
      </c>
      <c r="H1199" t="s">
        <v>1527</v>
      </c>
      <c r="I1199" t="s">
        <v>1528</v>
      </c>
      <c r="J1199" t="s">
        <v>1517</v>
      </c>
      <c r="K1199" t="s">
        <v>1518</v>
      </c>
      <c r="L1199" s="2">
        <v>5</v>
      </c>
      <c r="M1199" s="10">
        <v>570</v>
      </c>
      <c r="N1199" s="7">
        <v>2850</v>
      </c>
    </row>
    <row r="1200" spans="1:14" x14ac:dyDescent="0.3">
      <c r="A1200">
        <v>1198</v>
      </c>
      <c r="B1200" s="1">
        <v>45856</v>
      </c>
      <c r="C1200">
        <v>2025</v>
      </c>
      <c r="D1200">
        <v>7</v>
      </c>
      <c r="E1200" t="str">
        <f t="shared" si="18"/>
        <v>Juli</v>
      </c>
      <c r="F1200">
        <v>3</v>
      </c>
      <c r="G1200" t="s">
        <v>1529</v>
      </c>
      <c r="H1200" t="s">
        <v>1530</v>
      </c>
      <c r="I1200" t="s">
        <v>1528</v>
      </c>
      <c r="J1200" t="s">
        <v>1517</v>
      </c>
      <c r="K1200" t="s">
        <v>1525</v>
      </c>
      <c r="L1200" s="2">
        <v>3</v>
      </c>
      <c r="M1200" s="10">
        <v>1005</v>
      </c>
      <c r="N1200" s="7">
        <v>3015</v>
      </c>
    </row>
    <row r="1201" spans="1:14" x14ac:dyDescent="0.3">
      <c r="A1201">
        <v>1199</v>
      </c>
      <c r="B1201" s="1">
        <v>45857</v>
      </c>
      <c r="C1201">
        <v>2025</v>
      </c>
      <c r="D1201">
        <v>7</v>
      </c>
      <c r="E1201" t="str">
        <f t="shared" si="18"/>
        <v>Juli</v>
      </c>
      <c r="F1201">
        <v>3</v>
      </c>
      <c r="G1201" t="s">
        <v>1532</v>
      </c>
      <c r="H1201" t="s">
        <v>1512</v>
      </c>
      <c r="I1201" t="s">
        <v>1516</v>
      </c>
      <c r="J1201" t="s">
        <v>1517</v>
      </c>
      <c r="K1201" t="s">
        <v>1514</v>
      </c>
      <c r="L1201" s="2">
        <v>2</v>
      </c>
      <c r="M1201" s="10">
        <v>14435</v>
      </c>
      <c r="N1201" s="7">
        <v>28870</v>
      </c>
    </row>
    <row r="1202" spans="1:14" x14ac:dyDescent="0.3">
      <c r="A1202">
        <v>1200</v>
      </c>
      <c r="B1202" s="1">
        <v>45858</v>
      </c>
      <c r="C1202">
        <v>2025</v>
      </c>
      <c r="D1202">
        <v>7</v>
      </c>
      <c r="E1202" t="str">
        <f t="shared" si="18"/>
        <v>Juli</v>
      </c>
      <c r="F1202">
        <v>3</v>
      </c>
      <c r="G1202" t="s">
        <v>1533</v>
      </c>
      <c r="H1202" t="s">
        <v>1520</v>
      </c>
      <c r="I1202" t="s">
        <v>1531</v>
      </c>
      <c r="J1202" t="s">
        <v>1524</v>
      </c>
      <c r="K1202" t="s">
        <v>1514</v>
      </c>
      <c r="L1202" s="2">
        <v>5</v>
      </c>
      <c r="M1202" s="10">
        <v>351</v>
      </c>
      <c r="N1202" s="7">
        <v>1755</v>
      </c>
    </row>
    <row r="1203" spans="1:14" x14ac:dyDescent="0.3">
      <c r="A1203">
        <v>1201</v>
      </c>
      <c r="B1203" s="1">
        <v>45859</v>
      </c>
      <c r="C1203">
        <v>2025</v>
      </c>
      <c r="D1203">
        <v>7</v>
      </c>
      <c r="E1203" t="str">
        <f t="shared" si="18"/>
        <v>Juli</v>
      </c>
      <c r="F1203">
        <v>3</v>
      </c>
      <c r="G1203" t="s">
        <v>1511</v>
      </c>
      <c r="H1203" t="s">
        <v>1512</v>
      </c>
      <c r="I1203" t="s">
        <v>1521</v>
      </c>
      <c r="J1203" t="s">
        <v>1566</v>
      </c>
      <c r="K1203" t="s">
        <v>1525</v>
      </c>
      <c r="L1203" s="2">
        <v>2</v>
      </c>
      <c r="M1203" s="10">
        <v>60581</v>
      </c>
      <c r="N1203" s="7">
        <v>121162</v>
      </c>
    </row>
    <row r="1204" spans="1:14" x14ac:dyDescent="0.3">
      <c r="A1204">
        <v>1202</v>
      </c>
      <c r="B1204" s="1">
        <v>45860</v>
      </c>
      <c r="C1204">
        <v>2025</v>
      </c>
      <c r="D1204">
        <v>7</v>
      </c>
      <c r="E1204" t="str">
        <f t="shared" si="18"/>
        <v>Juli</v>
      </c>
      <c r="F1204">
        <v>3</v>
      </c>
      <c r="G1204" t="s">
        <v>1515</v>
      </c>
      <c r="H1204" t="s">
        <v>1512</v>
      </c>
      <c r="I1204" t="s">
        <v>1535</v>
      </c>
      <c r="J1204" t="s">
        <v>1524</v>
      </c>
      <c r="K1204" t="s">
        <v>1525</v>
      </c>
      <c r="L1204" s="2">
        <v>1</v>
      </c>
      <c r="M1204" s="10">
        <v>2742</v>
      </c>
      <c r="N1204" s="7">
        <v>2742</v>
      </c>
    </row>
    <row r="1205" spans="1:14" x14ac:dyDescent="0.3">
      <c r="A1205">
        <v>1203</v>
      </c>
      <c r="B1205" s="1">
        <v>45861</v>
      </c>
      <c r="C1205">
        <v>2025</v>
      </c>
      <c r="D1205">
        <v>7</v>
      </c>
      <c r="E1205" t="str">
        <f t="shared" si="18"/>
        <v>Juli</v>
      </c>
      <c r="F1205">
        <v>3</v>
      </c>
      <c r="G1205" t="s">
        <v>1534</v>
      </c>
      <c r="H1205" t="s">
        <v>1530</v>
      </c>
      <c r="I1205" t="s">
        <v>1528</v>
      </c>
      <c r="J1205" t="s">
        <v>1566</v>
      </c>
      <c r="K1205" t="s">
        <v>1514</v>
      </c>
      <c r="L1205" s="2">
        <v>3</v>
      </c>
      <c r="M1205" s="10">
        <v>3576</v>
      </c>
      <c r="N1205" s="7">
        <v>10728</v>
      </c>
    </row>
    <row r="1206" spans="1:14" x14ac:dyDescent="0.3">
      <c r="A1206">
        <v>1204</v>
      </c>
      <c r="B1206" s="1">
        <v>45862</v>
      </c>
      <c r="C1206">
        <v>2025</v>
      </c>
      <c r="D1206">
        <v>7</v>
      </c>
      <c r="E1206" t="str">
        <f t="shared" si="18"/>
        <v>Juli</v>
      </c>
      <c r="F1206">
        <v>3</v>
      </c>
      <c r="G1206" t="s">
        <v>1519</v>
      </c>
      <c r="H1206" t="s">
        <v>1520</v>
      </c>
      <c r="I1206" t="s">
        <v>1513</v>
      </c>
      <c r="J1206" t="s">
        <v>1517</v>
      </c>
      <c r="K1206" t="s">
        <v>1514</v>
      </c>
      <c r="L1206" s="2">
        <v>4</v>
      </c>
      <c r="M1206" s="10">
        <v>15524</v>
      </c>
      <c r="N1206" s="7">
        <v>62096</v>
      </c>
    </row>
    <row r="1207" spans="1:14" x14ac:dyDescent="0.3">
      <c r="A1207">
        <v>1205</v>
      </c>
      <c r="B1207" s="1">
        <v>45863</v>
      </c>
      <c r="C1207">
        <v>2025</v>
      </c>
      <c r="D1207">
        <v>7</v>
      </c>
      <c r="E1207" t="str">
        <f t="shared" si="18"/>
        <v>Juli</v>
      </c>
      <c r="F1207">
        <v>3</v>
      </c>
      <c r="G1207" t="s">
        <v>1522</v>
      </c>
      <c r="H1207" t="s">
        <v>1520</v>
      </c>
      <c r="I1207" t="s">
        <v>1521</v>
      </c>
      <c r="J1207" t="s">
        <v>1517</v>
      </c>
      <c r="K1207" t="s">
        <v>1518</v>
      </c>
      <c r="L1207" s="2">
        <v>3</v>
      </c>
      <c r="M1207" s="10">
        <v>973</v>
      </c>
      <c r="N1207" s="7">
        <v>2919</v>
      </c>
    </row>
    <row r="1208" spans="1:14" x14ac:dyDescent="0.3">
      <c r="A1208">
        <v>1206</v>
      </c>
      <c r="B1208" s="1">
        <v>45864</v>
      </c>
      <c r="C1208">
        <v>2025</v>
      </c>
      <c r="D1208">
        <v>7</v>
      </c>
      <c r="E1208" t="str">
        <f t="shared" si="18"/>
        <v>Juli</v>
      </c>
      <c r="F1208">
        <v>3</v>
      </c>
      <c r="G1208" t="s">
        <v>1523</v>
      </c>
      <c r="H1208" t="s">
        <v>1512</v>
      </c>
      <c r="I1208" t="s">
        <v>1521</v>
      </c>
      <c r="J1208" t="s">
        <v>1566</v>
      </c>
      <c r="K1208" t="s">
        <v>1518</v>
      </c>
      <c r="L1208" s="2">
        <v>2</v>
      </c>
      <c r="M1208" s="10">
        <v>19223</v>
      </c>
      <c r="N1208" s="7">
        <v>38446</v>
      </c>
    </row>
    <row r="1209" spans="1:14" x14ac:dyDescent="0.3">
      <c r="A1209">
        <v>1207</v>
      </c>
      <c r="B1209" s="1">
        <v>45865</v>
      </c>
      <c r="C1209">
        <v>2025</v>
      </c>
      <c r="D1209">
        <v>7</v>
      </c>
      <c r="E1209" t="str">
        <f t="shared" si="18"/>
        <v>Juli</v>
      </c>
      <c r="F1209">
        <v>3</v>
      </c>
      <c r="G1209" t="s">
        <v>1526</v>
      </c>
      <c r="H1209" t="s">
        <v>1527</v>
      </c>
      <c r="I1209" t="s">
        <v>1535</v>
      </c>
      <c r="J1209" t="s">
        <v>1524</v>
      </c>
      <c r="K1209" t="s">
        <v>1514</v>
      </c>
      <c r="L1209" s="2">
        <v>3</v>
      </c>
      <c r="M1209" s="10">
        <v>197</v>
      </c>
      <c r="N1209" s="7">
        <v>591</v>
      </c>
    </row>
    <row r="1210" spans="1:14" x14ac:dyDescent="0.3">
      <c r="A1210">
        <v>1208</v>
      </c>
      <c r="B1210" s="1">
        <v>45866</v>
      </c>
      <c r="C1210">
        <v>2025</v>
      </c>
      <c r="D1210">
        <v>7</v>
      </c>
      <c r="E1210" t="str">
        <f t="shared" si="18"/>
        <v>Juli</v>
      </c>
      <c r="F1210">
        <v>3</v>
      </c>
      <c r="G1210" t="s">
        <v>1529</v>
      </c>
      <c r="H1210" t="s">
        <v>1530</v>
      </c>
      <c r="I1210" t="s">
        <v>1513</v>
      </c>
      <c r="J1210" t="s">
        <v>1524</v>
      </c>
      <c r="K1210" t="s">
        <v>1518</v>
      </c>
      <c r="L1210" s="2">
        <v>4</v>
      </c>
      <c r="M1210" s="10">
        <v>1862</v>
      </c>
      <c r="N1210" s="7">
        <v>7448</v>
      </c>
    </row>
    <row r="1211" spans="1:14" x14ac:dyDescent="0.3">
      <c r="A1211">
        <v>1209</v>
      </c>
      <c r="B1211" s="1">
        <v>45867</v>
      </c>
      <c r="C1211">
        <v>2025</v>
      </c>
      <c r="D1211">
        <v>7</v>
      </c>
      <c r="E1211" t="str">
        <f t="shared" si="18"/>
        <v>Juli</v>
      </c>
      <c r="F1211">
        <v>3</v>
      </c>
      <c r="G1211" t="s">
        <v>1532</v>
      </c>
      <c r="H1211" t="s">
        <v>1512</v>
      </c>
      <c r="I1211" t="s">
        <v>1531</v>
      </c>
      <c r="J1211" t="s">
        <v>1524</v>
      </c>
      <c r="K1211" t="s">
        <v>1525</v>
      </c>
      <c r="L1211" s="2">
        <v>2</v>
      </c>
      <c r="M1211" s="10">
        <v>7732</v>
      </c>
      <c r="N1211" s="7">
        <v>15464</v>
      </c>
    </row>
    <row r="1212" spans="1:14" x14ac:dyDescent="0.3">
      <c r="A1212">
        <v>1210</v>
      </c>
      <c r="B1212" s="1">
        <v>45868</v>
      </c>
      <c r="C1212">
        <v>2025</v>
      </c>
      <c r="D1212">
        <v>7</v>
      </c>
      <c r="E1212" t="str">
        <f t="shared" si="18"/>
        <v>Juli</v>
      </c>
      <c r="F1212">
        <v>3</v>
      </c>
      <c r="G1212" t="s">
        <v>1533</v>
      </c>
      <c r="H1212" t="s">
        <v>1520</v>
      </c>
      <c r="I1212" t="s">
        <v>1535</v>
      </c>
      <c r="J1212" t="s">
        <v>1566</v>
      </c>
      <c r="K1212" t="s">
        <v>1525</v>
      </c>
      <c r="L1212" s="2">
        <v>3</v>
      </c>
      <c r="M1212" s="10">
        <v>508</v>
      </c>
      <c r="N1212" s="7">
        <v>1524</v>
      </c>
    </row>
    <row r="1213" spans="1:14" x14ac:dyDescent="0.3">
      <c r="A1213">
        <v>1211</v>
      </c>
      <c r="B1213" s="1">
        <v>45869</v>
      </c>
      <c r="C1213">
        <v>2025</v>
      </c>
      <c r="D1213">
        <v>7</v>
      </c>
      <c r="E1213" t="str">
        <f t="shared" si="18"/>
        <v>Juli</v>
      </c>
      <c r="F1213">
        <v>3</v>
      </c>
      <c r="G1213" t="s">
        <v>1511</v>
      </c>
      <c r="H1213" t="s">
        <v>1512</v>
      </c>
      <c r="I1213" t="s">
        <v>1521</v>
      </c>
      <c r="J1213" t="s">
        <v>1566</v>
      </c>
      <c r="K1213" t="s">
        <v>1525</v>
      </c>
      <c r="L1213" s="2">
        <v>1</v>
      </c>
      <c r="M1213" s="10">
        <v>55970</v>
      </c>
      <c r="N1213" s="7">
        <v>55970</v>
      </c>
    </row>
    <row r="1214" spans="1:14" x14ac:dyDescent="0.3">
      <c r="A1214">
        <v>1212</v>
      </c>
      <c r="B1214" s="1">
        <v>45870</v>
      </c>
      <c r="C1214">
        <v>2025</v>
      </c>
      <c r="D1214">
        <v>8</v>
      </c>
      <c r="E1214" t="str">
        <f t="shared" si="18"/>
        <v>Agustus</v>
      </c>
      <c r="F1214">
        <v>3</v>
      </c>
      <c r="G1214" t="s">
        <v>1515</v>
      </c>
      <c r="H1214" t="s">
        <v>1512</v>
      </c>
      <c r="I1214" t="s">
        <v>1528</v>
      </c>
      <c r="J1214" t="s">
        <v>1524</v>
      </c>
      <c r="K1214" t="s">
        <v>1525</v>
      </c>
      <c r="L1214" s="2">
        <v>2</v>
      </c>
      <c r="M1214" s="10">
        <v>2129</v>
      </c>
      <c r="N1214" s="7">
        <v>4258</v>
      </c>
    </row>
    <row r="1215" spans="1:14" x14ac:dyDescent="0.3">
      <c r="A1215">
        <v>1213</v>
      </c>
      <c r="B1215" s="1">
        <v>45871</v>
      </c>
      <c r="C1215">
        <v>2025</v>
      </c>
      <c r="D1215">
        <v>8</v>
      </c>
      <c r="E1215" t="str">
        <f t="shared" si="18"/>
        <v>Agustus</v>
      </c>
      <c r="F1215">
        <v>3</v>
      </c>
      <c r="G1215" t="s">
        <v>1534</v>
      </c>
      <c r="H1215" t="s">
        <v>1530</v>
      </c>
      <c r="I1215" t="s">
        <v>1521</v>
      </c>
      <c r="J1215" t="s">
        <v>1566</v>
      </c>
      <c r="K1215" t="s">
        <v>1518</v>
      </c>
      <c r="L1215" s="2">
        <v>3</v>
      </c>
      <c r="M1215" s="10">
        <v>2280</v>
      </c>
      <c r="N1215" s="7">
        <v>6840</v>
      </c>
    </row>
    <row r="1216" spans="1:14" x14ac:dyDescent="0.3">
      <c r="A1216">
        <v>1214</v>
      </c>
      <c r="B1216" s="1">
        <v>45872</v>
      </c>
      <c r="C1216">
        <v>2025</v>
      </c>
      <c r="D1216">
        <v>8</v>
      </c>
      <c r="E1216" t="str">
        <f t="shared" si="18"/>
        <v>Agustus</v>
      </c>
      <c r="F1216">
        <v>3</v>
      </c>
      <c r="G1216" t="s">
        <v>1519</v>
      </c>
      <c r="H1216" t="s">
        <v>1520</v>
      </c>
      <c r="I1216" t="s">
        <v>1516</v>
      </c>
      <c r="J1216" t="s">
        <v>1566</v>
      </c>
      <c r="K1216" t="s">
        <v>1514</v>
      </c>
      <c r="L1216" s="2">
        <v>1</v>
      </c>
      <c r="M1216" s="10">
        <v>2260</v>
      </c>
      <c r="N1216" s="7">
        <v>2260</v>
      </c>
    </row>
    <row r="1217" spans="1:14" x14ac:dyDescent="0.3">
      <c r="A1217">
        <v>1215</v>
      </c>
      <c r="B1217" s="1">
        <v>45873</v>
      </c>
      <c r="C1217">
        <v>2025</v>
      </c>
      <c r="D1217">
        <v>8</v>
      </c>
      <c r="E1217" t="str">
        <f t="shared" si="18"/>
        <v>Agustus</v>
      </c>
      <c r="F1217">
        <v>3</v>
      </c>
      <c r="G1217" t="s">
        <v>1522</v>
      </c>
      <c r="H1217" t="s">
        <v>1520</v>
      </c>
      <c r="I1217" t="s">
        <v>1528</v>
      </c>
      <c r="J1217" t="s">
        <v>1566</v>
      </c>
      <c r="K1217" t="s">
        <v>1518</v>
      </c>
      <c r="L1217" s="2">
        <v>4</v>
      </c>
      <c r="M1217" s="10">
        <v>962</v>
      </c>
      <c r="N1217" s="7">
        <v>3848</v>
      </c>
    </row>
    <row r="1218" spans="1:14" x14ac:dyDescent="0.3">
      <c r="A1218">
        <v>1216</v>
      </c>
      <c r="B1218" s="1">
        <v>45874</v>
      </c>
      <c r="C1218">
        <v>2025</v>
      </c>
      <c r="D1218">
        <v>8</v>
      </c>
      <c r="E1218" t="str">
        <f t="shared" si="18"/>
        <v>Agustus</v>
      </c>
      <c r="F1218">
        <v>3</v>
      </c>
      <c r="G1218" t="s">
        <v>1523</v>
      </c>
      <c r="H1218" t="s">
        <v>1512</v>
      </c>
      <c r="I1218" t="s">
        <v>1531</v>
      </c>
      <c r="J1218" t="s">
        <v>1524</v>
      </c>
      <c r="K1218" t="s">
        <v>1514</v>
      </c>
      <c r="L1218" s="2">
        <v>2</v>
      </c>
      <c r="M1218" s="10">
        <v>12775</v>
      </c>
      <c r="N1218" s="7">
        <v>25550</v>
      </c>
    </row>
    <row r="1219" spans="1:14" x14ac:dyDescent="0.3">
      <c r="A1219">
        <v>1217</v>
      </c>
      <c r="B1219" s="1">
        <v>45875</v>
      </c>
      <c r="C1219">
        <v>2025</v>
      </c>
      <c r="D1219">
        <v>8</v>
      </c>
      <c r="E1219" t="str">
        <f t="shared" ref="E1219:E1282" si="19">TEXT(DATE(2026, D1219, 1), "[$-id-ID]mmmm")</f>
        <v>Agustus</v>
      </c>
      <c r="F1219">
        <v>3</v>
      </c>
      <c r="G1219" t="s">
        <v>1526</v>
      </c>
      <c r="H1219" t="s">
        <v>1527</v>
      </c>
      <c r="I1219" t="s">
        <v>1513</v>
      </c>
      <c r="J1219" t="s">
        <v>1517</v>
      </c>
      <c r="K1219" t="s">
        <v>1525</v>
      </c>
      <c r="L1219" s="2">
        <v>2</v>
      </c>
      <c r="M1219" s="10">
        <v>685</v>
      </c>
      <c r="N1219" s="7">
        <v>1370</v>
      </c>
    </row>
    <row r="1220" spans="1:14" x14ac:dyDescent="0.3">
      <c r="A1220">
        <v>1218</v>
      </c>
      <c r="B1220" s="1">
        <v>45876</v>
      </c>
      <c r="C1220">
        <v>2025</v>
      </c>
      <c r="D1220">
        <v>8</v>
      </c>
      <c r="E1220" t="str">
        <f t="shared" si="19"/>
        <v>Agustus</v>
      </c>
      <c r="F1220">
        <v>3</v>
      </c>
      <c r="G1220" t="s">
        <v>1529</v>
      </c>
      <c r="H1220" t="s">
        <v>1530</v>
      </c>
      <c r="I1220" t="s">
        <v>1535</v>
      </c>
      <c r="J1220" t="s">
        <v>1517</v>
      </c>
      <c r="K1220" t="s">
        <v>1525</v>
      </c>
      <c r="L1220" s="2">
        <v>4</v>
      </c>
      <c r="M1220" s="10">
        <v>1218</v>
      </c>
      <c r="N1220" s="7">
        <v>4872</v>
      </c>
    </row>
    <row r="1221" spans="1:14" x14ac:dyDescent="0.3">
      <c r="A1221">
        <v>1219</v>
      </c>
      <c r="B1221" s="1">
        <v>45877</v>
      </c>
      <c r="C1221">
        <v>2025</v>
      </c>
      <c r="D1221">
        <v>8</v>
      </c>
      <c r="E1221" t="str">
        <f t="shared" si="19"/>
        <v>Agustus</v>
      </c>
      <c r="F1221">
        <v>3</v>
      </c>
      <c r="G1221" t="s">
        <v>1532</v>
      </c>
      <c r="H1221" t="s">
        <v>1512</v>
      </c>
      <c r="I1221" t="s">
        <v>1521</v>
      </c>
      <c r="J1221" t="s">
        <v>1566</v>
      </c>
      <c r="K1221" t="s">
        <v>1514</v>
      </c>
      <c r="L1221" s="2">
        <v>1</v>
      </c>
      <c r="M1221" s="10">
        <v>4031</v>
      </c>
      <c r="N1221" s="7">
        <v>4031</v>
      </c>
    </row>
    <row r="1222" spans="1:14" x14ac:dyDescent="0.3">
      <c r="A1222">
        <v>1220</v>
      </c>
      <c r="B1222" s="1">
        <v>45878</v>
      </c>
      <c r="C1222">
        <v>2025</v>
      </c>
      <c r="D1222">
        <v>8</v>
      </c>
      <c r="E1222" t="str">
        <f t="shared" si="19"/>
        <v>Agustus</v>
      </c>
      <c r="F1222">
        <v>3</v>
      </c>
      <c r="G1222" t="s">
        <v>1533</v>
      </c>
      <c r="H1222" t="s">
        <v>1520</v>
      </c>
      <c r="I1222" t="s">
        <v>1531</v>
      </c>
      <c r="J1222" t="s">
        <v>1566</v>
      </c>
      <c r="K1222" t="s">
        <v>1514</v>
      </c>
      <c r="L1222" s="2">
        <v>2</v>
      </c>
      <c r="M1222" s="10">
        <v>140</v>
      </c>
      <c r="N1222" s="7">
        <v>280</v>
      </c>
    </row>
    <row r="1223" spans="1:14" x14ac:dyDescent="0.3">
      <c r="A1223">
        <v>1221</v>
      </c>
      <c r="B1223" s="1">
        <v>45879</v>
      </c>
      <c r="C1223">
        <v>2025</v>
      </c>
      <c r="D1223">
        <v>8</v>
      </c>
      <c r="E1223" t="str">
        <f t="shared" si="19"/>
        <v>Agustus</v>
      </c>
      <c r="F1223">
        <v>3</v>
      </c>
      <c r="G1223" t="s">
        <v>1511</v>
      </c>
      <c r="H1223" t="s">
        <v>1512</v>
      </c>
      <c r="I1223" t="s">
        <v>1528</v>
      </c>
      <c r="J1223" t="s">
        <v>1524</v>
      </c>
      <c r="K1223" t="s">
        <v>1525</v>
      </c>
      <c r="L1223" s="2">
        <v>2</v>
      </c>
      <c r="M1223" s="10">
        <v>54557</v>
      </c>
      <c r="N1223" s="7">
        <v>109114</v>
      </c>
    </row>
    <row r="1224" spans="1:14" x14ac:dyDescent="0.3">
      <c r="A1224">
        <v>1222</v>
      </c>
      <c r="B1224" s="1">
        <v>45880</v>
      </c>
      <c r="C1224">
        <v>2025</v>
      </c>
      <c r="D1224">
        <v>8</v>
      </c>
      <c r="E1224" t="str">
        <f t="shared" si="19"/>
        <v>Agustus</v>
      </c>
      <c r="F1224">
        <v>3</v>
      </c>
      <c r="G1224" t="s">
        <v>1515</v>
      </c>
      <c r="H1224" t="s">
        <v>1512</v>
      </c>
      <c r="I1224" t="s">
        <v>1531</v>
      </c>
      <c r="J1224" t="s">
        <v>1566</v>
      </c>
      <c r="K1224" t="s">
        <v>1514</v>
      </c>
      <c r="L1224" s="2">
        <v>2</v>
      </c>
      <c r="M1224" s="10">
        <v>1892</v>
      </c>
      <c r="N1224" s="7">
        <v>3784</v>
      </c>
    </row>
    <row r="1225" spans="1:14" x14ac:dyDescent="0.3">
      <c r="A1225">
        <v>1223</v>
      </c>
      <c r="B1225" s="1">
        <v>45881</v>
      </c>
      <c r="C1225">
        <v>2025</v>
      </c>
      <c r="D1225">
        <v>8</v>
      </c>
      <c r="E1225" t="str">
        <f t="shared" si="19"/>
        <v>Agustus</v>
      </c>
      <c r="F1225">
        <v>3</v>
      </c>
      <c r="G1225" t="s">
        <v>1534</v>
      </c>
      <c r="H1225" t="s">
        <v>1530</v>
      </c>
      <c r="I1225" t="s">
        <v>1516</v>
      </c>
      <c r="J1225" t="s">
        <v>1566</v>
      </c>
      <c r="K1225" t="s">
        <v>1525</v>
      </c>
      <c r="L1225" s="2">
        <v>3</v>
      </c>
      <c r="M1225" s="10">
        <v>3197</v>
      </c>
      <c r="N1225" s="7">
        <v>9591</v>
      </c>
    </row>
    <row r="1226" spans="1:14" x14ac:dyDescent="0.3">
      <c r="A1226">
        <v>1224</v>
      </c>
      <c r="B1226" s="1">
        <v>45882</v>
      </c>
      <c r="C1226">
        <v>2025</v>
      </c>
      <c r="D1226">
        <v>8</v>
      </c>
      <c r="E1226" t="str">
        <f t="shared" si="19"/>
        <v>Agustus</v>
      </c>
      <c r="F1226">
        <v>3</v>
      </c>
      <c r="G1226" t="s">
        <v>1519</v>
      </c>
      <c r="H1226" t="s">
        <v>1520</v>
      </c>
      <c r="I1226" t="s">
        <v>1516</v>
      </c>
      <c r="J1226" t="s">
        <v>1524</v>
      </c>
      <c r="K1226" t="s">
        <v>1525</v>
      </c>
      <c r="L1226" s="2">
        <v>5</v>
      </c>
      <c r="M1226" s="10">
        <v>10225</v>
      </c>
      <c r="N1226" s="7">
        <v>51125</v>
      </c>
    </row>
    <row r="1227" spans="1:14" x14ac:dyDescent="0.3">
      <c r="A1227">
        <v>1225</v>
      </c>
      <c r="B1227" s="1">
        <v>45883</v>
      </c>
      <c r="C1227">
        <v>2025</v>
      </c>
      <c r="D1227">
        <v>8</v>
      </c>
      <c r="E1227" t="str">
        <f t="shared" si="19"/>
        <v>Agustus</v>
      </c>
      <c r="F1227">
        <v>3</v>
      </c>
      <c r="G1227" t="s">
        <v>1522</v>
      </c>
      <c r="H1227" t="s">
        <v>1520</v>
      </c>
      <c r="I1227" t="s">
        <v>1535</v>
      </c>
      <c r="J1227" t="s">
        <v>1517</v>
      </c>
      <c r="K1227" t="s">
        <v>1518</v>
      </c>
      <c r="L1227" s="2">
        <v>2</v>
      </c>
      <c r="M1227" s="10">
        <v>899</v>
      </c>
      <c r="N1227" s="7">
        <v>1798</v>
      </c>
    </row>
    <row r="1228" spans="1:14" x14ac:dyDescent="0.3">
      <c r="A1228">
        <v>1226</v>
      </c>
      <c r="B1228" s="1">
        <v>45884</v>
      </c>
      <c r="C1228">
        <v>2025</v>
      </c>
      <c r="D1228">
        <v>8</v>
      </c>
      <c r="E1228" t="str">
        <f t="shared" si="19"/>
        <v>Agustus</v>
      </c>
      <c r="F1228">
        <v>3</v>
      </c>
      <c r="G1228" t="s">
        <v>1523</v>
      </c>
      <c r="H1228" t="s">
        <v>1512</v>
      </c>
      <c r="I1228" t="s">
        <v>1535</v>
      </c>
      <c r="J1228" t="s">
        <v>1566</v>
      </c>
      <c r="K1228" t="s">
        <v>1514</v>
      </c>
      <c r="L1228" s="2">
        <v>1</v>
      </c>
      <c r="M1228" s="10">
        <v>32743</v>
      </c>
      <c r="N1228" s="7">
        <v>32743</v>
      </c>
    </row>
    <row r="1229" spans="1:14" x14ac:dyDescent="0.3">
      <c r="A1229">
        <v>1227</v>
      </c>
      <c r="B1229" s="1">
        <v>45885</v>
      </c>
      <c r="C1229">
        <v>2025</v>
      </c>
      <c r="D1229">
        <v>8</v>
      </c>
      <c r="E1229" t="str">
        <f t="shared" si="19"/>
        <v>Agustus</v>
      </c>
      <c r="F1229">
        <v>3</v>
      </c>
      <c r="G1229" t="s">
        <v>1526</v>
      </c>
      <c r="H1229" t="s">
        <v>1527</v>
      </c>
      <c r="I1229" t="s">
        <v>1531</v>
      </c>
      <c r="J1229" t="s">
        <v>1524</v>
      </c>
      <c r="K1229" t="s">
        <v>1525</v>
      </c>
      <c r="L1229" s="2">
        <v>3</v>
      </c>
      <c r="M1229" s="10">
        <v>736</v>
      </c>
      <c r="N1229" s="7">
        <v>2208</v>
      </c>
    </row>
    <row r="1230" spans="1:14" x14ac:dyDescent="0.3">
      <c r="A1230">
        <v>1228</v>
      </c>
      <c r="B1230" s="1">
        <v>45886</v>
      </c>
      <c r="C1230">
        <v>2025</v>
      </c>
      <c r="D1230">
        <v>8</v>
      </c>
      <c r="E1230" t="str">
        <f t="shared" si="19"/>
        <v>Agustus</v>
      </c>
      <c r="F1230">
        <v>3</v>
      </c>
      <c r="G1230" t="s">
        <v>1529</v>
      </c>
      <c r="H1230" t="s">
        <v>1530</v>
      </c>
      <c r="I1230" t="s">
        <v>1516</v>
      </c>
      <c r="J1230" t="s">
        <v>1566</v>
      </c>
      <c r="K1230" t="s">
        <v>1525</v>
      </c>
      <c r="L1230" s="2">
        <v>4</v>
      </c>
      <c r="M1230" s="10">
        <v>1504</v>
      </c>
      <c r="N1230" s="7">
        <v>6016</v>
      </c>
    </row>
    <row r="1231" spans="1:14" x14ac:dyDescent="0.3">
      <c r="A1231">
        <v>1229</v>
      </c>
      <c r="B1231" s="1">
        <v>45887</v>
      </c>
      <c r="C1231">
        <v>2025</v>
      </c>
      <c r="D1231">
        <v>8</v>
      </c>
      <c r="E1231" t="str">
        <f t="shared" si="19"/>
        <v>Agustus</v>
      </c>
      <c r="F1231">
        <v>3</v>
      </c>
      <c r="G1231" t="s">
        <v>1532</v>
      </c>
      <c r="H1231" t="s">
        <v>1512</v>
      </c>
      <c r="I1231" t="s">
        <v>1521</v>
      </c>
      <c r="J1231" t="s">
        <v>1566</v>
      </c>
      <c r="K1231" t="s">
        <v>1514</v>
      </c>
      <c r="L1231" s="2">
        <v>2</v>
      </c>
      <c r="M1231" s="10">
        <v>7086</v>
      </c>
      <c r="N1231" s="7">
        <v>14172</v>
      </c>
    </row>
    <row r="1232" spans="1:14" x14ac:dyDescent="0.3">
      <c r="A1232">
        <v>1230</v>
      </c>
      <c r="B1232" s="1">
        <v>45888</v>
      </c>
      <c r="C1232">
        <v>2025</v>
      </c>
      <c r="D1232">
        <v>8</v>
      </c>
      <c r="E1232" t="str">
        <f t="shared" si="19"/>
        <v>Agustus</v>
      </c>
      <c r="F1232">
        <v>3</v>
      </c>
      <c r="G1232" t="s">
        <v>1533</v>
      </c>
      <c r="H1232" t="s">
        <v>1520</v>
      </c>
      <c r="I1232" t="s">
        <v>1528</v>
      </c>
      <c r="J1232" t="s">
        <v>1524</v>
      </c>
      <c r="K1232" t="s">
        <v>1518</v>
      </c>
      <c r="L1232" s="2">
        <v>1</v>
      </c>
      <c r="M1232" s="10">
        <v>783</v>
      </c>
      <c r="N1232" s="7">
        <v>783</v>
      </c>
    </row>
    <row r="1233" spans="1:14" x14ac:dyDescent="0.3">
      <c r="A1233">
        <v>1231</v>
      </c>
      <c r="B1233" s="1">
        <v>45889</v>
      </c>
      <c r="C1233">
        <v>2025</v>
      </c>
      <c r="D1233">
        <v>8</v>
      </c>
      <c r="E1233" t="str">
        <f t="shared" si="19"/>
        <v>Agustus</v>
      </c>
      <c r="F1233">
        <v>3</v>
      </c>
      <c r="G1233" t="s">
        <v>1511</v>
      </c>
      <c r="H1233" t="s">
        <v>1512</v>
      </c>
      <c r="I1233" t="s">
        <v>1521</v>
      </c>
      <c r="J1233" t="s">
        <v>1517</v>
      </c>
      <c r="K1233" t="s">
        <v>1525</v>
      </c>
      <c r="L1233" s="2">
        <v>1</v>
      </c>
      <c r="M1233" s="10">
        <v>67161</v>
      </c>
      <c r="N1233" s="7">
        <v>67161</v>
      </c>
    </row>
    <row r="1234" spans="1:14" x14ac:dyDescent="0.3">
      <c r="A1234">
        <v>1232</v>
      </c>
      <c r="B1234" s="1">
        <v>45890</v>
      </c>
      <c r="C1234">
        <v>2025</v>
      </c>
      <c r="D1234">
        <v>8</v>
      </c>
      <c r="E1234" t="str">
        <f t="shared" si="19"/>
        <v>Agustus</v>
      </c>
      <c r="F1234">
        <v>3</v>
      </c>
      <c r="G1234" t="s">
        <v>1515</v>
      </c>
      <c r="H1234" t="s">
        <v>1512</v>
      </c>
      <c r="I1234" t="s">
        <v>1513</v>
      </c>
      <c r="J1234" t="s">
        <v>1517</v>
      </c>
      <c r="K1234" t="s">
        <v>1518</v>
      </c>
      <c r="L1234" s="2">
        <v>3</v>
      </c>
      <c r="M1234" s="10">
        <v>2774</v>
      </c>
      <c r="N1234" s="7">
        <v>8322</v>
      </c>
    </row>
    <row r="1235" spans="1:14" x14ac:dyDescent="0.3">
      <c r="A1235">
        <v>1233</v>
      </c>
      <c r="B1235" s="1">
        <v>45891</v>
      </c>
      <c r="C1235">
        <v>2025</v>
      </c>
      <c r="D1235">
        <v>8</v>
      </c>
      <c r="E1235" t="str">
        <f t="shared" si="19"/>
        <v>Agustus</v>
      </c>
      <c r="F1235">
        <v>3</v>
      </c>
      <c r="G1235" t="s">
        <v>1534</v>
      </c>
      <c r="H1235" t="s">
        <v>1530</v>
      </c>
      <c r="I1235" t="s">
        <v>1516</v>
      </c>
      <c r="J1235" t="s">
        <v>1566</v>
      </c>
      <c r="K1235" t="s">
        <v>1514</v>
      </c>
      <c r="L1235" s="2">
        <v>2</v>
      </c>
      <c r="M1235" s="10">
        <v>1961</v>
      </c>
      <c r="N1235" s="7">
        <v>3922</v>
      </c>
    </row>
    <row r="1236" spans="1:14" x14ac:dyDescent="0.3">
      <c r="A1236">
        <v>1234</v>
      </c>
      <c r="B1236" s="1">
        <v>45892</v>
      </c>
      <c r="C1236">
        <v>2025</v>
      </c>
      <c r="D1236">
        <v>8</v>
      </c>
      <c r="E1236" t="str">
        <f t="shared" si="19"/>
        <v>Agustus</v>
      </c>
      <c r="F1236">
        <v>3</v>
      </c>
      <c r="G1236" t="s">
        <v>1519</v>
      </c>
      <c r="H1236" t="s">
        <v>1520</v>
      </c>
      <c r="I1236" t="s">
        <v>1528</v>
      </c>
      <c r="J1236" t="s">
        <v>1517</v>
      </c>
      <c r="K1236" t="s">
        <v>1514</v>
      </c>
      <c r="L1236" s="2">
        <v>3</v>
      </c>
      <c r="M1236" s="10">
        <v>3843</v>
      </c>
      <c r="N1236" s="7">
        <v>11529</v>
      </c>
    </row>
    <row r="1237" spans="1:14" x14ac:dyDescent="0.3">
      <c r="A1237">
        <v>1235</v>
      </c>
      <c r="B1237" s="1">
        <v>45893</v>
      </c>
      <c r="C1237">
        <v>2025</v>
      </c>
      <c r="D1237">
        <v>8</v>
      </c>
      <c r="E1237" t="str">
        <f t="shared" si="19"/>
        <v>Agustus</v>
      </c>
      <c r="F1237">
        <v>3</v>
      </c>
      <c r="G1237" t="s">
        <v>1522</v>
      </c>
      <c r="H1237" t="s">
        <v>1520</v>
      </c>
      <c r="I1237" t="s">
        <v>1535</v>
      </c>
      <c r="J1237" t="s">
        <v>1566</v>
      </c>
      <c r="K1237" t="s">
        <v>1525</v>
      </c>
      <c r="L1237" s="2">
        <v>2</v>
      </c>
      <c r="M1237" s="10">
        <v>515</v>
      </c>
      <c r="N1237" s="7">
        <v>1030</v>
      </c>
    </row>
    <row r="1238" spans="1:14" x14ac:dyDescent="0.3">
      <c r="A1238">
        <v>1236</v>
      </c>
      <c r="B1238" s="1">
        <v>45894</v>
      </c>
      <c r="C1238">
        <v>2025</v>
      </c>
      <c r="D1238">
        <v>8</v>
      </c>
      <c r="E1238" t="str">
        <f t="shared" si="19"/>
        <v>Agustus</v>
      </c>
      <c r="F1238">
        <v>3</v>
      </c>
      <c r="G1238" t="s">
        <v>1523</v>
      </c>
      <c r="H1238" t="s">
        <v>1512</v>
      </c>
      <c r="I1238" t="s">
        <v>1528</v>
      </c>
      <c r="J1238" t="s">
        <v>1517</v>
      </c>
      <c r="K1238" t="s">
        <v>1525</v>
      </c>
      <c r="L1238" s="2">
        <v>2</v>
      </c>
      <c r="M1238" s="10">
        <v>18773</v>
      </c>
      <c r="N1238" s="7">
        <v>37546</v>
      </c>
    </row>
    <row r="1239" spans="1:14" x14ac:dyDescent="0.3">
      <c r="A1239">
        <v>1237</v>
      </c>
      <c r="B1239" s="1">
        <v>45895</v>
      </c>
      <c r="C1239">
        <v>2025</v>
      </c>
      <c r="D1239">
        <v>8</v>
      </c>
      <c r="E1239" t="str">
        <f t="shared" si="19"/>
        <v>Agustus</v>
      </c>
      <c r="F1239">
        <v>3</v>
      </c>
      <c r="G1239" t="s">
        <v>1526</v>
      </c>
      <c r="H1239" t="s">
        <v>1527</v>
      </c>
      <c r="I1239" t="s">
        <v>1528</v>
      </c>
      <c r="J1239" t="s">
        <v>1517</v>
      </c>
      <c r="K1239" t="s">
        <v>1514</v>
      </c>
      <c r="L1239" s="2">
        <v>2</v>
      </c>
      <c r="M1239" s="10">
        <v>418</v>
      </c>
      <c r="N1239" s="7">
        <v>836</v>
      </c>
    </row>
    <row r="1240" spans="1:14" x14ac:dyDescent="0.3">
      <c r="A1240">
        <v>1238</v>
      </c>
      <c r="B1240" s="1">
        <v>45896</v>
      </c>
      <c r="C1240">
        <v>2025</v>
      </c>
      <c r="D1240">
        <v>8</v>
      </c>
      <c r="E1240" t="str">
        <f t="shared" si="19"/>
        <v>Agustus</v>
      </c>
      <c r="F1240">
        <v>3</v>
      </c>
      <c r="G1240" t="s">
        <v>1529</v>
      </c>
      <c r="H1240" t="s">
        <v>1530</v>
      </c>
      <c r="I1240" t="s">
        <v>1535</v>
      </c>
      <c r="J1240" t="s">
        <v>1524</v>
      </c>
      <c r="K1240" t="s">
        <v>1514</v>
      </c>
      <c r="L1240" s="2">
        <v>2</v>
      </c>
      <c r="M1240" s="10">
        <v>996</v>
      </c>
      <c r="N1240" s="7">
        <v>1992</v>
      </c>
    </row>
    <row r="1241" spans="1:14" x14ac:dyDescent="0.3">
      <c r="A1241">
        <v>1239</v>
      </c>
      <c r="B1241" s="1">
        <v>45897</v>
      </c>
      <c r="C1241">
        <v>2025</v>
      </c>
      <c r="D1241">
        <v>8</v>
      </c>
      <c r="E1241" t="str">
        <f t="shared" si="19"/>
        <v>Agustus</v>
      </c>
      <c r="F1241">
        <v>3</v>
      </c>
      <c r="G1241" t="s">
        <v>1532</v>
      </c>
      <c r="H1241" t="s">
        <v>1512</v>
      </c>
      <c r="I1241" t="s">
        <v>1528</v>
      </c>
      <c r="J1241" t="s">
        <v>1566</v>
      </c>
      <c r="K1241" t="s">
        <v>1518</v>
      </c>
      <c r="L1241" s="2">
        <v>2</v>
      </c>
      <c r="M1241" s="10">
        <v>12569</v>
      </c>
      <c r="N1241" s="7">
        <v>25138</v>
      </c>
    </row>
    <row r="1242" spans="1:14" x14ac:dyDescent="0.3">
      <c r="A1242">
        <v>1240</v>
      </c>
      <c r="B1242" s="1">
        <v>45898</v>
      </c>
      <c r="C1242">
        <v>2025</v>
      </c>
      <c r="D1242">
        <v>8</v>
      </c>
      <c r="E1242" t="str">
        <f t="shared" si="19"/>
        <v>Agustus</v>
      </c>
      <c r="F1242">
        <v>3</v>
      </c>
      <c r="G1242" t="s">
        <v>1533</v>
      </c>
      <c r="H1242" t="s">
        <v>1520</v>
      </c>
      <c r="I1242" t="s">
        <v>1516</v>
      </c>
      <c r="J1242" t="s">
        <v>1524</v>
      </c>
      <c r="K1242" t="s">
        <v>1514</v>
      </c>
      <c r="L1242" s="2">
        <v>3</v>
      </c>
      <c r="M1242" s="10">
        <v>241</v>
      </c>
      <c r="N1242" s="7">
        <v>723</v>
      </c>
    </row>
    <row r="1243" spans="1:14" x14ac:dyDescent="0.3">
      <c r="A1243">
        <v>1241</v>
      </c>
      <c r="B1243" s="1">
        <v>45899</v>
      </c>
      <c r="C1243">
        <v>2025</v>
      </c>
      <c r="D1243">
        <v>8</v>
      </c>
      <c r="E1243" t="str">
        <f t="shared" si="19"/>
        <v>Agustus</v>
      </c>
      <c r="F1243">
        <v>3</v>
      </c>
      <c r="G1243" t="s">
        <v>1511</v>
      </c>
      <c r="H1243" t="s">
        <v>1512</v>
      </c>
      <c r="I1243" t="s">
        <v>1521</v>
      </c>
      <c r="J1243" t="s">
        <v>1517</v>
      </c>
      <c r="K1243" t="s">
        <v>1518</v>
      </c>
      <c r="L1243" s="2">
        <v>1</v>
      </c>
      <c r="M1243" s="10">
        <v>51561</v>
      </c>
      <c r="N1243" s="7">
        <v>51561</v>
      </c>
    </row>
    <row r="1244" spans="1:14" x14ac:dyDescent="0.3">
      <c r="A1244">
        <v>1242</v>
      </c>
      <c r="B1244" s="1">
        <v>45900</v>
      </c>
      <c r="C1244">
        <v>2025</v>
      </c>
      <c r="D1244">
        <v>8</v>
      </c>
      <c r="E1244" t="str">
        <f t="shared" si="19"/>
        <v>Agustus</v>
      </c>
      <c r="F1244">
        <v>3</v>
      </c>
      <c r="G1244" t="s">
        <v>1515</v>
      </c>
      <c r="H1244" t="s">
        <v>1512</v>
      </c>
      <c r="I1244" t="s">
        <v>1516</v>
      </c>
      <c r="J1244" t="s">
        <v>1566</v>
      </c>
      <c r="K1244" t="s">
        <v>1514</v>
      </c>
      <c r="L1244" s="2">
        <v>3</v>
      </c>
      <c r="M1244" s="10">
        <v>2846</v>
      </c>
      <c r="N1244" s="7">
        <v>8538</v>
      </c>
    </row>
    <row r="1245" spans="1:14" x14ac:dyDescent="0.3">
      <c r="A1245">
        <v>1243</v>
      </c>
      <c r="B1245" s="1">
        <v>45901</v>
      </c>
      <c r="C1245">
        <v>2025</v>
      </c>
      <c r="D1245">
        <v>9</v>
      </c>
      <c r="E1245" t="str">
        <f t="shared" si="19"/>
        <v>September</v>
      </c>
      <c r="F1245">
        <v>3</v>
      </c>
      <c r="G1245" t="s">
        <v>1534</v>
      </c>
      <c r="H1245" t="s">
        <v>1530</v>
      </c>
      <c r="I1245" t="s">
        <v>1528</v>
      </c>
      <c r="J1245" t="s">
        <v>1566</v>
      </c>
      <c r="K1245" t="s">
        <v>1518</v>
      </c>
      <c r="L1245" s="2">
        <v>2</v>
      </c>
      <c r="M1245" s="10">
        <v>1792</v>
      </c>
      <c r="N1245" s="7">
        <v>3584</v>
      </c>
    </row>
    <row r="1246" spans="1:14" x14ac:dyDescent="0.3">
      <c r="A1246">
        <v>1244</v>
      </c>
      <c r="B1246" s="1">
        <v>45902</v>
      </c>
      <c r="C1246">
        <v>2025</v>
      </c>
      <c r="D1246">
        <v>9</v>
      </c>
      <c r="E1246" t="str">
        <f t="shared" si="19"/>
        <v>September</v>
      </c>
      <c r="F1246">
        <v>3</v>
      </c>
      <c r="G1246" t="s">
        <v>1519</v>
      </c>
      <c r="H1246" t="s">
        <v>1520</v>
      </c>
      <c r="I1246" t="s">
        <v>1528</v>
      </c>
      <c r="J1246" t="s">
        <v>1566</v>
      </c>
      <c r="K1246" t="s">
        <v>1518</v>
      </c>
      <c r="L1246" s="2">
        <v>1</v>
      </c>
      <c r="M1246" s="10">
        <v>17414</v>
      </c>
      <c r="N1246" s="7">
        <v>17414</v>
      </c>
    </row>
    <row r="1247" spans="1:14" x14ac:dyDescent="0.3">
      <c r="A1247">
        <v>1245</v>
      </c>
      <c r="B1247" s="1">
        <v>45903</v>
      </c>
      <c r="C1247">
        <v>2025</v>
      </c>
      <c r="D1247">
        <v>9</v>
      </c>
      <c r="E1247" t="str">
        <f t="shared" si="19"/>
        <v>September</v>
      </c>
      <c r="F1247">
        <v>3</v>
      </c>
      <c r="G1247" t="s">
        <v>1522</v>
      </c>
      <c r="H1247" t="s">
        <v>1520</v>
      </c>
      <c r="I1247" t="s">
        <v>1535</v>
      </c>
      <c r="J1247" t="s">
        <v>1517</v>
      </c>
      <c r="K1247" t="s">
        <v>1525</v>
      </c>
      <c r="L1247" s="2">
        <v>5</v>
      </c>
      <c r="M1247" s="10">
        <v>417</v>
      </c>
      <c r="N1247" s="7">
        <v>2085</v>
      </c>
    </row>
    <row r="1248" spans="1:14" x14ac:dyDescent="0.3">
      <c r="A1248">
        <v>1246</v>
      </c>
      <c r="B1248" s="1">
        <v>45904</v>
      </c>
      <c r="C1248">
        <v>2025</v>
      </c>
      <c r="D1248">
        <v>9</v>
      </c>
      <c r="E1248" t="str">
        <f t="shared" si="19"/>
        <v>September</v>
      </c>
      <c r="F1248">
        <v>3</v>
      </c>
      <c r="G1248" t="s">
        <v>1523</v>
      </c>
      <c r="H1248" t="s">
        <v>1512</v>
      </c>
      <c r="I1248" t="s">
        <v>1521</v>
      </c>
      <c r="J1248" t="s">
        <v>1566</v>
      </c>
      <c r="K1248" t="s">
        <v>1518</v>
      </c>
      <c r="L1248" s="2">
        <v>1</v>
      </c>
      <c r="M1248" s="10">
        <v>32293</v>
      </c>
      <c r="N1248" s="7">
        <v>32293</v>
      </c>
    </row>
    <row r="1249" spans="1:14" x14ac:dyDescent="0.3">
      <c r="A1249">
        <v>1247</v>
      </c>
      <c r="B1249" s="1">
        <v>45905</v>
      </c>
      <c r="C1249">
        <v>2025</v>
      </c>
      <c r="D1249">
        <v>9</v>
      </c>
      <c r="E1249" t="str">
        <f t="shared" si="19"/>
        <v>September</v>
      </c>
      <c r="F1249">
        <v>3</v>
      </c>
      <c r="G1249" t="s">
        <v>1526</v>
      </c>
      <c r="H1249" t="s">
        <v>1527</v>
      </c>
      <c r="I1249" t="s">
        <v>1535</v>
      </c>
      <c r="J1249" t="s">
        <v>1524</v>
      </c>
      <c r="K1249" t="s">
        <v>1525</v>
      </c>
      <c r="L1249" s="2">
        <v>2</v>
      </c>
      <c r="M1249" s="10">
        <v>750</v>
      </c>
      <c r="N1249" s="7">
        <v>1500</v>
      </c>
    </row>
    <row r="1250" spans="1:14" x14ac:dyDescent="0.3">
      <c r="A1250">
        <v>1248</v>
      </c>
      <c r="B1250" s="1">
        <v>45906</v>
      </c>
      <c r="C1250">
        <v>2025</v>
      </c>
      <c r="D1250">
        <v>9</v>
      </c>
      <c r="E1250" t="str">
        <f t="shared" si="19"/>
        <v>September</v>
      </c>
      <c r="F1250">
        <v>3</v>
      </c>
      <c r="G1250" t="s">
        <v>1529</v>
      </c>
      <c r="H1250" t="s">
        <v>1530</v>
      </c>
      <c r="I1250" t="s">
        <v>1535</v>
      </c>
      <c r="J1250" t="s">
        <v>1566</v>
      </c>
      <c r="K1250" t="s">
        <v>1525</v>
      </c>
      <c r="L1250" s="2">
        <v>3</v>
      </c>
      <c r="M1250" s="10">
        <v>1702</v>
      </c>
      <c r="N1250" s="7">
        <v>5106</v>
      </c>
    </row>
    <row r="1251" spans="1:14" x14ac:dyDescent="0.3">
      <c r="A1251">
        <v>1249</v>
      </c>
      <c r="B1251" s="1">
        <v>45907</v>
      </c>
      <c r="C1251">
        <v>2025</v>
      </c>
      <c r="D1251">
        <v>9</v>
      </c>
      <c r="E1251" t="str">
        <f t="shared" si="19"/>
        <v>September</v>
      </c>
      <c r="F1251">
        <v>3</v>
      </c>
      <c r="G1251" t="s">
        <v>1532</v>
      </c>
      <c r="H1251" t="s">
        <v>1512</v>
      </c>
      <c r="I1251" t="s">
        <v>1516</v>
      </c>
      <c r="J1251" t="s">
        <v>1517</v>
      </c>
      <c r="K1251" t="s">
        <v>1514</v>
      </c>
      <c r="L1251" s="2">
        <v>1</v>
      </c>
      <c r="M1251" s="10">
        <v>10698</v>
      </c>
      <c r="N1251" s="7">
        <v>10698</v>
      </c>
    </row>
    <row r="1252" spans="1:14" x14ac:dyDescent="0.3">
      <c r="A1252">
        <v>1250</v>
      </c>
      <c r="B1252" s="1">
        <v>45908</v>
      </c>
      <c r="C1252">
        <v>2025</v>
      </c>
      <c r="D1252">
        <v>9</v>
      </c>
      <c r="E1252" t="str">
        <f t="shared" si="19"/>
        <v>September</v>
      </c>
      <c r="F1252">
        <v>3</v>
      </c>
      <c r="G1252" t="s">
        <v>1533</v>
      </c>
      <c r="H1252" t="s">
        <v>1520</v>
      </c>
      <c r="I1252" t="s">
        <v>1516</v>
      </c>
      <c r="J1252" t="s">
        <v>1566</v>
      </c>
      <c r="K1252" t="s">
        <v>1518</v>
      </c>
      <c r="L1252" s="2">
        <v>3</v>
      </c>
      <c r="M1252" s="10">
        <v>468</v>
      </c>
      <c r="N1252" s="7">
        <v>1404</v>
      </c>
    </row>
    <row r="1253" spans="1:14" x14ac:dyDescent="0.3">
      <c r="A1253">
        <v>1251</v>
      </c>
      <c r="B1253" s="1">
        <v>45909</v>
      </c>
      <c r="C1253">
        <v>2025</v>
      </c>
      <c r="D1253">
        <v>9</v>
      </c>
      <c r="E1253" t="str">
        <f t="shared" si="19"/>
        <v>September</v>
      </c>
      <c r="F1253">
        <v>3</v>
      </c>
      <c r="G1253" t="s">
        <v>1511</v>
      </c>
      <c r="H1253" t="s">
        <v>1512</v>
      </c>
      <c r="I1253" t="s">
        <v>1521</v>
      </c>
      <c r="J1253" t="s">
        <v>1517</v>
      </c>
      <c r="K1253" t="s">
        <v>1525</v>
      </c>
      <c r="L1253" s="2">
        <v>2</v>
      </c>
      <c r="M1253" s="10">
        <v>57310</v>
      </c>
      <c r="N1253" s="7">
        <v>114620</v>
      </c>
    </row>
    <row r="1254" spans="1:14" x14ac:dyDescent="0.3">
      <c r="A1254">
        <v>1252</v>
      </c>
      <c r="B1254" s="1">
        <v>45910</v>
      </c>
      <c r="C1254">
        <v>2025</v>
      </c>
      <c r="D1254">
        <v>9</v>
      </c>
      <c r="E1254" t="str">
        <f t="shared" si="19"/>
        <v>September</v>
      </c>
      <c r="F1254">
        <v>3</v>
      </c>
      <c r="G1254" t="s">
        <v>1515</v>
      </c>
      <c r="H1254" t="s">
        <v>1512</v>
      </c>
      <c r="I1254" t="s">
        <v>1535</v>
      </c>
      <c r="J1254" t="s">
        <v>1517</v>
      </c>
      <c r="K1254" t="s">
        <v>1525</v>
      </c>
      <c r="L1254" s="2">
        <v>1</v>
      </c>
      <c r="M1254" s="10">
        <v>1155</v>
      </c>
      <c r="N1254" s="7">
        <v>1155</v>
      </c>
    </row>
    <row r="1255" spans="1:14" x14ac:dyDescent="0.3">
      <c r="A1255">
        <v>1253</v>
      </c>
      <c r="B1255" s="1">
        <v>45911</v>
      </c>
      <c r="C1255">
        <v>2025</v>
      </c>
      <c r="D1255">
        <v>9</v>
      </c>
      <c r="E1255" t="str">
        <f t="shared" si="19"/>
        <v>September</v>
      </c>
      <c r="F1255">
        <v>3</v>
      </c>
      <c r="G1255" t="s">
        <v>1534</v>
      </c>
      <c r="H1255" t="s">
        <v>1530</v>
      </c>
      <c r="I1255" t="s">
        <v>1521</v>
      </c>
      <c r="J1255" t="s">
        <v>1517</v>
      </c>
      <c r="K1255" t="s">
        <v>1518</v>
      </c>
      <c r="L1255" s="2">
        <v>1</v>
      </c>
      <c r="M1255" s="10">
        <v>3955</v>
      </c>
      <c r="N1255" s="7">
        <v>3955</v>
      </c>
    </row>
    <row r="1256" spans="1:14" x14ac:dyDescent="0.3">
      <c r="A1256">
        <v>1254</v>
      </c>
      <c r="B1256" s="1">
        <v>45912</v>
      </c>
      <c r="C1256">
        <v>2025</v>
      </c>
      <c r="D1256">
        <v>9</v>
      </c>
      <c r="E1256" t="str">
        <f t="shared" si="19"/>
        <v>September</v>
      </c>
      <c r="F1256">
        <v>3</v>
      </c>
      <c r="G1256" t="s">
        <v>1519</v>
      </c>
      <c r="H1256" t="s">
        <v>1520</v>
      </c>
      <c r="I1256" t="s">
        <v>1521</v>
      </c>
      <c r="J1256" t="s">
        <v>1524</v>
      </c>
      <c r="K1256" t="s">
        <v>1525</v>
      </c>
      <c r="L1256" s="2">
        <v>2</v>
      </c>
      <c r="M1256" s="10">
        <v>11560</v>
      </c>
      <c r="N1256" s="7">
        <v>23120</v>
      </c>
    </row>
    <row r="1257" spans="1:14" x14ac:dyDescent="0.3">
      <c r="A1257">
        <v>1255</v>
      </c>
      <c r="B1257" s="1">
        <v>45913</v>
      </c>
      <c r="C1257">
        <v>2025</v>
      </c>
      <c r="D1257">
        <v>9</v>
      </c>
      <c r="E1257" t="str">
        <f t="shared" si="19"/>
        <v>September</v>
      </c>
      <c r="F1257">
        <v>3</v>
      </c>
      <c r="G1257" t="s">
        <v>1522</v>
      </c>
      <c r="H1257" t="s">
        <v>1520</v>
      </c>
      <c r="I1257" t="s">
        <v>1521</v>
      </c>
      <c r="J1257" t="s">
        <v>1517</v>
      </c>
      <c r="K1257" t="s">
        <v>1518</v>
      </c>
      <c r="L1257" s="2">
        <v>3</v>
      </c>
      <c r="M1257" s="10">
        <v>457</v>
      </c>
      <c r="N1257" s="7">
        <v>1371</v>
      </c>
    </row>
    <row r="1258" spans="1:14" x14ac:dyDescent="0.3">
      <c r="A1258">
        <v>1256</v>
      </c>
      <c r="B1258" s="1">
        <v>45914</v>
      </c>
      <c r="C1258">
        <v>2025</v>
      </c>
      <c r="D1258">
        <v>9</v>
      </c>
      <c r="E1258" t="str">
        <f t="shared" si="19"/>
        <v>September</v>
      </c>
      <c r="F1258">
        <v>3</v>
      </c>
      <c r="G1258" t="s">
        <v>1523</v>
      </c>
      <c r="H1258" t="s">
        <v>1512</v>
      </c>
      <c r="I1258" t="s">
        <v>1535</v>
      </c>
      <c r="J1258" t="s">
        <v>1517</v>
      </c>
      <c r="K1258" t="s">
        <v>1514</v>
      </c>
      <c r="L1258" s="2">
        <v>2</v>
      </c>
      <c r="M1258" s="10">
        <v>22337</v>
      </c>
      <c r="N1258" s="7">
        <v>44674</v>
      </c>
    </row>
    <row r="1259" spans="1:14" x14ac:dyDescent="0.3">
      <c r="A1259">
        <v>1257</v>
      </c>
      <c r="B1259" s="1">
        <v>45915</v>
      </c>
      <c r="C1259">
        <v>2025</v>
      </c>
      <c r="D1259">
        <v>9</v>
      </c>
      <c r="E1259" t="str">
        <f t="shared" si="19"/>
        <v>September</v>
      </c>
      <c r="F1259">
        <v>3</v>
      </c>
      <c r="G1259" t="s">
        <v>1526</v>
      </c>
      <c r="H1259" t="s">
        <v>1527</v>
      </c>
      <c r="I1259" t="s">
        <v>1535</v>
      </c>
      <c r="J1259" t="s">
        <v>1524</v>
      </c>
      <c r="K1259" t="s">
        <v>1525</v>
      </c>
      <c r="L1259" s="2">
        <v>5</v>
      </c>
      <c r="M1259" s="10">
        <v>379</v>
      </c>
      <c r="N1259" s="7">
        <v>1895</v>
      </c>
    </row>
    <row r="1260" spans="1:14" x14ac:dyDescent="0.3">
      <c r="A1260">
        <v>1258</v>
      </c>
      <c r="B1260" s="1">
        <v>45916</v>
      </c>
      <c r="C1260">
        <v>2025</v>
      </c>
      <c r="D1260">
        <v>9</v>
      </c>
      <c r="E1260" t="str">
        <f t="shared" si="19"/>
        <v>September</v>
      </c>
      <c r="F1260">
        <v>3</v>
      </c>
      <c r="G1260" t="s">
        <v>1529</v>
      </c>
      <c r="H1260" t="s">
        <v>1530</v>
      </c>
      <c r="I1260" t="s">
        <v>1513</v>
      </c>
      <c r="J1260" t="s">
        <v>1517</v>
      </c>
      <c r="K1260" t="s">
        <v>1514</v>
      </c>
      <c r="L1260" s="2">
        <v>5</v>
      </c>
      <c r="M1260" s="10">
        <v>667</v>
      </c>
      <c r="N1260" s="7">
        <v>3335</v>
      </c>
    </row>
    <row r="1261" spans="1:14" x14ac:dyDescent="0.3">
      <c r="A1261">
        <v>1259</v>
      </c>
      <c r="B1261" s="1">
        <v>45917</v>
      </c>
      <c r="C1261">
        <v>2025</v>
      </c>
      <c r="D1261">
        <v>9</v>
      </c>
      <c r="E1261" t="str">
        <f t="shared" si="19"/>
        <v>September</v>
      </c>
      <c r="F1261">
        <v>3</v>
      </c>
      <c r="G1261" t="s">
        <v>1532</v>
      </c>
      <c r="H1261" t="s">
        <v>1512</v>
      </c>
      <c r="I1261" t="s">
        <v>1528</v>
      </c>
      <c r="J1261" t="s">
        <v>1517</v>
      </c>
      <c r="K1261" t="s">
        <v>1518</v>
      </c>
      <c r="L1261" s="2">
        <v>2</v>
      </c>
      <c r="M1261" s="10">
        <v>13263</v>
      </c>
      <c r="N1261" s="7">
        <v>26526</v>
      </c>
    </row>
    <row r="1262" spans="1:14" x14ac:dyDescent="0.3">
      <c r="A1262">
        <v>1260</v>
      </c>
      <c r="B1262" s="1">
        <v>45918</v>
      </c>
      <c r="C1262">
        <v>2025</v>
      </c>
      <c r="D1262">
        <v>9</v>
      </c>
      <c r="E1262" t="str">
        <f t="shared" si="19"/>
        <v>September</v>
      </c>
      <c r="F1262">
        <v>3</v>
      </c>
      <c r="G1262" t="s">
        <v>1533</v>
      </c>
      <c r="H1262" t="s">
        <v>1520</v>
      </c>
      <c r="I1262" t="s">
        <v>1521</v>
      </c>
      <c r="J1262" t="s">
        <v>1566</v>
      </c>
      <c r="K1262" t="s">
        <v>1518</v>
      </c>
      <c r="L1262" s="2">
        <v>4</v>
      </c>
      <c r="M1262" s="10">
        <v>503</v>
      </c>
      <c r="N1262" s="7">
        <v>2012</v>
      </c>
    </row>
    <row r="1263" spans="1:14" x14ac:dyDescent="0.3">
      <c r="A1263">
        <v>1261</v>
      </c>
      <c r="B1263" s="1">
        <v>45919</v>
      </c>
      <c r="C1263">
        <v>2025</v>
      </c>
      <c r="D1263">
        <v>9</v>
      </c>
      <c r="E1263" t="str">
        <f t="shared" si="19"/>
        <v>September</v>
      </c>
      <c r="F1263">
        <v>3</v>
      </c>
      <c r="G1263" t="s">
        <v>1511</v>
      </c>
      <c r="H1263" t="s">
        <v>1512</v>
      </c>
      <c r="I1263" t="s">
        <v>1513</v>
      </c>
      <c r="J1263" t="s">
        <v>1566</v>
      </c>
      <c r="K1263" t="s">
        <v>1514</v>
      </c>
      <c r="L1263" s="2">
        <v>1</v>
      </c>
      <c r="M1263" s="10">
        <v>53499</v>
      </c>
      <c r="N1263" s="7">
        <v>53499</v>
      </c>
    </row>
    <row r="1264" spans="1:14" x14ac:dyDescent="0.3">
      <c r="A1264">
        <v>1262</v>
      </c>
      <c r="B1264" s="1">
        <v>45920</v>
      </c>
      <c r="C1264">
        <v>2025</v>
      </c>
      <c r="D1264">
        <v>9</v>
      </c>
      <c r="E1264" t="str">
        <f t="shared" si="19"/>
        <v>September</v>
      </c>
      <c r="F1264">
        <v>3</v>
      </c>
      <c r="G1264" t="s">
        <v>1515</v>
      </c>
      <c r="H1264" t="s">
        <v>1512</v>
      </c>
      <c r="I1264" t="s">
        <v>1531</v>
      </c>
      <c r="J1264" t="s">
        <v>1566</v>
      </c>
      <c r="K1264" t="s">
        <v>1518</v>
      </c>
      <c r="L1264" s="2">
        <v>1</v>
      </c>
      <c r="M1264" s="10">
        <v>3910</v>
      </c>
      <c r="N1264" s="7">
        <v>3910</v>
      </c>
    </row>
    <row r="1265" spans="1:14" x14ac:dyDescent="0.3">
      <c r="A1265">
        <v>1263</v>
      </c>
      <c r="B1265" s="1">
        <v>45921</v>
      </c>
      <c r="C1265">
        <v>2025</v>
      </c>
      <c r="D1265">
        <v>9</v>
      </c>
      <c r="E1265" t="str">
        <f t="shared" si="19"/>
        <v>September</v>
      </c>
      <c r="F1265">
        <v>3</v>
      </c>
      <c r="G1265" t="s">
        <v>1534</v>
      </c>
      <c r="H1265" t="s">
        <v>1530</v>
      </c>
      <c r="I1265" t="s">
        <v>1528</v>
      </c>
      <c r="J1265" t="s">
        <v>1524</v>
      </c>
      <c r="K1265" t="s">
        <v>1514</v>
      </c>
      <c r="L1265" s="2">
        <v>1</v>
      </c>
      <c r="M1265" s="10">
        <v>3590</v>
      </c>
      <c r="N1265" s="7">
        <v>3590</v>
      </c>
    </row>
    <row r="1266" spans="1:14" x14ac:dyDescent="0.3">
      <c r="A1266">
        <v>1264</v>
      </c>
      <c r="B1266" s="1">
        <v>45922</v>
      </c>
      <c r="C1266">
        <v>2025</v>
      </c>
      <c r="D1266">
        <v>9</v>
      </c>
      <c r="E1266" t="str">
        <f t="shared" si="19"/>
        <v>September</v>
      </c>
      <c r="F1266">
        <v>3</v>
      </c>
      <c r="G1266" t="s">
        <v>1519</v>
      </c>
      <c r="H1266" t="s">
        <v>1520</v>
      </c>
      <c r="I1266" t="s">
        <v>1531</v>
      </c>
      <c r="J1266" t="s">
        <v>1524</v>
      </c>
      <c r="K1266" t="s">
        <v>1518</v>
      </c>
      <c r="L1266" s="2">
        <v>5</v>
      </c>
      <c r="M1266" s="10">
        <v>4354</v>
      </c>
      <c r="N1266" s="7">
        <v>21770</v>
      </c>
    </row>
    <row r="1267" spans="1:14" x14ac:dyDescent="0.3">
      <c r="A1267">
        <v>1265</v>
      </c>
      <c r="B1267" s="1">
        <v>45923</v>
      </c>
      <c r="C1267">
        <v>2025</v>
      </c>
      <c r="D1267">
        <v>9</v>
      </c>
      <c r="E1267" t="str">
        <f t="shared" si="19"/>
        <v>September</v>
      </c>
      <c r="F1267">
        <v>3</v>
      </c>
      <c r="G1267" t="s">
        <v>1522</v>
      </c>
      <c r="H1267" t="s">
        <v>1520</v>
      </c>
      <c r="I1267" t="s">
        <v>1513</v>
      </c>
      <c r="J1267" t="s">
        <v>1566</v>
      </c>
      <c r="K1267" t="s">
        <v>1514</v>
      </c>
      <c r="L1267" s="2">
        <v>1</v>
      </c>
      <c r="M1267" s="10">
        <v>878</v>
      </c>
      <c r="N1267" s="7">
        <v>878</v>
      </c>
    </row>
    <row r="1268" spans="1:14" x14ac:dyDescent="0.3">
      <c r="A1268">
        <v>1266</v>
      </c>
      <c r="B1268" s="1">
        <v>45924</v>
      </c>
      <c r="C1268">
        <v>2025</v>
      </c>
      <c r="D1268">
        <v>9</v>
      </c>
      <c r="E1268" t="str">
        <f t="shared" si="19"/>
        <v>September</v>
      </c>
      <c r="F1268">
        <v>3</v>
      </c>
      <c r="G1268" t="s">
        <v>1523</v>
      </c>
      <c r="H1268" t="s">
        <v>1512</v>
      </c>
      <c r="I1268" t="s">
        <v>1535</v>
      </c>
      <c r="J1268" t="s">
        <v>1524</v>
      </c>
      <c r="K1268" t="s">
        <v>1525</v>
      </c>
      <c r="L1268" s="2">
        <v>1</v>
      </c>
      <c r="M1268" s="10">
        <v>28657</v>
      </c>
      <c r="N1268" s="7">
        <v>28657</v>
      </c>
    </row>
    <row r="1269" spans="1:14" x14ac:dyDescent="0.3">
      <c r="A1269">
        <v>1267</v>
      </c>
      <c r="B1269" s="1">
        <v>45925</v>
      </c>
      <c r="C1269">
        <v>2025</v>
      </c>
      <c r="D1269">
        <v>9</v>
      </c>
      <c r="E1269" t="str">
        <f t="shared" si="19"/>
        <v>September</v>
      </c>
      <c r="F1269">
        <v>3</v>
      </c>
      <c r="G1269" t="s">
        <v>1526</v>
      </c>
      <c r="H1269" t="s">
        <v>1527</v>
      </c>
      <c r="I1269" t="s">
        <v>1516</v>
      </c>
      <c r="J1269" t="s">
        <v>1566</v>
      </c>
      <c r="K1269" t="s">
        <v>1525</v>
      </c>
      <c r="L1269" s="2">
        <v>1</v>
      </c>
      <c r="M1269" s="10">
        <v>394</v>
      </c>
      <c r="N1269" s="7">
        <v>394</v>
      </c>
    </row>
    <row r="1270" spans="1:14" x14ac:dyDescent="0.3">
      <c r="A1270">
        <v>1268</v>
      </c>
      <c r="B1270" s="1">
        <v>45926</v>
      </c>
      <c r="C1270">
        <v>2025</v>
      </c>
      <c r="D1270">
        <v>9</v>
      </c>
      <c r="E1270" t="str">
        <f t="shared" si="19"/>
        <v>September</v>
      </c>
      <c r="F1270">
        <v>3</v>
      </c>
      <c r="G1270" t="s">
        <v>1529</v>
      </c>
      <c r="H1270" t="s">
        <v>1530</v>
      </c>
      <c r="I1270" t="s">
        <v>1528</v>
      </c>
      <c r="J1270" t="s">
        <v>1566</v>
      </c>
      <c r="K1270" t="s">
        <v>1518</v>
      </c>
      <c r="L1270" s="2">
        <v>3</v>
      </c>
      <c r="M1270" s="10">
        <v>1554</v>
      </c>
      <c r="N1270" s="7">
        <v>4662</v>
      </c>
    </row>
    <row r="1271" spans="1:14" x14ac:dyDescent="0.3">
      <c r="A1271">
        <v>1269</v>
      </c>
      <c r="B1271" s="1">
        <v>45927</v>
      </c>
      <c r="C1271">
        <v>2025</v>
      </c>
      <c r="D1271">
        <v>9</v>
      </c>
      <c r="E1271" t="str">
        <f t="shared" si="19"/>
        <v>September</v>
      </c>
      <c r="F1271">
        <v>3</v>
      </c>
      <c r="G1271" t="s">
        <v>1532</v>
      </c>
      <c r="H1271" t="s">
        <v>1512</v>
      </c>
      <c r="I1271" t="s">
        <v>1531</v>
      </c>
      <c r="J1271" t="s">
        <v>1524</v>
      </c>
      <c r="K1271" t="s">
        <v>1518</v>
      </c>
      <c r="L1271" s="2">
        <v>1</v>
      </c>
      <c r="M1271" s="10">
        <v>4066</v>
      </c>
      <c r="N1271" s="7">
        <v>4066</v>
      </c>
    </row>
    <row r="1272" spans="1:14" x14ac:dyDescent="0.3">
      <c r="A1272">
        <v>1270</v>
      </c>
      <c r="B1272" s="1">
        <v>45928</v>
      </c>
      <c r="C1272">
        <v>2025</v>
      </c>
      <c r="D1272">
        <v>9</v>
      </c>
      <c r="E1272" t="str">
        <f t="shared" si="19"/>
        <v>September</v>
      </c>
      <c r="F1272">
        <v>3</v>
      </c>
      <c r="G1272" t="s">
        <v>1533</v>
      </c>
      <c r="H1272" t="s">
        <v>1520</v>
      </c>
      <c r="I1272" t="s">
        <v>1516</v>
      </c>
      <c r="J1272" t="s">
        <v>1517</v>
      </c>
      <c r="K1272" t="s">
        <v>1518</v>
      </c>
      <c r="L1272" s="2">
        <v>5</v>
      </c>
      <c r="M1272" s="10">
        <v>210</v>
      </c>
      <c r="N1272" s="7">
        <v>1050</v>
      </c>
    </row>
    <row r="1273" spans="1:14" x14ac:dyDescent="0.3">
      <c r="A1273">
        <v>1271</v>
      </c>
      <c r="B1273" s="1">
        <v>45929</v>
      </c>
      <c r="C1273">
        <v>2025</v>
      </c>
      <c r="D1273">
        <v>9</v>
      </c>
      <c r="E1273" t="str">
        <f t="shared" si="19"/>
        <v>September</v>
      </c>
      <c r="F1273">
        <v>3</v>
      </c>
      <c r="G1273" t="s">
        <v>1511</v>
      </c>
      <c r="H1273" t="s">
        <v>1512</v>
      </c>
      <c r="I1273" t="s">
        <v>1531</v>
      </c>
      <c r="J1273" t="s">
        <v>1524</v>
      </c>
      <c r="K1273" t="s">
        <v>1514</v>
      </c>
      <c r="L1273" s="2">
        <v>1</v>
      </c>
      <c r="M1273" s="10">
        <v>40792</v>
      </c>
      <c r="N1273" s="7">
        <v>40792</v>
      </c>
    </row>
    <row r="1274" spans="1:14" x14ac:dyDescent="0.3">
      <c r="A1274">
        <v>1272</v>
      </c>
      <c r="B1274" s="1">
        <v>45930</v>
      </c>
      <c r="C1274">
        <v>2025</v>
      </c>
      <c r="D1274">
        <v>9</v>
      </c>
      <c r="E1274" t="str">
        <f t="shared" si="19"/>
        <v>September</v>
      </c>
      <c r="F1274">
        <v>3</v>
      </c>
      <c r="G1274" t="s">
        <v>1515</v>
      </c>
      <c r="H1274" t="s">
        <v>1512</v>
      </c>
      <c r="I1274" t="s">
        <v>1516</v>
      </c>
      <c r="J1274" t="s">
        <v>1517</v>
      </c>
      <c r="K1274" t="s">
        <v>1514</v>
      </c>
      <c r="L1274" s="2">
        <v>2</v>
      </c>
      <c r="M1274" s="10">
        <v>3380</v>
      </c>
      <c r="N1274" s="7">
        <v>6760</v>
      </c>
    </row>
    <row r="1275" spans="1:14" x14ac:dyDescent="0.3">
      <c r="A1275">
        <v>1273</v>
      </c>
      <c r="B1275" s="1">
        <v>45931</v>
      </c>
      <c r="C1275">
        <v>2025</v>
      </c>
      <c r="D1275">
        <v>10</v>
      </c>
      <c r="E1275" t="str">
        <f t="shared" si="19"/>
        <v>Oktober</v>
      </c>
      <c r="F1275">
        <v>4</v>
      </c>
      <c r="G1275" t="s">
        <v>1534</v>
      </c>
      <c r="H1275" t="s">
        <v>1530</v>
      </c>
      <c r="I1275" t="s">
        <v>1528</v>
      </c>
      <c r="J1275" t="s">
        <v>1566</v>
      </c>
      <c r="K1275" t="s">
        <v>1514</v>
      </c>
      <c r="L1275" s="2">
        <v>2</v>
      </c>
      <c r="M1275" s="10">
        <v>1061</v>
      </c>
      <c r="N1275" s="7">
        <v>2122</v>
      </c>
    </row>
    <row r="1276" spans="1:14" x14ac:dyDescent="0.3">
      <c r="A1276">
        <v>1274</v>
      </c>
      <c r="B1276" s="1">
        <v>45932</v>
      </c>
      <c r="C1276">
        <v>2025</v>
      </c>
      <c r="D1276">
        <v>10</v>
      </c>
      <c r="E1276" t="str">
        <f t="shared" si="19"/>
        <v>Oktober</v>
      </c>
      <c r="F1276">
        <v>4</v>
      </c>
      <c r="G1276" t="s">
        <v>1519</v>
      </c>
      <c r="H1276" t="s">
        <v>1520</v>
      </c>
      <c r="I1276" t="s">
        <v>1528</v>
      </c>
      <c r="J1276" t="s">
        <v>1524</v>
      </c>
      <c r="K1276" t="s">
        <v>1518</v>
      </c>
      <c r="L1276" s="2">
        <v>5</v>
      </c>
      <c r="M1276" s="10">
        <v>9610</v>
      </c>
      <c r="N1276" s="7">
        <v>48050</v>
      </c>
    </row>
    <row r="1277" spans="1:14" x14ac:dyDescent="0.3">
      <c r="A1277">
        <v>1275</v>
      </c>
      <c r="B1277" s="1">
        <v>45933</v>
      </c>
      <c r="C1277">
        <v>2025</v>
      </c>
      <c r="D1277">
        <v>10</v>
      </c>
      <c r="E1277" t="str">
        <f t="shared" si="19"/>
        <v>Oktober</v>
      </c>
      <c r="F1277">
        <v>4</v>
      </c>
      <c r="G1277" t="s">
        <v>1522</v>
      </c>
      <c r="H1277" t="s">
        <v>1520</v>
      </c>
      <c r="I1277" t="s">
        <v>1516</v>
      </c>
      <c r="J1277" t="s">
        <v>1524</v>
      </c>
      <c r="K1277" t="s">
        <v>1518</v>
      </c>
      <c r="L1277" s="2">
        <v>1</v>
      </c>
      <c r="M1277" s="10">
        <v>901</v>
      </c>
      <c r="N1277" s="7">
        <v>901</v>
      </c>
    </row>
    <row r="1278" spans="1:14" x14ac:dyDescent="0.3">
      <c r="A1278">
        <v>1276</v>
      </c>
      <c r="B1278" s="1">
        <v>45934</v>
      </c>
      <c r="C1278">
        <v>2025</v>
      </c>
      <c r="D1278">
        <v>10</v>
      </c>
      <c r="E1278" t="str">
        <f t="shared" si="19"/>
        <v>Oktober</v>
      </c>
      <c r="F1278">
        <v>4</v>
      </c>
      <c r="G1278" t="s">
        <v>1523</v>
      </c>
      <c r="H1278" t="s">
        <v>1512</v>
      </c>
      <c r="I1278" t="s">
        <v>1521</v>
      </c>
      <c r="J1278" t="s">
        <v>1524</v>
      </c>
      <c r="K1278" t="s">
        <v>1514</v>
      </c>
      <c r="L1278" s="2">
        <v>2</v>
      </c>
      <c r="M1278" s="10">
        <v>18752</v>
      </c>
      <c r="N1278" s="7">
        <v>37504</v>
      </c>
    </row>
    <row r="1279" spans="1:14" x14ac:dyDescent="0.3">
      <c r="A1279">
        <v>1277</v>
      </c>
      <c r="B1279" s="1">
        <v>45935</v>
      </c>
      <c r="C1279">
        <v>2025</v>
      </c>
      <c r="D1279">
        <v>10</v>
      </c>
      <c r="E1279" t="str">
        <f t="shared" si="19"/>
        <v>Oktober</v>
      </c>
      <c r="F1279">
        <v>4</v>
      </c>
      <c r="G1279" t="s">
        <v>1526</v>
      </c>
      <c r="H1279" t="s">
        <v>1527</v>
      </c>
      <c r="I1279" t="s">
        <v>1516</v>
      </c>
      <c r="J1279" t="s">
        <v>1566</v>
      </c>
      <c r="K1279" t="s">
        <v>1514</v>
      </c>
      <c r="L1279" s="2">
        <v>1</v>
      </c>
      <c r="M1279" s="10">
        <v>129</v>
      </c>
      <c r="N1279" s="7">
        <v>129</v>
      </c>
    </row>
    <row r="1280" spans="1:14" x14ac:dyDescent="0.3">
      <c r="A1280">
        <v>1278</v>
      </c>
      <c r="B1280" s="1">
        <v>45936</v>
      </c>
      <c r="C1280">
        <v>2025</v>
      </c>
      <c r="D1280">
        <v>10</v>
      </c>
      <c r="E1280" t="str">
        <f t="shared" si="19"/>
        <v>Oktober</v>
      </c>
      <c r="F1280">
        <v>4</v>
      </c>
      <c r="G1280" t="s">
        <v>1529</v>
      </c>
      <c r="H1280" t="s">
        <v>1530</v>
      </c>
      <c r="I1280" t="s">
        <v>1528</v>
      </c>
      <c r="J1280" t="s">
        <v>1566</v>
      </c>
      <c r="K1280" t="s">
        <v>1518</v>
      </c>
      <c r="L1280" s="2">
        <v>1</v>
      </c>
      <c r="M1280" s="10">
        <v>828</v>
      </c>
      <c r="N1280" s="7">
        <v>828</v>
      </c>
    </row>
    <row r="1281" spans="1:14" x14ac:dyDescent="0.3">
      <c r="A1281">
        <v>1279</v>
      </c>
      <c r="B1281" s="1">
        <v>45937</v>
      </c>
      <c r="C1281">
        <v>2025</v>
      </c>
      <c r="D1281">
        <v>10</v>
      </c>
      <c r="E1281" t="str">
        <f t="shared" si="19"/>
        <v>Oktober</v>
      </c>
      <c r="F1281">
        <v>4</v>
      </c>
      <c r="G1281" t="s">
        <v>1532</v>
      </c>
      <c r="H1281" t="s">
        <v>1512</v>
      </c>
      <c r="I1281" t="s">
        <v>1531</v>
      </c>
      <c r="J1281" t="s">
        <v>1517</v>
      </c>
      <c r="K1281" t="s">
        <v>1518</v>
      </c>
      <c r="L1281" s="2">
        <v>2</v>
      </c>
      <c r="M1281" s="10">
        <v>4999</v>
      </c>
      <c r="N1281" s="7">
        <v>9998</v>
      </c>
    </row>
    <row r="1282" spans="1:14" x14ac:dyDescent="0.3">
      <c r="A1282">
        <v>1280</v>
      </c>
      <c r="B1282" s="1">
        <v>45938</v>
      </c>
      <c r="C1282">
        <v>2025</v>
      </c>
      <c r="D1282">
        <v>10</v>
      </c>
      <c r="E1282" t="str">
        <f t="shared" si="19"/>
        <v>Oktober</v>
      </c>
      <c r="F1282">
        <v>4</v>
      </c>
      <c r="G1282" t="s">
        <v>1533</v>
      </c>
      <c r="H1282" t="s">
        <v>1520</v>
      </c>
      <c r="I1282" t="s">
        <v>1521</v>
      </c>
      <c r="J1282" t="s">
        <v>1517</v>
      </c>
      <c r="K1282" t="s">
        <v>1514</v>
      </c>
      <c r="L1282" s="2">
        <v>4</v>
      </c>
      <c r="M1282" s="10">
        <v>677</v>
      </c>
      <c r="N1282" s="7">
        <v>2708</v>
      </c>
    </row>
    <row r="1283" spans="1:14" x14ac:dyDescent="0.3">
      <c r="A1283">
        <v>1281</v>
      </c>
      <c r="B1283" s="1">
        <v>45939</v>
      </c>
      <c r="C1283">
        <v>2025</v>
      </c>
      <c r="D1283">
        <v>10</v>
      </c>
      <c r="E1283" t="str">
        <f t="shared" ref="E1283:E1346" si="20">TEXT(DATE(2026, D1283, 1), "[$-id-ID]mmmm")</f>
        <v>Oktober</v>
      </c>
      <c r="F1283">
        <v>4</v>
      </c>
      <c r="G1283" t="s">
        <v>1511</v>
      </c>
      <c r="H1283" t="s">
        <v>1512</v>
      </c>
      <c r="I1283" t="s">
        <v>1528</v>
      </c>
      <c r="J1283" t="s">
        <v>1524</v>
      </c>
      <c r="K1283" t="s">
        <v>1514</v>
      </c>
      <c r="L1283" s="2">
        <v>1</v>
      </c>
      <c r="M1283" s="10">
        <v>47291</v>
      </c>
      <c r="N1283" s="7">
        <v>47291</v>
      </c>
    </row>
    <row r="1284" spans="1:14" x14ac:dyDescent="0.3">
      <c r="A1284">
        <v>1282</v>
      </c>
      <c r="B1284" s="1">
        <v>45940</v>
      </c>
      <c r="C1284">
        <v>2025</v>
      </c>
      <c r="D1284">
        <v>10</v>
      </c>
      <c r="E1284" t="str">
        <f t="shared" si="20"/>
        <v>Oktober</v>
      </c>
      <c r="F1284">
        <v>4</v>
      </c>
      <c r="G1284" t="s">
        <v>1515</v>
      </c>
      <c r="H1284" t="s">
        <v>1512</v>
      </c>
      <c r="I1284" t="s">
        <v>1521</v>
      </c>
      <c r="J1284" t="s">
        <v>1524</v>
      </c>
      <c r="K1284" t="s">
        <v>1514</v>
      </c>
      <c r="L1284" s="2">
        <v>3</v>
      </c>
      <c r="M1284" s="10">
        <v>2127</v>
      </c>
      <c r="N1284" s="7">
        <v>6381</v>
      </c>
    </row>
    <row r="1285" spans="1:14" x14ac:dyDescent="0.3">
      <c r="A1285">
        <v>1283</v>
      </c>
      <c r="B1285" s="1">
        <v>45941</v>
      </c>
      <c r="C1285">
        <v>2025</v>
      </c>
      <c r="D1285">
        <v>10</v>
      </c>
      <c r="E1285" t="str">
        <f t="shared" si="20"/>
        <v>Oktober</v>
      </c>
      <c r="F1285">
        <v>4</v>
      </c>
      <c r="G1285" t="s">
        <v>1534</v>
      </c>
      <c r="H1285" t="s">
        <v>1530</v>
      </c>
      <c r="I1285" t="s">
        <v>1516</v>
      </c>
      <c r="J1285" t="s">
        <v>1517</v>
      </c>
      <c r="K1285" t="s">
        <v>1514</v>
      </c>
      <c r="L1285" s="2">
        <v>3</v>
      </c>
      <c r="M1285" s="10">
        <v>2869</v>
      </c>
      <c r="N1285" s="7">
        <v>8607</v>
      </c>
    </row>
    <row r="1286" spans="1:14" x14ac:dyDescent="0.3">
      <c r="A1286">
        <v>1284</v>
      </c>
      <c r="B1286" s="1">
        <v>45942</v>
      </c>
      <c r="C1286">
        <v>2025</v>
      </c>
      <c r="D1286">
        <v>10</v>
      </c>
      <c r="E1286" t="str">
        <f t="shared" si="20"/>
        <v>Oktober</v>
      </c>
      <c r="F1286">
        <v>4</v>
      </c>
      <c r="G1286" t="s">
        <v>1519</v>
      </c>
      <c r="H1286" t="s">
        <v>1520</v>
      </c>
      <c r="I1286" t="s">
        <v>1531</v>
      </c>
      <c r="J1286" t="s">
        <v>1524</v>
      </c>
      <c r="K1286" t="s">
        <v>1525</v>
      </c>
      <c r="L1286" s="2">
        <v>3</v>
      </c>
      <c r="M1286" s="10">
        <v>7361</v>
      </c>
      <c r="N1286" s="7">
        <v>22083</v>
      </c>
    </row>
    <row r="1287" spans="1:14" x14ac:dyDescent="0.3">
      <c r="A1287">
        <v>1285</v>
      </c>
      <c r="B1287" s="1">
        <v>45943</v>
      </c>
      <c r="C1287">
        <v>2025</v>
      </c>
      <c r="D1287">
        <v>10</v>
      </c>
      <c r="E1287" t="str">
        <f t="shared" si="20"/>
        <v>Oktober</v>
      </c>
      <c r="F1287">
        <v>4</v>
      </c>
      <c r="G1287" t="s">
        <v>1522</v>
      </c>
      <c r="H1287" t="s">
        <v>1520</v>
      </c>
      <c r="I1287" t="s">
        <v>1516</v>
      </c>
      <c r="J1287" t="s">
        <v>1517</v>
      </c>
      <c r="K1287" t="s">
        <v>1518</v>
      </c>
      <c r="L1287" s="2">
        <v>5</v>
      </c>
      <c r="M1287" s="10">
        <v>828</v>
      </c>
      <c r="N1287" s="7">
        <v>4140</v>
      </c>
    </row>
    <row r="1288" spans="1:14" x14ac:dyDescent="0.3">
      <c r="A1288">
        <v>1286</v>
      </c>
      <c r="B1288" s="1">
        <v>45944</v>
      </c>
      <c r="C1288">
        <v>2025</v>
      </c>
      <c r="D1288">
        <v>10</v>
      </c>
      <c r="E1288" t="str">
        <f t="shared" si="20"/>
        <v>Oktober</v>
      </c>
      <c r="F1288">
        <v>4</v>
      </c>
      <c r="G1288" t="s">
        <v>1523</v>
      </c>
      <c r="H1288" t="s">
        <v>1512</v>
      </c>
      <c r="I1288" t="s">
        <v>1528</v>
      </c>
      <c r="J1288" t="s">
        <v>1517</v>
      </c>
      <c r="K1288" t="s">
        <v>1518</v>
      </c>
      <c r="L1288" s="2">
        <v>1</v>
      </c>
      <c r="M1288" s="10">
        <v>16337</v>
      </c>
      <c r="N1288" s="7">
        <v>16337</v>
      </c>
    </row>
    <row r="1289" spans="1:14" x14ac:dyDescent="0.3">
      <c r="A1289">
        <v>1287</v>
      </c>
      <c r="B1289" s="1">
        <v>45945</v>
      </c>
      <c r="C1289">
        <v>2025</v>
      </c>
      <c r="D1289">
        <v>10</v>
      </c>
      <c r="E1289" t="str">
        <f t="shared" si="20"/>
        <v>Oktober</v>
      </c>
      <c r="F1289">
        <v>4</v>
      </c>
      <c r="G1289" t="s">
        <v>1526</v>
      </c>
      <c r="H1289" t="s">
        <v>1527</v>
      </c>
      <c r="I1289" t="s">
        <v>1513</v>
      </c>
      <c r="J1289" t="s">
        <v>1566</v>
      </c>
      <c r="K1289" t="s">
        <v>1514</v>
      </c>
      <c r="L1289" s="2">
        <v>3</v>
      </c>
      <c r="M1289" s="10">
        <v>295</v>
      </c>
      <c r="N1289" s="7">
        <v>885</v>
      </c>
    </row>
    <row r="1290" spans="1:14" x14ac:dyDescent="0.3">
      <c r="A1290">
        <v>1288</v>
      </c>
      <c r="B1290" s="1">
        <v>45946</v>
      </c>
      <c r="C1290">
        <v>2025</v>
      </c>
      <c r="D1290">
        <v>10</v>
      </c>
      <c r="E1290" t="str">
        <f t="shared" si="20"/>
        <v>Oktober</v>
      </c>
      <c r="F1290">
        <v>4</v>
      </c>
      <c r="G1290" t="s">
        <v>1529</v>
      </c>
      <c r="H1290" t="s">
        <v>1530</v>
      </c>
      <c r="I1290" t="s">
        <v>1535</v>
      </c>
      <c r="J1290" t="s">
        <v>1566</v>
      </c>
      <c r="K1290" t="s">
        <v>1518</v>
      </c>
      <c r="L1290" s="2">
        <v>2</v>
      </c>
      <c r="M1290" s="10">
        <v>1486</v>
      </c>
      <c r="N1290" s="7">
        <v>2972</v>
      </c>
    </row>
    <row r="1291" spans="1:14" x14ac:dyDescent="0.3">
      <c r="A1291">
        <v>1289</v>
      </c>
      <c r="B1291" s="1">
        <v>45947</v>
      </c>
      <c r="C1291">
        <v>2025</v>
      </c>
      <c r="D1291">
        <v>10</v>
      </c>
      <c r="E1291" t="str">
        <f t="shared" si="20"/>
        <v>Oktober</v>
      </c>
      <c r="F1291">
        <v>4</v>
      </c>
      <c r="G1291" t="s">
        <v>1532</v>
      </c>
      <c r="H1291" t="s">
        <v>1512</v>
      </c>
      <c r="I1291" t="s">
        <v>1535</v>
      </c>
      <c r="J1291" t="s">
        <v>1566</v>
      </c>
      <c r="K1291" t="s">
        <v>1525</v>
      </c>
      <c r="L1291" s="2">
        <v>2</v>
      </c>
      <c r="M1291" s="10">
        <v>12872</v>
      </c>
      <c r="N1291" s="7">
        <v>25744</v>
      </c>
    </row>
    <row r="1292" spans="1:14" x14ac:dyDescent="0.3">
      <c r="A1292">
        <v>1290</v>
      </c>
      <c r="B1292" s="1">
        <v>45948</v>
      </c>
      <c r="C1292">
        <v>2025</v>
      </c>
      <c r="D1292">
        <v>10</v>
      </c>
      <c r="E1292" t="str">
        <f t="shared" si="20"/>
        <v>Oktober</v>
      </c>
      <c r="F1292">
        <v>4</v>
      </c>
      <c r="G1292" t="s">
        <v>1533</v>
      </c>
      <c r="H1292" t="s">
        <v>1520</v>
      </c>
      <c r="I1292" t="s">
        <v>1521</v>
      </c>
      <c r="J1292" t="s">
        <v>1517</v>
      </c>
      <c r="K1292" t="s">
        <v>1518</v>
      </c>
      <c r="L1292" s="2">
        <v>3</v>
      </c>
      <c r="M1292" s="10">
        <v>740</v>
      </c>
      <c r="N1292" s="7">
        <v>2220</v>
      </c>
    </row>
    <row r="1293" spans="1:14" x14ac:dyDescent="0.3">
      <c r="A1293">
        <v>1291</v>
      </c>
      <c r="B1293" s="1">
        <v>45949</v>
      </c>
      <c r="C1293">
        <v>2025</v>
      </c>
      <c r="D1293">
        <v>10</v>
      </c>
      <c r="E1293" t="str">
        <f t="shared" si="20"/>
        <v>Oktober</v>
      </c>
      <c r="F1293">
        <v>4</v>
      </c>
      <c r="G1293" t="s">
        <v>1511</v>
      </c>
      <c r="H1293" t="s">
        <v>1512</v>
      </c>
      <c r="I1293" t="s">
        <v>1535</v>
      </c>
      <c r="J1293" t="s">
        <v>1517</v>
      </c>
      <c r="K1293" t="s">
        <v>1514</v>
      </c>
      <c r="L1293" s="2">
        <v>1</v>
      </c>
      <c r="M1293" s="10">
        <v>69296</v>
      </c>
      <c r="N1293" s="7">
        <v>69296</v>
      </c>
    </row>
    <row r="1294" spans="1:14" x14ac:dyDescent="0.3">
      <c r="A1294">
        <v>1292</v>
      </c>
      <c r="B1294" s="1">
        <v>45950</v>
      </c>
      <c r="C1294">
        <v>2025</v>
      </c>
      <c r="D1294">
        <v>10</v>
      </c>
      <c r="E1294" t="str">
        <f t="shared" si="20"/>
        <v>Oktober</v>
      </c>
      <c r="F1294">
        <v>4</v>
      </c>
      <c r="G1294" t="s">
        <v>1515</v>
      </c>
      <c r="H1294" t="s">
        <v>1512</v>
      </c>
      <c r="I1294" t="s">
        <v>1531</v>
      </c>
      <c r="J1294" t="s">
        <v>1566</v>
      </c>
      <c r="K1294" t="s">
        <v>1518</v>
      </c>
      <c r="L1294" s="2">
        <v>1</v>
      </c>
      <c r="M1294" s="10">
        <v>3960</v>
      </c>
      <c r="N1294" s="7">
        <v>3960</v>
      </c>
    </row>
    <row r="1295" spans="1:14" x14ac:dyDescent="0.3">
      <c r="A1295">
        <v>1293</v>
      </c>
      <c r="B1295" s="1">
        <v>45951</v>
      </c>
      <c r="C1295">
        <v>2025</v>
      </c>
      <c r="D1295">
        <v>10</v>
      </c>
      <c r="E1295" t="str">
        <f t="shared" si="20"/>
        <v>Oktober</v>
      </c>
      <c r="F1295">
        <v>4</v>
      </c>
      <c r="G1295" t="s">
        <v>1534</v>
      </c>
      <c r="H1295" t="s">
        <v>1530</v>
      </c>
      <c r="I1295" t="s">
        <v>1535</v>
      </c>
      <c r="J1295" t="s">
        <v>1566</v>
      </c>
      <c r="K1295" t="s">
        <v>1518</v>
      </c>
      <c r="L1295" s="2">
        <v>3</v>
      </c>
      <c r="M1295" s="10">
        <v>4486</v>
      </c>
      <c r="N1295" s="7">
        <v>13458</v>
      </c>
    </row>
    <row r="1296" spans="1:14" x14ac:dyDescent="0.3">
      <c r="A1296">
        <v>1294</v>
      </c>
      <c r="B1296" s="1">
        <v>45952</v>
      </c>
      <c r="C1296">
        <v>2025</v>
      </c>
      <c r="D1296">
        <v>10</v>
      </c>
      <c r="E1296" t="str">
        <f t="shared" si="20"/>
        <v>Oktober</v>
      </c>
      <c r="F1296">
        <v>4</v>
      </c>
      <c r="G1296" t="s">
        <v>1519</v>
      </c>
      <c r="H1296" t="s">
        <v>1520</v>
      </c>
      <c r="I1296" t="s">
        <v>1535</v>
      </c>
      <c r="J1296" t="s">
        <v>1566</v>
      </c>
      <c r="K1296" t="s">
        <v>1518</v>
      </c>
      <c r="L1296" s="2">
        <v>1</v>
      </c>
      <c r="M1296" s="10">
        <v>18146</v>
      </c>
      <c r="N1296" s="7">
        <v>18146</v>
      </c>
    </row>
    <row r="1297" spans="1:14" x14ac:dyDescent="0.3">
      <c r="A1297">
        <v>1295</v>
      </c>
      <c r="B1297" s="1">
        <v>45953</v>
      </c>
      <c r="C1297">
        <v>2025</v>
      </c>
      <c r="D1297">
        <v>10</v>
      </c>
      <c r="E1297" t="str">
        <f t="shared" si="20"/>
        <v>Oktober</v>
      </c>
      <c r="F1297">
        <v>4</v>
      </c>
      <c r="G1297" t="s">
        <v>1522</v>
      </c>
      <c r="H1297" t="s">
        <v>1520</v>
      </c>
      <c r="I1297" t="s">
        <v>1516</v>
      </c>
      <c r="J1297" t="s">
        <v>1517</v>
      </c>
      <c r="K1297" t="s">
        <v>1525</v>
      </c>
      <c r="L1297" s="2">
        <v>1</v>
      </c>
      <c r="M1297" s="10">
        <v>274</v>
      </c>
      <c r="N1297" s="7">
        <v>274</v>
      </c>
    </row>
    <row r="1298" spans="1:14" x14ac:dyDescent="0.3">
      <c r="A1298">
        <v>1296</v>
      </c>
      <c r="B1298" s="1">
        <v>45954</v>
      </c>
      <c r="C1298">
        <v>2025</v>
      </c>
      <c r="D1298">
        <v>10</v>
      </c>
      <c r="E1298" t="str">
        <f t="shared" si="20"/>
        <v>Oktober</v>
      </c>
      <c r="F1298">
        <v>4</v>
      </c>
      <c r="G1298" t="s">
        <v>1523</v>
      </c>
      <c r="H1298" t="s">
        <v>1512</v>
      </c>
      <c r="I1298" t="s">
        <v>1516</v>
      </c>
      <c r="J1298" t="s">
        <v>1524</v>
      </c>
      <c r="K1298" t="s">
        <v>1518</v>
      </c>
      <c r="L1298" s="2">
        <v>1</v>
      </c>
      <c r="M1298" s="10">
        <v>34548</v>
      </c>
      <c r="N1298" s="7">
        <v>34548</v>
      </c>
    </row>
    <row r="1299" spans="1:14" x14ac:dyDescent="0.3">
      <c r="A1299">
        <v>1297</v>
      </c>
      <c r="B1299" s="1">
        <v>45955</v>
      </c>
      <c r="C1299">
        <v>2025</v>
      </c>
      <c r="D1299">
        <v>10</v>
      </c>
      <c r="E1299" t="str">
        <f t="shared" si="20"/>
        <v>Oktober</v>
      </c>
      <c r="F1299">
        <v>4</v>
      </c>
      <c r="G1299" t="s">
        <v>1526</v>
      </c>
      <c r="H1299" t="s">
        <v>1527</v>
      </c>
      <c r="I1299" t="s">
        <v>1531</v>
      </c>
      <c r="J1299" t="s">
        <v>1524</v>
      </c>
      <c r="K1299" t="s">
        <v>1525</v>
      </c>
      <c r="L1299" s="2">
        <v>1</v>
      </c>
      <c r="M1299" s="10">
        <v>925</v>
      </c>
      <c r="N1299" s="7">
        <v>925</v>
      </c>
    </row>
    <row r="1300" spans="1:14" x14ac:dyDescent="0.3">
      <c r="A1300">
        <v>1298</v>
      </c>
      <c r="B1300" s="1">
        <v>45956</v>
      </c>
      <c r="C1300">
        <v>2025</v>
      </c>
      <c r="D1300">
        <v>10</v>
      </c>
      <c r="E1300" t="str">
        <f t="shared" si="20"/>
        <v>Oktober</v>
      </c>
      <c r="F1300">
        <v>4</v>
      </c>
      <c r="G1300" t="s">
        <v>1529</v>
      </c>
      <c r="H1300" t="s">
        <v>1530</v>
      </c>
      <c r="I1300" t="s">
        <v>1535</v>
      </c>
      <c r="J1300" t="s">
        <v>1517</v>
      </c>
      <c r="K1300" t="s">
        <v>1525</v>
      </c>
      <c r="L1300" s="2">
        <v>4</v>
      </c>
      <c r="M1300" s="10">
        <v>899</v>
      </c>
      <c r="N1300" s="7">
        <v>3596</v>
      </c>
    </row>
    <row r="1301" spans="1:14" x14ac:dyDescent="0.3">
      <c r="A1301">
        <v>1299</v>
      </c>
      <c r="B1301" s="1">
        <v>45957</v>
      </c>
      <c r="C1301">
        <v>2025</v>
      </c>
      <c r="D1301">
        <v>10</v>
      </c>
      <c r="E1301" t="str">
        <f t="shared" si="20"/>
        <v>Oktober</v>
      </c>
      <c r="F1301">
        <v>4</v>
      </c>
      <c r="G1301" t="s">
        <v>1532</v>
      </c>
      <c r="H1301" t="s">
        <v>1512</v>
      </c>
      <c r="I1301" t="s">
        <v>1528</v>
      </c>
      <c r="J1301" t="s">
        <v>1517</v>
      </c>
      <c r="K1301" t="s">
        <v>1514</v>
      </c>
      <c r="L1301" s="2">
        <v>2</v>
      </c>
      <c r="M1301" s="10">
        <v>11888</v>
      </c>
      <c r="N1301" s="7">
        <v>23776</v>
      </c>
    </row>
    <row r="1302" spans="1:14" x14ac:dyDescent="0.3">
      <c r="A1302">
        <v>1300</v>
      </c>
      <c r="B1302" s="1">
        <v>45958</v>
      </c>
      <c r="C1302">
        <v>2025</v>
      </c>
      <c r="D1302">
        <v>10</v>
      </c>
      <c r="E1302" t="str">
        <f t="shared" si="20"/>
        <v>Oktober</v>
      </c>
      <c r="F1302">
        <v>4</v>
      </c>
      <c r="G1302" t="s">
        <v>1533</v>
      </c>
      <c r="H1302" t="s">
        <v>1520</v>
      </c>
      <c r="I1302" t="s">
        <v>1528</v>
      </c>
      <c r="J1302" t="s">
        <v>1524</v>
      </c>
      <c r="K1302" t="s">
        <v>1514</v>
      </c>
      <c r="L1302" s="2">
        <v>3</v>
      </c>
      <c r="M1302" s="10">
        <v>551</v>
      </c>
      <c r="N1302" s="7">
        <v>1653</v>
      </c>
    </row>
    <row r="1303" spans="1:14" x14ac:dyDescent="0.3">
      <c r="A1303">
        <v>1301</v>
      </c>
      <c r="B1303" s="1">
        <v>45959</v>
      </c>
      <c r="C1303">
        <v>2025</v>
      </c>
      <c r="D1303">
        <v>10</v>
      </c>
      <c r="E1303" t="str">
        <f t="shared" si="20"/>
        <v>Oktober</v>
      </c>
      <c r="F1303">
        <v>4</v>
      </c>
      <c r="G1303" t="s">
        <v>1511</v>
      </c>
      <c r="H1303" t="s">
        <v>1512</v>
      </c>
      <c r="I1303" t="s">
        <v>1516</v>
      </c>
      <c r="J1303" t="s">
        <v>1517</v>
      </c>
      <c r="K1303" t="s">
        <v>1525</v>
      </c>
      <c r="L1303" s="2">
        <v>1</v>
      </c>
      <c r="M1303" s="10">
        <v>57645</v>
      </c>
      <c r="N1303" s="7">
        <v>57645</v>
      </c>
    </row>
    <row r="1304" spans="1:14" x14ac:dyDescent="0.3">
      <c r="A1304">
        <v>1302</v>
      </c>
      <c r="B1304" s="1">
        <v>45960</v>
      </c>
      <c r="C1304">
        <v>2025</v>
      </c>
      <c r="D1304">
        <v>10</v>
      </c>
      <c r="E1304" t="str">
        <f t="shared" si="20"/>
        <v>Oktober</v>
      </c>
      <c r="F1304">
        <v>4</v>
      </c>
      <c r="G1304" t="s">
        <v>1515</v>
      </c>
      <c r="H1304" t="s">
        <v>1512</v>
      </c>
      <c r="I1304" t="s">
        <v>1516</v>
      </c>
      <c r="J1304" t="s">
        <v>1566</v>
      </c>
      <c r="K1304" t="s">
        <v>1514</v>
      </c>
      <c r="L1304" s="2">
        <v>2</v>
      </c>
      <c r="M1304" s="10">
        <v>3967</v>
      </c>
      <c r="N1304" s="7">
        <v>7934</v>
      </c>
    </row>
    <row r="1305" spans="1:14" x14ac:dyDescent="0.3">
      <c r="A1305">
        <v>1303</v>
      </c>
      <c r="B1305" s="1">
        <v>45961</v>
      </c>
      <c r="C1305">
        <v>2025</v>
      </c>
      <c r="D1305">
        <v>10</v>
      </c>
      <c r="E1305" t="str">
        <f t="shared" si="20"/>
        <v>Oktober</v>
      </c>
      <c r="F1305">
        <v>4</v>
      </c>
      <c r="G1305" t="s">
        <v>1534</v>
      </c>
      <c r="H1305" t="s">
        <v>1530</v>
      </c>
      <c r="I1305" t="s">
        <v>1516</v>
      </c>
      <c r="J1305" t="s">
        <v>1566</v>
      </c>
      <c r="K1305" t="s">
        <v>1518</v>
      </c>
      <c r="L1305" s="2">
        <v>1</v>
      </c>
      <c r="M1305" s="10">
        <v>4593</v>
      </c>
      <c r="N1305" s="7">
        <v>4593</v>
      </c>
    </row>
    <row r="1306" spans="1:14" x14ac:dyDescent="0.3">
      <c r="A1306">
        <v>1304</v>
      </c>
      <c r="B1306" s="1">
        <v>45962</v>
      </c>
      <c r="C1306">
        <v>2025</v>
      </c>
      <c r="D1306">
        <v>11</v>
      </c>
      <c r="E1306" t="str">
        <f t="shared" si="20"/>
        <v>November</v>
      </c>
      <c r="F1306">
        <v>4</v>
      </c>
      <c r="G1306" t="s">
        <v>1519</v>
      </c>
      <c r="H1306" t="s">
        <v>1520</v>
      </c>
      <c r="I1306" t="s">
        <v>1516</v>
      </c>
      <c r="J1306" t="s">
        <v>1517</v>
      </c>
      <c r="K1306" t="s">
        <v>1525</v>
      </c>
      <c r="L1306" s="2">
        <v>4</v>
      </c>
      <c r="M1306" s="10">
        <v>5728</v>
      </c>
      <c r="N1306" s="7">
        <v>22912</v>
      </c>
    </row>
    <row r="1307" spans="1:14" x14ac:dyDescent="0.3">
      <c r="A1307">
        <v>1305</v>
      </c>
      <c r="B1307" s="1">
        <v>45963</v>
      </c>
      <c r="C1307">
        <v>2025</v>
      </c>
      <c r="D1307">
        <v>11</v>
      </c>
      <c r="E1307" t="str">
        <f t="shared" si="20"/>
        <v>November</v>
      </c>
      <c r="F1307">
        <v>4</v>
      </c>
      <c r="G1307" t="s">
        <v>1522</v>
      </c>
      <c r="H1307" t="s">
        <v>1520</v>
      </c>
      <c r="I1307" t="s">
        <v>1535</v>
      </c>
      <c r="J1307" t="s">
        <v>1517</v>
      </c>
      <c r="K1307" t="s">
        <v>1525</v>
      </c>
      <c r="L1307" s="2">
        <v>2</v>
      </c>
      <c r="M1307" s="10">
        <v>498</v>
      </c>
      <c r="N1307" s="7">
        <v>996</v>
      </c>
    </row>
    <row r="1308" spans="1:14" x14ac:dyDescent="0.3">
      <c r="A1308">
        <v>1306</v>
      </c>
      <c r="B1308" s="1">
        <v>45964</v>
      </c>
      <c r="C1308">
        <v>2025</v>
      </c>
      <c r="D1308">
        <v>11</v>
      </c>
      <c r="E1308" t="str">
        <f t="shared" si="20"/>
        <v>November</v>
      </c>
      <c r="F1308">
        <v>4</v>
      </c>
      <c r="G1308" t="s">
        <v>1523</v>
      </c>
      <c r="H1308" t="s">
        <v>1512</v>
      </c>
      <c r="I1308" t="s">
        <v>1531</v>
      </c>
      <c r="J1308" t="s">
        <v>1517</v>
      </c>
      <c r="K1308" t="s">
        <v>1518</v>
      </c>
      <c r="L1308" s="2">
        <v>2</v>
      </c>
      <c r="M1308" s="10">
        <v>39710</v>
      </c>
      <c r="N1308" s="7">
        <v>79420</v>
      </c>
    </row>
    <row r="1309" spans="1:14" x14ac:dyDescent="0.3">
      <c r="A1309">
        <v>1307</v>
      </c>
      <c r="B1309" s="1">
        <v>45965</v>
      </c>
      <c r="C1309">
        <v>2025</v>
      </c>
      <c r="D1309">
        <v>11</v>
      </c>
      <c r="E1309" t="str">
        <f t="shared" si="20"/>
        <v>November</v>
      </c>
      <c r="F1309">
        <v>4</v>
      </c>
      <c r="G1309" t="s">
        <v>1526</v>
      </c>
      <c r="H1309" t="s">
        <v>1527</v>
      </c>
      <c r="I1309" t="s">
        <v>1516</v>
      </c>
      <c r="J1309" t="s">
        <v>1566</v>
      </c>
      <c r="K1309" t="s">
        <v>1514</v>
      </c>
      <c r="L1309" s="2">
        <v>3</v>
      </c>
      <c r="M1309" s="10">
        <v>197</v>
      </c>
      <c r="N1309" s="7">
        <v>591</v>
      </c>
    </row>
    <row r="1310" spans="1:14" x14ac:dyDescent="0.3">
      <c r="A1310">
        <v>1308</v>
      </c>
      <c r="B1310" s="1">
        <v>45966</v>
      </c>
      <c r="C1310">
        <v>2025</v>
      </c>
      <c r="D1310">
        <v>11</v>
      </c>
      <c r="E1310" t="str">
        <f t="shared" si="20"/>
        <v>November</v>
      </c>
      <c r="F1310">
        <v>4</v>
      </c>
      <c r="G1310" t="s">
        <v>1529</v>
      </c>
      <c r="H1310" t="s">
        <v>1530</v>
      </c>
      <c r="I1310" t="s">
        <v>1528</v>
      </c>
      <c r="J1310" t="s">
        <v>1517</v>
      </c>
      <c r="K1310" t="s">
        <v>1518</v>
      </c>
      <c r="L1310" s="2">
        <v>2</v>
      </c>
      <c r="M1310" s="10">
        <v>1815</v>
      </c>
      <c r="N1310" s="7">
        <v>3630</v>
      </c>
    </row>
    <row r="1311" spans="1:14" x14ac:dyDescent="0.3">
      <c r="A1311">
        <v>1309</v>
      </c>
      <c r="B1311" s="1">
        <v>45967</v>
      </c>
      <c r="C1311">
        <v>2025</v>
      </c>
      <c r="D1311">
        <v>11</v>
      </c>
      <c r="E1311" t="str">
        <f t="shared" si="20"/>
        <v>November</v>
      </c>
      <c r="F1311">
        <v>4</v>
      </c>
      <c r="G1311" t="s">
        <v>1532</v>
      </c>
      <c r="H1311" t="s">
        <v>1512</v>
      </c>
      <c r="I1311" t="s">
        <v>1513</v>
      </c>
      <c r="J1311" t="s">
        <v>1566</v>
      </c>
      <c r="K1311" t="s">
        <v>1518</v>
      </c>
      <c r="L1311" s="2">
        <v>2</v>
      </c>
      <c r="M1311" s="10">
        <v>3949</v>
      </c>
      <c r="N1311" s="7">
        <v>7898</v>
      </c>
    </row>
    <row r="1312" spans="1:14" x14ac:dyDescent="0.3">
      <c r="A1312">
        <v>1310</v>
      </c>
      <c r="B1312" s="1">
        <v>45968</v>
      </c>
      <c r="C1312">
        <v>2025</v>
      </c>
      <c r="D1312">
        <v>11</v>
      </c>
      <c r="E1312" t="str">
        <f t="shared" si="20"/>
        <v>November</v>
      </c>
      <c r="F1312">
        <v>4</v>
      </c>
      <c r="G1312" t="s">
        <v>1533</v>
      </c>
      <c r="H1312" t="s">
        <v>1520</v>
      </c>
      <c r="I1312" t="s">
        <v>1531</v>
      </c>
      <c r="J1312" t="s">
        <v>1517</v>
      </c>
      <c r="K1312" t="s">
        <v>1525</v>
      </c>
      <c r="L1312" s="2">
        <v>1</v>
      </c>
      <c r="M1312" s="10">
        <v>208</v>
      </c>
      <c r="N1312" s="7">
        <v>208</v>
      </c>
    </row>
    <row r="1313" spans="1:14" x14ac:dyDescent="0.3">
      <c r="A1313">
        <v>1311</v>
      </c>
      <c r="B1313" s="1">
        <v>45969</v>
      </c>
      <c r="C1313">
        <v>2025</v>
      </c>
      <c r="D1313">
        <v>11</v>
      </c>
      <c r="E1313" t="str">
        <f t="shared" si="20"/>
        <v>November</v>
      </c>
      <c r="F1313">
        <v>4</v>
      </c>
      <c r="G1313" t="s">
        <v>1511</v>
      </c>
      <c r="H1313" t="s">
        <v>1512</v>
      </c>
      <c r="I1313" t="s">
        <v>1531</v>
      </c>
      <c r="J1313" t="s">
        <v>1517</v>
      </c>
      <c r="K1313" t="s">
        <v>1525</v>
      </c>
      <c r="L1313" s="2">
        <v>1</v>
      </c>
      <c r="M1313" s="10">
        <v>50605</v>
      </c>
      <c r="N1313" s="7">
        <v>50605</v>
      </c>
    </row>
    <row r="1314" spans="1:14" x14ac:dyDescent="0.3">
      <c r="A1314">
        <v>1312</v>
      </c>
      <c r="B1314" s="1">
        <v>45970</v>
      </c>
      <c r="C1314">
        <v>2025</v>
      </c>
      <c r="D1314">
        <v>11</v>
      </c>
      <c r="E1314" t="str">
        <f t="shared" si="20"/>
        <v>November</v>
      </c>
      <c r="F1314">
        <v>4</v>
      </c>
      <c r="G1314" t="s">
        <v>1515</v>
      </c>
      <c r="H1314" t="s">
        <v>1512</v>
      </c>
      <c r="I1314" t="s">
        <v>1528</v>
      </c>
      <c r="J1314" t="s">
        <v>1517</v>
      </c>
      <c r="K1314" t="s">
        <v>1525</v>
      </c>
      <c r="L1314" s="2">
        <v>3</v>
      </c>
      <c r="M1314" s="10">
        <v>4319</v>
      </c>
      <c r="N1314" s="7">
        <v>12957</v>
      </c>
    </row>
    <row r="1315" spans="1:14" x14ac:dyDescent="0.3">
      <c r="A1315">
        <v>1313</v>
      </c>
      <c r="B1315" s="1">
        <v>45971</v>
      </c>
      <c r="C1315">
        <v>2025</v>
      </c>
      <c r="D1315">
        <v>11</v>
      </c>
      <c r="E1315" t="str">
        <f t="shared" si="20"/>
        <v>November</v>
      </c>
      <c r="F1315">
        <v>4</v>
      </c>
      <c r="G1315" t="s">
        <v>1534</v>
      </c>
      <c r="H1315" t="s">
        <v>1530</v>
      </c>
      <c r="I1315" t="s">
        <v>1516</v>
      </c>
      <c r="J1315" t="s">
        <v>1517</v>
      </c>
      <c r="K1315" t="s">
        <v>1514</v>
      </c>
      <c r="L1315" s="2">
        <v>1</v>
      </c>
      <c r="M1315" s="10">
        <v>3721</v>
      </c>
      <c r="N1315" s="7">
        <v>3721</v>
      </c>
    </row>
    <row r="1316" spans="1:14" x14ac:dyDescent="0.3">
      <c r="A1316">
        <v>1314</v>
      </c>
      <c r="B1316" s="1">
        <v>45972</v>
      </c>
      <c r="C1316">
        <v>2025</v>
      </c>
      <c r="D1316">
        <v>11</v>
      </c>
      <c r="E1316" t="str">
        <f t="shared" si="20"/>
        <v>November</v>
      </c>
      <c r="F1316">
        <v>4</v>
      </c>
      <c r="G1316" t="s">
        <v>1519</v>
      </c>
      <c r="H1316" t="s">
        <v>1520</v>
      </c>
      <c r="I1316" t="s">
        <v>1521</v>
      </c>
      <c r="J1316" t="s">
        <v>1566</v>
      </c>
      <c r="K1316" t="s">
        <v>1518</v>
      </c>
      <c r="L1316" s="2">
        <v>2</v>
      </c>
      <c r="M1316" s="10">
        <v>12930</v>
      </c>
      <c r="N1316" s="7">
        <v>25860</v>
      </c>
    </row>
    <row r="1317" spans="1:14" x14ac:dyDescent="0.3">
      <c r="A1317">
        <v>1315</v>
      </c>
      <c r="B1317" s="1">
        <v>45973</v>
      </c>
      <c r="C1317">
        <v>2025</v>
      </c>
      <c r="D1317">
        <v>11</v>
      </c>
      <c r="E1317" t="str">
        <f t="shared" si="20"/>
        <v>November</v>
      </c>
      <c r="F1317">
        <v>4</v>
      </c>
      <c r="G1317" t="s">
        <v>1522</v>
      </c>
      <c r="H1317" t="s">
        <v>1520</v>
      </c>
      <c r="I1317" t="s">
        <v>1521</v>
      </c>
      <c r="J1317" t="s">
        <v>1524</v>
      </c>
      <c r="K1317" t="s">
        <v>1514</v>
      </c>
      <c r="L1317" s="2">
        <v>4</v>
      </c>
      <c r="M1317" s="10">
        <v>707</v>
      </c>
      <c r="N1317" s="7">
        <v>2828</v>
      </c>
    </row>
    <row r="1318" spans="1:14" x14ac:dyDescent="0.3">
      <c r="A1318">
        <v>1316</v>
      </c>
      <c r="B1318" s="1">
        <v>45974</v>
      </c>
      <c r="C1318">
        <v>2025</v>
      </c>
      <c r="D1318">
        <v>11</v>
      </c>
      <c r="E1318" t="str">
        <f t="shared" si="20"/>
        <v>November</v>
      </c>
      <c r="F1318">
        <v>4</v>
      </c>
      <c r="G1318" t="s">
        <v>1523</v>
      </c>
      <c r="H1318" t="s">
        <v>1512</v>
      </c>
      <c r="I1318" t="s">
        <v>1528</v>
      </c>
      <c r="J1318" t="s">
        <v>1524</v>
      </c>
      <c r="K1318" t="s">
        <v>1514</v>
      </c>
      <c r="L1318" s="2">
        <v>2</v>
      </c>
      <c r="M1318" s="10">
        <v>36907</v>
      </c>
      <c r="N1318" s="7">
        <v>73814</v>
      </c>
    </row>
    <row r="1319" spans="1:14" x14ac:dyDescent="0.3">
      <c r="A1319">
        <v>1317</v>
      </c>
      <c r="B1319" s="1">
        <v>45975</v>
      </c>
      <c r="C1319">
        <v>2025</v>
      </c>
      <c r="D1319">
        <v>11</v>
      </c>
      <c r="E1319" t="str">
        <f t="shared" si="20"/>
        <v>November</v>
      </c>
      <c r="F1319">
        <v>4</v>
      </c>
      <c r="G1319" t="s">
        <v>1526</v>
      </c>
      <c r="H1319" t="s">
        <v>1527</v>
      </c>
      <c r="I1319" t="s">
        <v>1516</v>
      </c>
      <c r="J1319" t="s">
        <v>1517</v>
      </c>
      <c r="K1319" t="s">
        <v>1525</v>
      </c>
      <c r="L1319" s="2">
        <v>1</v>
      </c>
      <c r="M1319" s="10">
        <v>942</v>
      </c>
      <c r="N1319" s="7">
        <v>942</v>
      </c>
    </row>
    <row r="1320" spans="1:14" x14ac:dyDescent="0.3">
      <c r="A1320">
        <v>1318</v>
      </c>
      <c r="B1320" s="1">
        <v>45976</v>
      </c>
      <c r="C1320">
        <v>2025</v>
      </c>
      <c r="D1320">
        <v>11</v>
      </c>
      <c r="E1320" t="str">
        <f t="shared" si="20"/>
        <v>November</v>
      </c>
      <c r="F1320">
        <v>4</v>
      </c>
      <c r="G1320" t="s">
        <v>1529</v>
      </c>
      <c r="H1320" t="s">
        <v>1530</v>
      </c>
      <c r="I1320" t="s">
        <v>1531</v>
      </c>
      <c r="J1320" t="s">
        <v>1566</v>
      </c>
      <c r="K1320" t="s">
        <v>1518</v>
      </c>
      <c r="L1320" s="2">
        <v>3</v>
      </c>
      <c r="M1320" s="10">
        <v>826</v>
      </c>
      <c r="N1320" s="7">
        <v>2478</v>
      </c>
    </row>
    <row r="1321" spans="1:14" x14ac:dyDescent="0.3">
      <c r="A1321">
        <v>1319</v>
      </c>
      <c r="B1321" s="1">
        <v>45977</v>
      </c>
      <c r="C1321">
        <v>2025</v>
      </c>
      <c r="D1321">
        <v>11</v>
      </c>
      <c r="E1321" t="str">
        <f t="shared" si="20"/>
        <v>November</v>
      </c>
      <c r="F1321">
        <v>4</v>
      </c>
      <c r="G1321" t="s">
        <v>1532</v>
      </c>
      <c r="H1321" t="s">
        <v>1512</v>
      </c>
      <c r="I1321" t="s">
        <v>1528</v>
      </c>
      <c r="J1321" t="s">
        <v>1524</v>
      </c>
      <c r="K1321" t="s">
        <v>1514</v>
      </c>
      <c r="L1321" s="2">
        <v>1</v>
      </c>
      <c r="M1321" s="10">
        <v>3941</v>
      </c>
      <c r="N1321" s="7">
        <v>3941</v>
      </c>
    </row>
    <row r="1322" spans="1:14" x14ac:dyDescent="0.3">
      <c r="A1322">
        <v>1320</v>
      </c>
      <c r="B1322" s="1">
        <v>45978</v>
      </c>
      <c r="C1322">
        <v>2025</v>
      </c>
      <c r="D1322">
        <v>11</v>
      </c>
      <c r="E1322" t="str">
        <f t="shared" si="20"/>
        <v>November</v>
      </c>
      <c r="F1322">
        <v>4</v>
      </c>
      <c r="G1322" t="s">
        <v>1533</v>
      </c>
      <c r="H1322" t="s">
        <v>1520</v>
      </c>
      <c r="I1322" t="s">
        <v>1513</v>
      </c>
      <c r="J1322" t="s">
        <v>1517</v>
      </c>
      <c r="K1322" t="s">
        <v>1514</v>
      </c>
      <c r="L1322" s="2">
        <v>2</v>
      </c>
      <c r="M1322" s="10">
        <v>476</v>
      </c>
      <c r="N1322" s="7">
        <v>952</v>
      </c>
    </row>
    <row r="1323" spans="1:14" x14ac:dyDescent="0.3">
      <c r="A1323">
        <v>1321</v>
      </c>
      <c r="B1323" s="1">
        <v>45979</v>
      </c>
      <c r="C1323">
        <v>2025</v>
      </c>
      <c r="D1323">
        <v>11</v>
      </c>
      <c r="E1323" t="str">
        <f t="shared" si="20"/>
        <v>November</v>
      </c>
      <c r="F1323">
        <v>4</v>
      </c>
      <c r="G1323" t="s">
        <v>1511</v>
      </c>
      <c r="H1323" t="s">
        <v>1512</v>
      </c>
      <c r="I1323" t="s">
        <v>1521</v>
      </c>
      <c r="J1323" t="s">
        <v>1566</v>
      </c>
      <c r="K1323" t="s">
        <v>1525</v>
      </c>
      <c r="L1323" s="2">
        <v>2</v>
      </c>
      <c r="M1323" s="10">
        <v>41658</v>
      </c>
      <c r="N1323" s="7">
        <v>83316</v>
      </c>
    </row>
    <row r="1324" spans="1:14" x14ac:dyDescent="0.3">
      <c r="A1324">
        <v>1322</v>
      </c>
      <c r="B1324" s="1">
        <v>45980</v>
      </c>
      <c r="C1324">
        <v>2025</v>
      </c>
      <c r="D1324">
        <v>11</v>
      </c>
      <c r="E1324" t="str">
        <f t="shared" si="20"/>
        <v>November</v>
      </c>
      <c r="F1324">
        <v>4</v>
      </c>
      <c r="G1324" t="s">
        <v>1515</v>
      </c>
      <c r="H1324" t="s">
        <v>1512</v>
      </c>
      <c r="I1324" t="s">
        <v>1535</v>
      </c>
      <c r="J1324" t="s">
        <v>1524</v>
      </c>
      <c r="K1324" t="s">
        <v>1518</v>
      </c>
      <c r="L1324" s="2">
        <v>1</v>
      </c>
      <c r="M1324" s="10">
        <v>4084</v>
      </c>
      <c r="N1324" s="7">
        <v>4084</v>
      </c>
    </row>
    <row r="1325" spans="1:14" x14ac:dyDescent="0.3">
      <c r="A1325">
        <v>1323</v>
      </c>
      <c r="B1325" s="1">
        <v>45981</v>
      </c>
      <c r="C1325">
        <v>2025</v>
      </c>
      <c r="D1325">
        <v>11</v>
      </c>
      <c r="E1325" t="str">
        <f t="shared" si="20"/>
        <v>November</v>
      </c>
      <c r="F1325">
        <v>4</v>
      </c>
      <c r="G1325" t="s">
        <v>1534</v>
      </c>
      <c r="H1325" t="s">
        <v>1530</v>
      </c>
      <c r="I1325" t="s">
        <v>1521</v>
      </c>
      <c r="J1325" t="s">
        <v>1524</v>
      </c>
      <c r="K1325" t="s">
        <v>1518</v>
      </c>
      <c r="L1325" s="2">
        <v>3</v>
      </c>
      <c r="M1325" s="10">
        <v>3098</v>
      </c>
      <c r="N1325" s="7">
        <v>9294</v>
      </c>
    </row>
    <row r="1326" spans="1:14" x14ac:dyDescent="0.3">
      <c r="A1326">
        <v>1324</v>
      </c>
      <c r="B1326" s="1">
        <v>45982</v>
      </c>
      <c r="C1326">
        <v>2025</v>
      </c>
      <c r="D1326">
        <v>11</v>
      </c>
      <c r="E1326" t="str">
        <f t="shared" si="20"/>
        <v>November</v>
      </c>
      <c r="F1326">
        <v>4</v>
      </c>
      <c r="G1326" t="s">
        <v>1519</v>
      </c>
      <c r="H1326" t="s">
        <v>1520</v>
      </c>
      <c r="I1326" t="s">
        <v>1531</v>
      </c>
      <c r="J1326" t="s">
        <v>1566</v>
      </c>
      <c r="K1326" t="s">
        <v>1525</v>
      </c>
      <c r="L1326" s="2">
        <v>5</v>
      </c>
      <c r="M1326" s="10">
        <v>18226</v>
      </c>
      <c r="N1326" s="7">
        <v>91130</v>
      </c>
    </row>
    <row r="1327" spans="1:14" x14ac:dyDescent="0.3">
      <c r="A1327">
        <v>1325</v>
      </c>
      <c r="B1327" s="1">
        <v>45983</v>
      </c>
      <c r="C1327">
        <v>2025</v>
      </c>
      <c r="D1327">
        <v>11</v>
      </c>
      <c r="E1327" t="str">
        <f t="shared" si="20"/>
        <v>November</v>
      </c>
      <c r="F1327">
        <v>4</v>
      </c>
      <c r="G1327" t="s">
        <v>1522</v>
      </c>
      <c r="H1327" t="s">
        <v>1520</v>
      </c>
      <c r="I1327" t="s">
        <v>1513</v>
      </c>
      <c r="J1327" t="s">
        <v>1524</v>
      </c>
      <c r="K1327" t="s">
        <v>1525</v>
      </c>
      <c r="L1327" s="2">
        <v>5</v>
      </c>
      <c r="M1327" s="10">
        <v>298</v>
      </c>
      <c r="N1327" s="7">
        <v>1490</v>
      </c>
    </row>
    <row r="1328" spans="1:14" x14ac:dyDescent="0.3">
      <c r="A1328">
        <v>1326</v>
      </c>
      <c r="B1328" s="1">
        <v>45984</v>
      </c>
      <c r="C1328">
        <v>2025</v>
      </c>
      <c r="D1328">
        <v>11</v>
      </c>
      <c r="E1328" t="str">
        <f t="shared" si="20"/>
        <v>November</v>
      </c>
      <c r="F1328">
        <v>4</v>
      </c>
      <c r="G1328" t="s">
        <v>1523</v>
      </c>
      <c r="H1328" t="s">
        <v>1512</v>
      </c>
      <c r="I1328" t="s">
        <v>1528</v>
      </c>
      <c r="J1328" t="s">
        <v>1517</v>
      </c>
      <c r="K1328" t="s">
        <v>1525</v>
      </c>
      <c r="L1328" s="2">
        <v>2</v>
      </c>
      <c r="M1328" s="10">
        <v>12992</v>
      </c>
      <c r="N1328" s="7">
        <v>25984</v>
      </c>
    </row>
    <row r="1329" spans="1:14" x14ac:dyDescent="0.3">
      <c r="A1329">
        <v>1327</v>
      </c>
      <c r="B1329" s="1">
        <v>45985</v>
      </c>
      <c r="C1329">
        <v>2025</v>
      </c>
      <c r="D1329">
        <v>11</v>
      </c>
      <c r="E1329" t="str">
        <f t="shared" si="20"/>
        <v>November</v>
      </c>
      <c r="F1329">
        <v>4</v>
      </c>
      <c r="G1329" t="s">
        <v>1526</v>
      </c>
      <c r="H1329" t="s">
        <v>1527</v>
      </c>
      <c r="I1329" t="s">
        <v>1516</v>
      </c>
      <c r="J1329" t="s">
        <v>1517</v>
      </c>
      <c r="K1329" t="s">
        <v>1525</v>
      </c>
      <c r="L1329" s="2">
        <v>5</v>
      </c>
      <c r="M1329" s="10">
        <v>984</v>
      </c>
      <c r="N1329" s="7">
        <v>4920</v>
      </c>
    </row>
    <row r="1330" spans="1:14" x14ac:dyDescent="0.3">
      <c r="A1330">
        <v>1328</v>
      </c>
      <c r="B1330" s="1">
        <v>45986</v>
      </c>
      <c r="C1330">
        <v>2025</v>
      </c>
      <c r="D1330">
        <v>11</v>
      </c>
      <c r="E1330" t="str">
        <f t="shared" si="20"/>
        <v>November</v>
      </c>
      <c r="F1330">
        <v>4</v>
      </c>
      <c r="G1330" t="s">
        <v>1529</v>
      </c>
      <c r="H1330" t="s">
        <v>1530</v>
      </c>
      <c r="I1330" t="s">
        <v>1513</v>
      </c>
      <c r="J1330" t="s">
        <v>1566</v>
      </c>
      <c r="K1330" t="s">
        <v>1514</v>
      </c>
      <c r="L1330" s="2">
        <v>5</v>
      </c>
      <c r="M1330" s="10">
        <v>1432</v>
      </c>
      <c r="N1330" s="7">
        <v>7160</v>
      </c>
    </row>
    <row r="1331" spans="1:14" x14ac:dyDescent="0.3">
      <c r="A1331">
        <v>1329</v>
      </c>
      <c r="B1331" s="1">
        <v>45987</v>
      </c>
      <c r="C1331">
        <v>2025</v>
      </c>
      <c r="D1331">
        <v>11</v>
      </c>
      <c r="E1331" t="str">
        <f t="shared" si="20"/>
        <v>November</v>
      </c>
      <c r="F1331">
        <v>4</v>
      </c>
      <c r="G1331" t="s">
        <v>1532</v>
      </c>
      <c r="H1331" t="s">
        <v>1512</v>
      </c>
      <c r="I1331" t="s">
        <v>1528</v>
      </c>
      <c r="J1331" t="s">
        <v>1517</v>
      </c>
      <c r="K1331" t="s">
        <v>1525</v>
      </c>
      <c r="L1331" s="2">
        <v>2</v>
      </c>
      <c r="M1331" s="10">
        <v>12324</v>
      </c>
      <c r="N1331" s="7">
        <v>24648</v>
      </c>
    </row>
    <row r="1332" spans="1:14" x14ac:dyDescent="0.3">
      <c r="A1332">
        <v>1330</v>
      </c>
      <c r="B1332" s="1">
        <v>45988</v>
      </c>
      <c r="C1332">
        <v>2025</v>
      </c>
      <c r="D1332">
        <v>11</v>
      </c>
      <c r="E1332" t="str">
        <f t="shared" si="20"/>
        <v>November</v>
      </c>
      <c r="F1332">
        <v>4</v>
      </c>
      <c r="G1332" t="s">
        <v>1533</v>
      </c>
      <c r="H1332" t="s">
        <v>1520</v>
      </c>
      <c r="I1332" t="s">
        <v>1535</v>
      </c>
      <c r="J1332" t="s">
        <v>1524</v>
      </c>
      <c r="K1332" t="s">
        <v>1525</v>
      </c>
      <c r="L1332" s="2">
        <v>4</v>
      </c>
      <c r="M1332" s="10">
        <v>705</v>
      </c>
      <c r="N1332" s="7">
        <v>2820</v>
      </c>
    </row>
    <row r="1333" spans="1:14" x14ac:dyDescent="0.3">
      <c r="A1333">
        <v>1331</v>
      </c>
      <c r="B1333" s="1">
        <v>45989</v>
      </c>
      <c r="C1333">
        <v>2025</v>
      </c>
      <c r="D1333">
        <v>11</v>
      </c>
      <c r="E1333" t="str">
        <f t="shared" si="20"/>
        <v>November</v>
      </c>
      <c r="F1333">
        <v>4</v>
      </c>
      <c r="G1333" t="s">
        <v>1511</v>
      </c>
      <c r="H1333" t="s">
        <v>1512</v>
      </c>
      <c r="I1333" t="s">
        <v>1531</v>
      </c>
      <c r="J1333" t="s">
        <v>1517</v>
      </c>
      <c r="K1333" t="s">
        <v>1525</v>
      </c>
      <c r="L1333" s="2">
        <v>2</v>
      </c>
      <c r="M1333" s="10">
        <v>66703</v>
      </c>
      <c r="N1333" s="7">
        <v>133406</v>
      </c>
    </row>
    <row r="1334" spans="1:14" x14ac:dyDescent="0.3">
      <c r="A1334">
        <v>1332</v>
      </c>
      <c r="B1334" s="1">
        <v>45990</v>
      </c>
      <c r="C1334">
        <v>2025</v>
      </c>
      <c r="D1334">
        <v>11</v>
      </c>
      <c r="E1334" t="str">
        <f t="shared" si="20"/>
        <v>November</v>
      </c>
      <c r="F1334">
        <v>4</v>
      </c>
      <c r="G1334" t="s">
        <v>1515</v>
      </c>
      <c r="H1334" t="s">
        <v>1512</v>
      </c>
      <c r="I1334" t="s">
        <v>1535</v>
      </c>
      <c r="J1334" t="s">
        <v>1524</v>
      </c>
      <c r="K1334" t="s">
        <v>1518</v>
      </c>
      <c r="L1334" s="2">
        <v>1</v>
      </c>
      <c r="M1334" s="10">
        <v>2242</v>
      </c>
      <c r="N1334" s="7">
        <v>2242</v>
      </c>
    </row>
    <row r="1335" spans="1:14" x14ac:dyDescent="0.3">
      <c r="A1335">
        <v>1333</v>
      </c>
      <c r="B1335" s="1">
        <v>45991</v>
      </c>
      <c r="C1335">
        <v>2025</v>
      </c>
      <c r="D1335">
        <v>11</v>
      </c>
      <c r="E1335" t="str">
        <f t="shared" si="20"/>
        <v>November</v>
      </c>
      <c r="F1335">
        <v>4</v>
      </c>
      <c r="G1335" t="s">
        <v>1534</v>
      </c>
      <c r="H1335" t="s">
        <v>1530</v>
      </c>
      <c r="I1335" t="s">
        <v>1521</v>
      </c>
      <c r="J1335" t="s">
        <v>1524</v>
      </c>
      <c r="K1335" t="s">
        <v>1514</v>
      </c>
      <c r="L1335" s="2">
        <v>3</v>
      </c>
      <c r="M1335" s="10">
        <v>3095</v>
      </c>
      <c r="N1335" s="7">
        <v>9285</v>
      </c>
    </row>
    <row r="1336" spans="1:14" x14ac:dyDescent="0.3">
      <c r="A1336">
        <v>1334</v>
      </c>
      <c r="B1336" s="1">
        <v>45992</v>
      </c>
      <c r="C1336">
        <v>2025</v>
      </c>
      <c r="D1336">
        <v>12</v>
      </c>
      <c r="E1336" t="str">
        <f t="shared" si="20"/>
        <v>Desember</v>
      </c>
      <c r="F1336">
        <v>4</v>
      </c>
      <c r="G1336" t="s">
        <v>1519</v>
      </c>
      <c r="H1336" t="s">
        <v>1520</v>
      </c>
      <c r="I1336" t="s">
        <v>1516</v>
      </c>
      <c r="J1336" t="s">
        <v>1524</v>
      </c>
      <c r="K1336" t="s">
        <v>1514</v>
      </c>
      <c r="L1336" s="2">
        <v>3</v>
      </c>
      <c r="M1336" s="10">
        <v>4016</v>
      </c>
      <c r="N1336" s="7">
        <v>12048</v>
      </c>
    </row>
    <row r="1337" spans="1:14" x14ac:dyDescent="0.3">
      <c r="A1337">
        <v>1335</v>
      </c>
      <c r="B1337" s="1">
        <v>45993</v>
      </c>
      <c r="C1337">
        <v>2025</v>
      </c>
      <c r="D1337">
        <v>12</v>
      </c>
      <c r="E1337" t="str">
        <f t="shared" si="20"/>
        <v>Desember</v>
      </c>
      <c r="F1337">
        <v>4</v>
      </c>
      <c r="G1337" t="s">
        <v>1522</v>
      </c>
      <c r="H1337" t="s">
        <v>1520</v>
      </c>
      <c r="I1337" t="s">
        <v>1516</v>
      </c>
      <c r="J1337" t="s">
        <v>1517</v>
      </c>
      <c r="K1337" t="s">
        <v>1514</v>
      </c>
      <c r="L1337" s="2">
        <v>4</v>
      </c>
      <c r="M1337" s="10">
        <v>258</v>
      </c>
      <c r="N1337" s="7">
        <v>1032</v>
      </c>
    </row>
    <row r="1338" spans="1:14" x14ac:dyDescent="0.3">
      <c r="A1338">
        <v>1336</v>
      </c>
      <c r="B1338" s="1">
        <v>45994</v>
      </c>
      <c r="C1338">
        <v>2025</v>
      </c>
      <c r="D1338">
        <v>12</v>
      </c>
      <c r="E1338" t="str">
        <f t="shared" si="20"/>
        <v>Desember</v>
      </c>
      <c r="F1338">
        <v>4</v>
      </c>
      <c r="G1338" t="s">
        <v>1523</v>
      </c>
      <c r="H1338" t="s">
        <v>1512</v>
      </c>
      <c r="I1338" t="s">
        <v>1535</v>
      </c>
      <c r="J1338" t="s">
        <v>1517</v>
      </c>
      <c r="K1338" t="s">
        <v>1525</v>
      </c>
      <c r="L1338" s="2">
        <v>1</v>
      </c>
      <c r="M1338" s="10">
        <v>38061</v>
      </c>
      <c r="N1338" s="7">
        <v>38061</v>
      </c>
    </row>
    <row r="1339" spans="1:14" x14ac:dyDescent="0.3">
      <c r="A1339">
        <v>1337</v>
      </c>
      <c r="B1339" s="1">
        <v>45995</v>
      </c>
      <c r="C1339">
        <v>2025</v>
      </c>
      <c r="D1339">
        <v>12</v>
      </c>
      <c r="E1339" t="str">
        <f t="shared" si="20"/>
        <v>Desember</v>
      </c>
      <c r="F1339">
        <v>4</v>
      </c>
      <c r="G1339" t="s">
        <v>1526</v>
      </c>
      <c r="H1339" t="s">
        <v>1527</v>
      </c>
      <c r="I1339" t="s">
        <v>1516</v>
      </c>
      <c r="J1339" t="s">
        <v>1517</v>
      </c>
      <c r="K1339" t="s">
        <v>1518</v>
      </c>
      <c r="L1339" s="2">
        <v>2</v>
      </c>
      <c r="M1339" s="10">
        <v>366</v>
      </c>
      <c r="N1339" s="7">
        <v>732</v>
      </c>
    </row>
    <row r="1340" spans="1:14" x14ac:dyDescent="0.3">
      <c r="A1340">
        <v>1338</v>
      </c>
      <c r="B1340" s="1">
        <v>45996</v>
      </c>
      <c r="C1340">
        <v>2025</v>
      </c>
      <c r="D1340">
        <v>12</v>
      </c>
      <c r="E1340" t="str">
        <f t="shared" si="20"/>
        <v>Desember</v>
      </c>
      <c r="F1340">
        <v>4</v>
      </c>
      <c r="G1340" t="s">
        <v>1529</v>
      </c>
      <c r="H1340" t="s">
        <v>1530</v>
      </c>
      <c r="I1340" t="s">
        <v>1516</v>
      </c>
      <c r="J1340" t="s">
        <v>1524</v>
      </c>
      <c r="K1340" t="s">
        <v>1514</v>
      </c>
      <c r="L1340" s="2">
        <v>1</v>
      </c>
      <c r="M1340" s="10">
        <v>1827</v>
      </c>
      <c r="N1340" s="7">
        <v>1827</v>
      </c>
    </row>
    <row r="1341" spans="1:14" x14ac:dyDescent="0.3">
      <c r="A1341">
        <v>1339</v>
      </c>
      <c r="B1341" s="1">
        <v>45997</v>
      </c>
      <c r="C1341">
        <v>2025</v>
      </c>
      <c r="D1341">
        <v>12</v>
      </c>
      <c r="E1341" t="str">
        <f t="shared" si="20"/>
        <v>Desember</v>
      </c>
      <c r="F1341">
        <v>4</v>
      </c>
      <c r="G1341" t="s">
        <v>1532</v>
      </c>
      <c r="H1341" t="s">
        <v>1512</v>
      </c>
      <c r="I1341" t="s">
        <v>1528</v>
      </c>
      <c r="J1341" t="s">
        <v>1566</v>
      </c>
      <c r="K1341" t="s">
        <v>1518</v>
      </c>
      <c r="L1341" s="2">
        <v>1</v>
      </c>
      <c r="M1341" s="10">
        <v>6196</v>
      </c>
      <c r="N1341" s="7">
        <v>6196</v>
      </c>
    </row>
    <row r="1342" spans="1:14" x14ac:dyDescent="0.3">
      <c r="A1342">
        <v>1340</v>
      </c>
      <c r="B1342" s="1">
        <v>45998</v>
      </c>
      <c r="C1342">
        <v>2025</v>
      </c>
      <c r="D1342">
        <v>12</v>
      </c>
      <c r="E1342" t="str">
        <f t="shared" si="20"/>
        <v>Desember</v>
      </c>
      <c r="F1342">
        <v>4</v>
      </c>
      <c r="G1342" t="s">
        <v>1533</v>
      </c>
      <c r="H1342" t="s">
        <v>1520</v>
      </c>
      <c r="I1342" t="s">
        <v>1521</v>
      </c>
      <c r="J1342" t="s">
        <v>1524</v>
      </c>
      <c r="K1342" t="s">
        <v>1514</v>
      </c>
      <c r="L1342" s="2">
        <v>5</v>
      </c>
      <c r="M1342" s="10">
        <v>254</v>
      </c>
      <c r="N1342" s="7">
        <v>1270</v>
      </c>
    </row>
    <row r="1343" spans="1:14" x14ac:dyDescent="0.3">
      <c r="A1343">
        <v>1341</v>
      </c>
      <c r="B1343" s="1">
        <v>45999</v>
      </c>
      <c r="C1343">
        <v>2025</v>
      </c>
      <c r="D1343">
        <v>12</v>
      </c>
      <c r="E1343" t="str">
        <f t="shared" si="20"/>
        <v>Desember</v>
      </c>
      <c r="F1343">
        <v>4</v>
      </c>
      <c r="G1343" t="s">
        <v>1511</v>
      </c>
      <c r="H1343" t="s">
        <v>1512</v>
      </c>
      <c r="I1343" t="s">
        <v>1535</v>
      </c>
      <c r="J1343" t="s">
        <v>1524</v>
      </c>
      <c r="K1343" t="s">
        <v>1518</v>
      </c>
      <c r="L1343" s="2">
        <v>2</v>
      </c>
      <c r="M1343" s="10">
        <v>57783</v>
      </c>
      <c r="N1343" s="7">
        <v>115566</v>
      </c>
    </row>
    <row r="1344" spans="1:14" x14ac:dyDescent="0.3">
      <c r="A1344">
        <v>1342</v>
      </c>
      <c r="B1344" s="1">
        <v>46000</v>
      </c>
      <c r="C1344">
        <v>2025</v>
      </c>
      <c r="D1344">
        <v>12</v>
      </c>
      <c r="E1344" t="str">
        <f t="shared" si="20"/>
        <v>Desember</v>
      </c>
      <c r="F1344">
        <v>4</v>
      </c>
      <c r="G1344" t="s">
        <v>1515</v>
      </c>
      <c r="H1344" t="s">
        <v>1512</v>
      </c>
      <c r="I1344" t="s">
        <v>1516</v>
      </c>
      <c r="J1344" t="s">
        <v>1517</v>
      </c>
      <c r="K1344" t="s">
        <v>1525</v>
      </c>
      <c r="L1344" s="2">
        <v>3</v>
      </c>
      <c r="M1344" s="10">
        <v>1302</v>
      </c>
      <c r="N1344" s="7">
        <v>3906</v>
      </c>
    </row>
    <row r="1345" spans="1:14" x14ac:dyDescent="0.3">
      <c r="A1345">
        <v>1343</v>
      </c>
      <c r="B1345" s="1">
        <v>46001</v>
      </c>
      <c r="C1345">
        <v>2025</v>
      </c>
      <c r="D1345">
        <v>12</v>
      </c>
      <c r="E1345" t="str">
        <f t="shared" si="20"/>
        <v>Desember</v>
      </c>
      <c r="F1345">
        <v>4</v>
      </c>
      <c r="G1345" t="s">
        <v>1534</v>
      </c>
      <c r="H1345" t="s">
        <v>1530</v>
      </c>
      <c r="I1345" t="s">
        <v>1516</v>
      </c>
      <c r="J1345" t="s">
        <v>1517</v>
      </c>
      <c r="K1345" t="s">
        <v>1518</v>
      </c>
      <c r="L1345" s="2">
        <v>1</v>
      </c>
      <c r="M1345" s="10">
        <v>1283</v>
      </c>
      <c r="N1345" s="7">
        <v>1283</v>
      </c>
    </row>
    <row r="1346" spans="1:14" x14ac:dyDescent="0.3">
      <c r="A1346">
        <v>1344</v>
      </c>
      <c r="B1346" s="1">
        <v>46002</v>
      </c>
      <c r="C1346">
        <v>2025</v>
      </c>
      <c r="D1346">
        <v>12</v>
      </c>
      <c r="E1346" t="str">
        <f t="shared" si="20"/>
        <v>Desember</v>
      </c>
      <c r="F1346">
        <v>4</v>
      </c>
      <c r="G1346" t="s">
        <v>1519</v>
      </c>
      <c r="H1346" t="s">
        <v>1520</v>
      </c>
      <c r="I1346" t="s">
        <v>1528</v>
      </c>
      <c r="J1346" t="s">
        <v>1517</v>
      </c>
      <c r="K1346" t="s">
        <v>1518</v>
      </c>
      <c r="L1346" s="2">
        <v>2</v>
      </c>
      <c r="M1346" s="10">
        <v>10838</v>
      </c>
      <c r="N1346" s="7">
        <v>21676</v>
      </c>
    </row>
    <row r="1347" spans="1:14" x14ac:dyDescent="0.3">
      <c r="A1347">
        <v>1345</v>
      </c>
      <c r="B1347" s="1">
        <v>46003</v>
      </c>
      <c r="C1347">
        <v>2025</v>
      </c>
      <c r="D1347">
        <v>12</v>
      </c>
      <c r="E1347" t="str">
        <f t="shared" ref="E1347:E1410" si="21">TEXT(DATE(2026, D1347, 1), "[$-id-ID]mmmm")</f>
        <v>Desember</v>
      </c>
      <c r="F1347">
        <v>4</v>
      </c>
      <c r="G1347" t="s">
        <v>1522</v>
      </c>
      <c r="H1347" t="s">
        <v>1520</v>
      </c>
      <c r="I1347" t="s">
        <v>1516</v>
      </c>
      <c r="J1347" t="s">
        <v>1524</v>
      </c>
      <c r="K1347" t="s">
        <v>1514</v>
      </c>
      <c r="L1347" s="2">
        <v>1</v>
      </c>
      <c r="M1347" s="10">
        <v>895</v>
      </c>
      <c r="N1347" s="7">
        <v>895</v>
      </c>
    </row>
    <row r="1348" spans="1:14" x14ac:dyDescent="0.3">
      <c r="A1348">
        <v>1346</v>
      </c>
      <c r="B1348" s="1">
        <v>46004</v>
      </c>
      <c r="C1348">
        <v>2025</v>
      </c>
      <c r="D1348">
        <v>12</v>
      </c>
      <c r="E1348" t="str">
        <f t="shared" si="21"/>
        <v>Desember</v>
      </c>
      <c r="F1348">
        <v>4</v>
      </c>
      <c r="G1348" t="s">
        <v>1523</v>
      </c>
      <c r="H1348" t="s">
        <v>1512</v>
      </c>
      <c r="I1348" t="s">
        <v>1531</v>
      </c>
      <c r="J1348" t="s">
        <v>1566</v>
      </c>
      <c r="K1348" t="s">
        <v>1514</v>
      </c>
      <c r="L1348" s="2">
        <v>2</v>
      </c>
      <c r="M1348" s="10">
        <v>14574</v>
      </c>
      <c r="N1348" s="7">
        <v>29148</v>
      </c>
    </row>
    <row r="1349" spans="1:14" x14ac:dyDescent="0.3">
      <c r="A1349">
        <v>1347</v>
      </c>
      <c r="B1349" s="1">
        <v>46005</v>
      </c>
      <c r="C1349">
        <v>2025</v>
      </c>
      <c r="D1349">
        <v>12</v>
      </c>
      <c r="E1349" t="str">
        <f t="shared" si="21"/>
        <v>Desember</v>
      </c>
      <c r="F1349">
        <v>4</v>
      </c>
      <c r="G1349" t="s">
        <v>1526</v>
      </c>
      <c r="H1349" t="s">
        <v>1527</v>
      </c>
      <c r="I1349" t="s">
        <v>1528</v>
      </c>
      <c r="J1349" t="s">
        <v>1517</v>
      </c>
      <c r="K1349" t="s">
        <v>1514</v>
      </c>
      <c r="L1349" s="2">
        <v>2</v>
      </c>
      <c r="M1349" s="10">
        <v>348</v>
      </c>
      <c r="N1349" s="7">
        <v>696</v>
      </c>
    </row>
    <row r="1350" spans="1:14" x14ac:dyDescent="0.3">
      <c r="A1350">
        <v>1348</v>
      </c>
      <c r="B1350" s="1">
        <v>46006</v>
      </c>
      <c r="C1350">
        <v>2025</v>
      </c>
      <c r="D1350">
        <v>12</v>
      </c>
      <c r="E1350" t="str">
        <f t="shared" si="21"/>
        <v>Desember</v>
      </c>
      <c r="F1350">
        <v>4</v>
      </c>
      <c r="G1350" t="s">
        <v>1529</v>
      </c>
      <c r="H1350" t="s">
        <v>1530</v>
      </c>
      <c r="I1350" t="s">
        <v>1535</v>
      </c>
      <c r="J1350" t="s">
        <v>1566</v>
      </c>
      <c r="K1350" t="s">
        <v>1518</v>
      </c>
      <c r="L1350" s="2">
        <v>4</v>
      </c>
      <c r="M1350" s="10">
        <v>544</v>
      </c>
      <c r="N1350" s="7">
        <v>2176</v>
      </c>
    </row>
    <row r="1351" spans="1:14" x14ac:dyDescent="0.3">
      <c r="A1351">
        <v>1349</v>
      </c>
      <c r="B1351" s="1">
        <v>46007</v>
      </c>
      <c r="C1351">
        <v>2025</v>
      </c>
      <c r="D1351">
        <v>12</v>
      </c>
      <c r="E1351" t="str">
        <f t="shared" si="21"/>
        <v>Desember</v>
      </c>
      <c r="F1351">
        <v>4</v>
      </c>
      <c r="G1351" t="s">
        <v>1532</v>
      </c>
      <c r="H1351" t="s">
        <v>1512</v>
      </c>
      <c r="I1351" t="s">
        <v>1521</v>
      </c>
      <c r="J1351" t="s">
        <v>1566</v>
      </c>
      <c r="K1351" t="s">
        <v>1514</v>
      </c>
      <c r="L1351" s="2">
        <v>1</v>
      </c>
      <c r="M1351" s="10">
        <v>13858</v>
      </c>
      <c r="N1351" s="7">
        <v>13858</v>
      </c>
    </row>
    <row r="1352" spans="1:14" x14ac:dyDescent="0.3">
      <c r="A1352">
        <v>1350</v>
      </c>
      <c r="B1352" s="1">
        <v>46008</v>
      </c>
      <c r="C1352">
        <v>2025</v>
      </c>
      <c r="D1352">
        <v>12</v>
      </c>
      <c r="E1352" t="str">
        <f t="shared" si="21"/>
        <v>Desember</v>
      </c>
      <c r="F1352">
        <v>4</v>
      </c>
      <c r="G1352" t="s">
        <v>1533</v>
      </c>
      <c r="H1352" t="s">
        <v>1520</v>
      </c>
      <c r="I1352" t="s">
        <v>1531</v>
      </c>
      <c r="J1352" t="s">
        <v>1524</v>
      </c>
      <c r="K1352" t="s">
        <v>1518</v>
      </c>
      <c r="L1352" s="2">
        <v>3</v>
      </c>
      <c r="M1352" s="10">
        <v>215</v>
      </c>
      <c r="N1352" s="7">
        <v>645</v>
      </c>
    </row>
    <row r="1353" spans="1:14" x14ac:dyDescent="0.3">
      <c r="A1353">
        <v>1351</v>
      </c>
      <c r="B1353" s="1">
        <v>46009</v>
      </c>
      <c r="C1353">
        <v>2025</v>
      </c>
      <c r="D1353">
        <v>12</v>
      </c>
      <c r="E1353" t="str">
        <f t="shared" si="21"/>
        <v>Desember</v>
      </c>
      <c r="F1353">
        <v>4</v>
      </c>
      <c r="G1353" t="s">
        <v>1511</v>
      </c>
      <c r="H1353" t="s">
        <v>1512</v>
      </c>
      <c r="I1353" t="s">
        <v>1535</v>
      </c>
      <c r="J1353" t="s">
        <v>1566</v>
      </c>
      <c r="K1353" t="s">
        <v>1525</v>
      </c>
      <c r="L1353" s="2">
        <v>2</v>
      </c>
      <c r="M1353" s="10">
        <v>57831</v>
      </c>
      <c r="N1353" s="7">
        <v>115662</v>
      </c>
    </row>
    <row r="1354" spans="1:14" x14ac:dyDescent="0.3">
      <c r="A1354">
        <v>1352</v>
      </c>
      <c r="B1354" s="1">
        <v>46010</v>
      </c>
      <c r="C1354">
        <v>2025</v>
      </c>
      <c r="D1354">
        <v>12</v>
      </c>
      <c r="E1354" t="str">
        <f t="shared" si="21"/>
        <v>Desember</v>
      </c>
      <c r="F1354">
        <v>4</v>
      </c>
      <c r="G1354" t="s">
        <v>1515</v>
      </c>
      <c r="H1354" t="s">
        <v>1512</v>
      </c>
      <c r="I1354" t="s">
        <v>1528</v>
      </c>
      <c r="J1354" t="s">
        <v>1517</v>
      </c>
      <c r="K1354" t="s">
        <v>1525</v>
      </c>
      <c r="L1354" s="2">
        <v>1</v>
      </c>
      <c r="M1354" s="10">
        <v>2608</v>
      </c>
      <c r="N1354" s="7">
        <v>2608</v>
      </c>
    </row>
    <row r="1355" spans="1:14" x14ac:dyDescent="0.3">
      <c r="A1355">
        <v>1353</v>
      </c>
      <c r="B1355" s="1">
        <v>46011</v>
      </c>
      <c r="C1355">
        <v>2025</v>
      </c>
      <c r="D1355">
        <v>12</v>
      </c>
      <c r="E1355" t="str">
        <f t="shared" si="21"/>
        <v>Desember</v>
      </c>
      <c r="F1355">
        <v>4</v>
      </c>
      <c r="G1355" t="s">
        <v>1534</v>
      </c>
      <c r="H1355" t="s">
        <v>1530</v>
      </c>
      <c r="I1355" t="s">
        <v>1535</v>
      </c>
      <c r="J1355" t="s">
        <v>1524</v>
      </c>
      <c r="K1355" t="s">
        <v>1514</v>
      </c>
      <c r="L1355" s="2">
        <v>1</v>
      </c>
      <c r="M1355" s="10">
        <v>3751</v>
      </c>
      <c r="N1355" s="7">
        <v>3751</v>
      </c>
    </row>
    <row r="1356" spans="1:14" x14ac:dyDescent="0.3">
      <c r="A1356">
        <v>1354</v>
      </c>
      <c r="B1356" s="1">
        <v>46012</v>
      </c>
      <c r="C1356">
        <v>2025</v>
      </c>
      <c r="D1356">
        <v>12</v>
      </c>
      <c r="E1356" t="str">
        <f t="shared" si="21"/>
        <v>Desember</v>
      </c>
      <c r="F1356">
        <v>4</v>
      </c>
      <c r="G1356" t="s">
        <v>1519</v>
      </c>
      <c r="H1356" t="s">
        <v>1520</v>
      </c>
      <c r="I1356" t="s">
        <v>1531</v>
      </c>
      <c r="J1356" t="s">
        <v>1524</v>
      </c>
      <c r="K1356" t="s">
        <v>1518</v>
      </c>
      <c r="L1356" s="2">
        <v>5</v>
      </c>
      <c r="M1356" s="10">
        <v>11976</v>
      </c>
      <c r="N1356" s="7">
        <v>59880</v>
      </c>
    </row>
    <row r="1357" spans="1:14" x14ac:dyDescent="0.3">
      <c r="A1357">
        <v>1355</v>
      </c>
      <c r="B1357" s="1">
        <v>46013</v>
      </c>
      <c r="C1357">
        <v>2025</v>
      </c>
      <c r="D1357">
        <v>12</v>
      </c>
      <c r="E1357" t="str">
        <f t="shared" si="21"/>
        <v>Desember</v>
      </c>
      <c r="F1357">
        <v>4</v>
      </c>
      <c r="G1357" t="s">
        <v>1522</v>
      </c>
      <c r="H1357" t="s">
        <v>1520</v>
      </c>
      <c r="I1357" t="s">
        <v>1531</v>
      </c>
      <c r="J1357" t="s">
        <v>1566</v>
      </c>
      <c r="K1357" t="s">
        <v>1518</v>
      </c>
      <c r="L1357" s="2">
        <v>1</v>
      </c>
      <c r="M1357" s="10">
        <v>542</v>
      </c>
      <c r="N1357" s="7">
        <v>542</v>
      </c>
    </row>
    <row r="1358" spans="1:14" x14ac:dyDescent="0.3">
      <c r="A1358">
        <v>1356</v>
      </c>
      <c r="B1358" s="1">
        <v>46014</v>
      </c>
      <c r="C1358">
        <v>2025</v>
      </c>
      <c r="D1358">
        <v>12</v>
      </c>
      <c r="E1358" t="str">
        <f t="shared" si="21"/>
        <v>Desember</v>
      </c>
      <c r="F1358">
        <v>4</v>
      </c>
      <c r="G1358" t="s">
        <v>1523</v>
      </c>
      <c r="H1358" t="s">
        <v>1512</v>
      </c>
      <c r="I1358" t="s">
        <v>1535</v>
      </c>
      <c r="J1358" t="s">
        <v>1566</v>
      </c>
      <c r="K1358" t="s">
        <v>1514</v>
      </c>
      <c r="L1358" s="2">
        <v>2</v>
      </c>
      <c r="M1358" s="10">
        <v>34854</v>
      </c>
      <c r="N1358" s="7">
        <v>69708</v>
      </c>
    </row>
    <row r="1359" spans="1:14" x14ac:dyDescent="0.3">
      <c r="A1359">
        <v>1357</v>
      </c>
      <c r="B1359" s="1">
        <v>46015</v>
      </c>
      <c r="C1359">
        <v>2025</v>
      </c>
      <c r="D1359">
        <v>12</v>
      </c>
      <c r="E1359" t="str">
        <f t="shared" si="21"/>
        <v>Desember</v>
      </c>
      <c r="F1359">
        <v>4</v>
      </c>
      <c r="G1359" t="s">
        <v>1526</v>
      </c>
      <c r="H1359" t="s">
        <v>1527</v>
      </c>
      <c r="I1359" t="s">
        <v>1516</v>
      </c>
      <c r="J1359" t="s">
        <v>1517</v>
      </c>
      <c r="K1359" t="s">
        <v>1518</v>
      </c>
      <c r="L1359" s="2">
        <v>4</v>
      </c>
      <c r="M1359" s="10">
        <v>821</v>
      </c>
      <c r="N1359" s="7">
        <v>3284</v>
      </c>
    </row>
    <row r="1360" spans="1:14" x14ac:dyDescent="0.3">
      <c r="A1360">
        <v>1358</v>
      </c>
      <c r="B1360" s="1">
        <v>46016</v>
      </c>
      <c r="C1360">
        <v>2025</v>
      </c>
      <c r="D1360">
        <v>12</v>
      </c>
      <c r="E1360" t="str">
        <f t="shared" si="21"/>
        <v>Desember</v>
      </c>
      <c r="F1360">
        <v>4</v>
      </c>
      <c r="G1360" t="s">
        <v>1529</v>
      </c>
      <c r="H1360" t="s">
        <v>1530</v>
      </c>
      <c r="I1360" t="s">
        <v>1535</v>
      </c>
      <c r="J1360" t="s">
        <v>1524</v>
      </c>
      <c r="K1360" t="s">
        <v>1525</v>
      </c>
      <c r="L1360" s="2">
        <v>5</v>
      </c>
      <c r="M1360" s="10">
        <v>1003</v>
      </c>
      <c r="N1360" s="7">
        <v>5015</v>
      </c>
    </row>
    <row r="1361" spans="1:14" x14ac:dyDescent="0.3">
      <c r="A1361">
        <v>1359</v>
      </c>
      <c r="B1361" s="1">
        <v>46017</v>
      </c>
      <c r="C1361">
        <v>2025</v>
      </c>
      <c r="D1361">
        <v>12</v>
      </c>
      <c r="E1361" t="str">
        <f t="shared" si="21"/>
        <v>Desember</v>
      </c>
      <c r="F1361">
        <v>4</v>
      </c>
      <c r="G1361" t="s">
        <v>1532</v>
      </c>
      <c r="H1361" t="s">
        <v>1512</v>
      </c>
      <c r="I1361" t="s">
        <v>1535</v>
      </c>
      <c r="J1361" t="s">
        <v>1566</v>
      </c>
      <c r="K1361" t="s">
        <v>1518</v>
      </c>
      <c r="L1361" s="2">
        <v>1</v>
      </c>
      <c r="M1361" s="10">
        <v>9526</v>
      </c>
      <c r="N1361" s="7">
        <v>9526</v>
      </c>
    </row>
    <row r="1362" spans="1:14" x14ac:dyDescent="0.3">
      <c r="A1362">
        <v>1360</v>
      </c>
      <c r="B1362" s="1">
        <v>46018</v>
      </c>
      <c r="C1362">
        <v>2025</v>
      </c>
      <c r="D1362">
        <v>12</v>
      </c>
      <c r="E1362" t="str">
        <f t="shared" si="21"/>
        <v>Desember</v>
      </c>
      <c r="F1362">
        <v>4</v>
      </c>
      <c r="G1362" t="s">
        <v>1533</v>
      </c>
      <c r="H1362" t="s">
        <v>1520</v>
      </c>
      <c r="I1362" t="s">
        <v>1513</v>
      </c>
      <c r="J1362" t="s">
        <v>1524</v>
      </c>
      <c r="K1362" t="s">
        <v>1525</v>
      </c>
      <c r="L1362" s="2">
        <v>5</v>
      </c>
      <c r="M1362" s="10">
        <v>317</v>
      </c>
      <c r="N1362" s="7">
        <v>1585</v>
      </c>
    </row>
    <row r="1363" spans="1:14" x14ac:dyDescent="0.3">
      <c r="A1363">
        <v>1361</v>
      </c>
      <c r="B1363" s="1">
        <v>46019</v>
      </c>
      <c r="C1363">
        <v>2025</v>
      </c>
      <c r="D1363">
        <v>12</v>
      </c>
      <c r="E1363" t="str">
        <f t="shared" si="21"/>
        <v>Desember</v>
      </c>
      <c r="F1363">
        <v>4</v>
      </c>
      <c r="G1363" t="s">
        <v>1511</v>
      </c>
      <c r="H1363" t="s">
        <v>1512</v>
      </c>
      <c r="I1363" t="s">
        <v>1535</v>
      </c>
      <c r="J1363" t="s">
        <v>1566</v>
      </c>
      <c r="K1363" t="s">
        <v>1525</v>
      </c>
      <c r="L1363" s="2">
        <v>1</v>
      </c>
      <c r="M1363" s="10">
        <v>53373</v>
      </c>
      <c r="N1363" s="7">
        <v>53373</v>
      </c>
    </row>
    <row r="1364" spans="1:14" x14ac:dyDescent="0.3">
      <c r="A1364">
        <v>1362</v>
      </c>
      <c r="B1364" s="1">
        <v>46020</v>
      </c>
      <c r="C1364">
        <v>2025</v>
      </c>
      <c r="D1364">
        <v>12</v>
      </c>
      <c r="E1364" t="str">
        <f t="shared" si="21"/>
        <v>Desember</v>
      </c>
      <c r="F1364">
        <v>4</v>
      </c>
      <c r="G1364" t="s">
        <v>1515</v>
      </c>
      <c r="H1364" t="s">
        <v>1512</v>
      </c>
      <c r="I1364" t="s">
        <v>1513</v>
      </c>
      <c r="J1364" t="s">
        <v>1517</v>
      </c>
      <c r="K1364" t="s">
        <v>1514</v>
      </c>
      <c r="L1364" s="2">
        <v>2</v>
      </c>
      <c r="M1364" s="10">
        <v>4853</v>
      </c>
      <c r="N1364" s="7">
        <v>9706</v>
      </c>
    </row>
    <row r="1365" spans="1:14" x14ac:dyDescent="0.3">
      <c r="A1365">
        <v>1363</v>
      </c>
      <c r="B1365" s="1">
        <v>46021</v>
      </c>
      <c r="C1365">
        <v>2025</v>
      </c>
      <c r="D1365">
        <v>12</v>
      </c>
      <c r="E1365" t="str">
        <f t="shared" si="21"/>
        <v>Desember</v>
      </c>
      <c r="F1365">
        <v>4</v>
      </c>
      <c r="G1365" t="s">
        <v>1534</v>
      </c>
      <c r="H1365" t="s">
        <v>1530</v>
      </c>
      <c r="I1365" t="s">
        <v>1521</v>
      </c>
      <c r="J1365" t="s">
        <v>1566</v>
      </c>
      <c r="K1365" t="s">
        <v>1514</v>
      </c>
      <c r="L1365" s="2">
        <v>2</v>
      </c>
      <c r="M1365" s="10">
        <v>4788</v>
      </c>
      <c r="N1365" s="7">
        <v>9576</v>
      </c>
    </row>
    <row r="1366" spans="1:14" x14ac:dyDescent="0.3">
      <c r="A1366">
        <v>1364</v>
      </c>
      <c r="B1366" s="1">
        <v>46022</v>
      </c>
      <c r="C1366">
        <v>2025</v>
      </c>
      <c r="D1366">
        <v>12</v>
      </c>
      <c r="E1366" t="str">
        <f t="shared" si="21"/>
        <v>Desember</v>
      </c>
      <c r="F1366">
        <v>4</v>
      </c>
      <c r="G1366" t="s">
        <v>1519</v>
      </c>
      <c r="H1366" t="s">
        <v>1520</v>
      </c>
      <c r="I1366" t="s">
        <v>1528</v>
      </c>
      <c r="J1366" t="s">
        <v>1524</v>
      </c>
      <c r="K1366" t="s">
        <v>1525</v>
      </c>
      <c r="L1366" s="2">
        <v>5</v>
      </c>
      <c r="M1366" s="10">
        <v>17252</v>
      </c>
      <c r="N1366" s="7">
        <v>86260</v>
      </c>
    </row>
    <row r="1367" spans="1:14" x14ac:dyDescent="0.3">
      <c r="A1367">
        <v>1365</v>
      </c>
      <c r="B1367" s="1">
        <v>46023</v>
      </c>
      <c r="C1367">
        <v>2026</v>
      </c>
      <c r="D1367">
        <v>1</v>
      </c>
      <c r="E1367" t="str">
        <f t="shared" si="21"/>
        <v>Januari</v>
      </c>
      <c r="F1367">
        <v>1</v>
      </c>
      <c r="G1367" t="s">
        <v>1522</v>
      </c>
      <c r="H1367" t="s">
        <v>1520</v>
      </c>
      <c r="I1367" t="s">
        <v>1516</v>
      </c>
      <c r="J1367" t="s">
        <v>1566</v>
      </c>
      <c r="K1367" t="s">
        <v>1525</v>
      </c>
      <c r="L1367" s="2">
        <v>5</v>
      </c>
      <c r="M1367" s="10">
        <v>179</v>
      </c>
      <c r="N1367" s="7">
        <v>895</v>
      </c>
    </row>
    <row r="1368" spans="1:14" x14ac:dyDescent="0.3">
      <c r="A1368">
        <v>1366</v>
      </c>
      <c r="B1368" s="1">
        <v>46024</v>
      </c>
      <c r="C1368">
        <v>2026</v>
      </c>
      <c r="D1368">
        <v>1</v>
      </c>
      <c r="E1368" t="str">
        <f t="shared" si="21"/>
        <v>Januari</v>
      </c>
      <c r="F1368">
        <v>1</v>
      </c>
      <c r="G1368" t="s">
        <v>1523</v>
      </c>
      <c r="H1368" t="s">
        <v>1512</v>
      </c>
      <c r="I1368" t="s">
        <v>1516</v>
      </c>
      <c r="J1368" t="s">
        <v>1517</v>
      </c>
      <c r="K1368" t="s">
        <v>1514</v>
      </c>
      <c r="L1368" s="2">
        <v>1</v>
      </c>
      <c r="M1368" s="10">
        <v>29151</v>
      </c>
      <c r="N1368" s="7">
        <v>29151</v>
      </c>
    </row>
    <row r="1369" spans="1:14" x14ac:dyDescent="0.3">
      <c r="A1369">
        <v>1367</v>
      </c>
      <c r="B1369" s="1">
        <v>46025</v>
      </c>
      <c r="C1369">
        <v>2026</v>
      </c>
      <c r="D1369">
        <v>1</v>
      </c>
      <c r="E1369" t="str">
        <f t="shared" si="21"/>
        <v>Januari</v>
      </c>
      <c r="F1369">
        <v>1</v>
      </c>
      <c r="G1369" t="s">
        <v>1526</v>
      </c>
      <c r="H1369" t="s">
        <v>1527</v>
      </c>
      <c r="I1369" t="s">
        <v>1513</v>
      </c>
      <c r="J1369" t="s">
        <v>1524</v>
      </c>
      <c r="K1369" t="s">
        <v>1514</v>
      </c>
      <c r="L1369" s="2">
        <v>4</v>
      </c>
      <c r="M1369" s="10">
        <v>474</v>
      </c>
      <c r="N1369" s="7">
        <v>1896</v>
      </c>
    </row>
    <row r="1370" spans="1:14" x14ac:dyDescent="0.3">
      <c r="A1370">
        <v>1368</v>
      </c>
      <c r="B1370" s="1">
        <v>46026</v>
      </c>
      <c r="C1370">
        <v>2026</v>
      </c>
      <c r="D1370">
        <v>1</v>
      </c>
      <c r="E1370" t="str">
        <f t="shared" si="21"/>
        <v>Januari</v>
      </c>
      <c r="F1370">
        <v>1</v>
      </c>
      <c r="G1370" t="s">
        <v>1529</v>
      </c>
      <c r="H1370" t="s">
        <v>1530</v>
      </c>
      <c r="I1370" t="s">
        <v>1531</v>
      </c>
      <c r="J1370" t="s">
        <v>1524</v>
      </c>
      <c r="K1370" t="s">
        <v>1514</v>
      </c>
      <c r="L1370" s="2">
        <v>1</v>
      </c>
      <c r="M1370" s="10">
        <v>1670</v>
      </c>
      <c r="N1370" s="7">
        <v>1670</v>
      </c>
    </row>
    <row r="1371" spans="1:14" x14ac:dyDescent="0.3">
      <c r="A1371">
        <v>1369</v>
      </c>
      <c r="B1371" s="1">
        <v>46027</v>
      </c>
      <c r="C1371">
        <v>2026</v>
      </c>
      <c r="D1371">
        <v>1</v>
      </c>
      <c r="E1371" t="str">
        <f t="shared" si="21"/>
        <v>Januari</v>
      </c>
      <c r="F1371">
        <v>1</v>
      </c>
      <c r="G1371" t="s">
        <v>1532</v>
      </c>
      <c r="H1371" t="s">
        <v>1512</v>
      </c>
      <c r="I1371" t="s">
        <v>1531</v>
      </c>
      <c r="J1371" t="s">
        <v>1566</v>
      </c>
      <c r="K1371" t="s">
        <v>1514</v>
      </c>
      <c r="L1371" s="2">
        <v>2</v>
      </c>
      <c r="M1371" s="10">
        <v>14676</v>
      </c>
      <c r="N1371" s="7">
        <v>29352</v>
      </c>
    </row>
    <row r="1372" spans="1:14" x14ac:dyDescent="0.3">
      <c r="A1372">
        <v>1370</v>
      </c>
      <c r="B1372" s="1">
        <v>46028</v>
      </c>
      <c r="C1372">
        <v>2026</v>
      </c>
      <c r="D1372">
        <v>1</v>
      </c>
      <c r="E1372" t="str">
        <f t="shared" si="21"/>
        <v>Januari</v>
      </c>
      <c r="F1372">
        <v>1</v>
      </c>
      <c r="G1372" t="s">
        <v>1533</v>
      </c>
      <c r="H1372" t="s">
        <v>1520</v>
      </c>
      <c r="I1372" t="s">
        <v>1531</v>
      </c>
      <c r="J1372" t="s">
        <v>1566</v>
      </c>
      <c r="K1372" t="s">
        <v>1518</v>
      </c>
      <c r="L1372" s="2">
        <v>3</v>
      </c>
      <c r="M1372" s="10">
        <v>635</v>
      </c>
      <c r="N1372" s="7">
        <v>1905</v>
      </c>
    </row>
    <row r="1373" spans="1:14" x14ac:dyDescent="0.3">
      <c r="A1373">
        <v>1371</v>
      </c>
      <c r="B1373" s="1">
        <v>46029</v>
      </c>
      <c r="C1373">
        <v>2026</v>
      </c>
      <c r="D1373">
        <v>1</v>
      </c>
      <c r="E1373" t="str">
        <f t="shared" si="21"/>
        <v>Januari</v>
      </c>
      <c r="F1373">
        <v>1</v>
      </c>
      <c r="G1373" t="s">
        <v>1511</v>
      </c>
      <c r="H1373" t="s">
        <v>1512</v>
      </c>
      <c r="I1373" t="s">
        <v>1528</v>
      </c>
      <c r="J1373" t="s">
        <v>1566</v>
      </c>
      <c r="K1373" t="s">
        <v>1518</v>
      </c>
      <c r="L1373" s="2">
        <v>2</v>
      </c>
      <c r="M1373" s="10">
        <v>61090</v>
      </c>
      <c r="N1373" s="7">
        <v>122180</v>
      </c>
    </row>
    <row r="1374" spans="1:14" x14ac:dyDescent="0.3">
      <c r="A1374">
        <v>1372</v>
      </c>
      <c r="B1374" s="1">
        <v>46030</v>
      </c>
      <c r="C1374">
        <v>2026</v>
      </c>
      <c r="D1374">
        <v>1</v>
      </c>
      <c r="E1374" t="str">
        <f t="shared" si="21"/>
        <v>Januari</v>
      </c>
      <c r="F1374">
        <v>1</v>
      </c>
      <c r="G1374" t="s">
        <v>1515</v>
      </c>
      <c r="H1374" t="s">
        <v>1512</v>
      </c>
      <c r="I1374" t="s">
        <v>1531</v>
      </c>
      <c r="J1374" t="s">
        <v>1524</v>
      </c>
      <c r="K1374" t="s">
        <v>1514</v>
      </c>
      <c r="L1374" s="2">
        <v>1</v>
      </c>
      <c r="M1374" s="10">
        <v>2093</v>
      </c>
      <c r="N1374" s="7">
        <v>2093</v>
      </c>
    </row>
    <row r="1375" spans="1:14" x14ac:dyDescent="0.3">
      <c r="A1375">
        <v>1373</v>
      </c>
      <c r="B1375" s="1">
        <v>46031</v>
      </c>
      <c r="C1375">
        <v>2026</v>
      </c>
      <c r="D1375">
        <v>1</v>
      </c>
      <c r="E1375" t="str">
        <f t="shared" si="21"/>
        <v>Januari</v>
      </c>
      <c r="F1375">
        <v>1</v>
      </c>
      <c r="G1375" t="s">
        <v>1534</v>
      </c>
      <c r="H1375" t="s">
        <v>1530</v>
      </c>
      <c r="I1375" t="s">
        <v>1528</v>
      </c>
      <c r="J1375" t="s">
        <v>1566</v>
      </c>
      <c r="K1375" t="s">
        <v>1514</v>
      </c>
      <c r="L1375" s="2">
        <v>3</v>
      </c>
      <c r="M1375" s="10">
        <v>4952</v>
      </c>
      <c r="N1375" s="7">
        <v>14856</v>
      </c>
    </row>
    <row r="1376" spans="1:14" x14ac:dyDescent="0.3">
      <c r="A1376">
        <v>1374</v>
      </c>
      <c r="B1376" s="1">
        <v>46032</v>
      </c>
      <c r="C1376">
        <v>2026</v>
      </c>
      <c r="D1376">
        <v>1</v>
      </c>
      <c r="E1376" t="str">
        <f t="shared" si="21"/>
        <v>Januari</v>
      </c>
      <c r="F1376">
        <v>1</v>
      </c>
      <c r="G1376" t="s">
        <v>1519</v>
      </c>
      <c r="H1376" t="s">
        <v>1520</v>
      </c>
      <c r="I1376" t="s">
        <v>1513</v>
      </c>
      <c r="J1376" t="s">
        <v>1517</v>
      </c>
      <c r="K1376" t="s">
        <v>1525</v>
      </c>
      <c r="L1376" s="2">
        <v>4</v>
      </c>
      <c r="M1376" s="10">
        <v>11582</v>
      </c>
      <c r="N1376" s="7">
        <v>46328</v>
      </c>
    </row>
    <row r="1377" spans="1:14" x14ac:dyDescent="0.3">
      <c r="A1377">
        <v>1375</v>
      </c>
      <c r="B1377" s="1">
        <v>46033</v>
      </c>
      <c r="C1377">
        <v>2026</v>
      </c>
      <c r="D1377">
        <v>1</v>
      </c>
      <c r="E1377" t="str">
        <f t="shared" si="21"/>
        <v>Januari</v>
      </c>
      <c r="F1377">
        <v>1</v>
      </c>
      <c r="G1377" t="s">
        <v>1522</v>
      </c>
      <c r="H1377" t="s">
        <v>1520</v>
      </c>
      <c r="I1377" t="s">
        <v>1513</v>
      </c>
      <c r="J1377" t="s">
        <v>1524</v>
      </c>
      <c r="K1377" t="s">
        <v>1514</v>
      </c>
      <c r="L1377" s="2">
        <v>1</v>
      </c>
      <c r="M1377" s="10">
        <v>267</v>
      </c>
      <c r="N1377" s="7">
        <v>267</v>
      </c>
    </row>
    <row r="1378" spans="1:14" x14ac:dyDescent="0.3">
      <c r="A1378">
        <v>1376</v>
      </c>
      <c r="B1378" s="1">
        <v>46034</v>
      </c>
      <c r="C1378">
        <v>2026</v>
      </c>
      <c r="D1378">
        <v>1</v>
      </c>
      <c r="E1378" t="str">
        <f t="shared" si="21"/>
        <v>Januari</v>
      </c>
      <c r="F1378">
        <v>1</v>
      </c>
      <c r="G1378" t="s">
        <v>1523</v>
      </c>
      <c r="H1378" t="s">
        <v>1512</v>
      </c>
      <c r="I1378" t="s">
        <v>1528</v>
      </c>
      <c r="J1378" t="s">
        <v>1566</v>
      </c>
      <c r="K1378" t="s">
        <v>1525</v>
      </c>
      <c r="L1378" s="2">
        <v>1</v>
      </c>
      <c r="M1378" s="10">
        <v>36468</v>
      </c>
      <c r="N1378" s="7">
        <v>36468</v>
      </c>
    </row>
    <row r="1379" spans="1:14" x14ac:dyDescent="0.3">
      <c r="A1379">
        <v>1377</v>
      </c>
      <c r="B1379" s="1">
        <v>46035</v>
      </c>
      <c r="C1379">
        <v>2026</v>
      </c>
      <c r="D1379">
        <v>1</v>
      </c>
      <c r="E1379" t="str">
        <f t="shared" si="21"/>
        <v>Januari</v>
      </c>
      <c r="F1379">
        <v>1</v>
      </c>
      <c r="G1379" t="s">
        <v>1526</v>
      </c>
      <c r="H1379" t="s">
        <v>1527</v>
      </c>
      <c r="I1379" t="s">
        <v>1521</v>
      </c>
      <c r="J1379" t="s">
        <v>1517</v>
      </c>
      <c r="K1379" t="s">
        <v>1525</v>
      </c>
      <c r="L1379" s="2">
        <v>4</v>
      </c>
      <c r="M1379" s="10">
        <v>506</v>
      </c>
      <c r="N1379" s="7">
        <v>2024</v>
      </c>
    </row>
    <row r="1380" spans="1:14" x14ac:dyDescent="0.3">
      <c r="A1380">
        <v>1378</v>
      </c>
      <c r="B1380" s="1">
        <v>46036</v>
      </c>
      <c r="C1380">
        <v>2026</v>
      </c>
      <c r="D1380">
        <v>1</v>
      </c>
      <c r="E1380" t="str">
        <f t="shared" si="21"/>
        <v>Januari</v>
      </c>
      <c r="F1380">
        <v>1</v>
      </c>
      <c r="G1380" t="s">
        <v>1529</v>
      </c>
      <c r="H1380" t="s">
        <v>1530</v>
      </c>
      <c r="I1380" t="s">
        <v>1521</v>
      </c>
      <c r="J1380" t="s">
        <v>1517</v>
      </c>
      <c r="K1380" t="s">
        <v>1525</v>
      </c>
      <c r="L1380" s="2">
        <v>1</v>
      </c>
      <c r="M1380" s="10">
        <v>640</v>
      </c>
      <c r="N1380" s="7">
        <v>640</v>
      </c>
    </row>
    <row r="1381" spans="1:14" x14ac:dyDescent="0.3">
      <c r="A1381">
        <v>1379</v>
      </c>
      <c r="B1381" s="1">
        <v>46037</v>
      </c>
      <c r="C1381">
        <v>2026</v>
      </c>
      <c r="D1381">
        <v>1</v>
      </c>
      <c r="E1381" t="str">
        <f t="shared" si="21"/>
        <v>Januari</v>
      </c>
      <c r="F1381">
        <v>1</v>
      </c>
      <c r="G1381" t="s">
        <v>1532</v>
      </c>
      <c r="H1381" t="s">
        <v>1512</v>
      </c>
      <c r="I1381" t="s">
        <v>1531</v>
      </c>
      <c r="J1381" t="s">
        <v>1524</v>
      </c>
      <c r="K1381" t="s">
        <v>1518</v>
      </c>
      <c r="L1381" s="2">
        <v>2</v>
      </c>
      <c r="M1381" s="10">
        <v>7951</v>
      </c>
      <c r="N1381" s="7">
        <v>15902</v>
      </c>
    </row>
    <row r="1382" spans="1:14" x14ac:dyDescent="0.3">
      <c r="A1382">
        <v>1380</v>
      </c>
      <c r="B1382" s="1">
        <v>46038</v>
      </c>
      <c r="C1382">
        <v>2026</v>
      </c>
      <c r="D1382">
        <v>1</v>
      </c>
      <c r="E1382" t="str">
        <f t="shared" si="21"/>
        <v>Januari</v>
      </c>
      <c r="F1382">
        <v>1</v>
      </c>
      <c r="G1382" t="s">
        <v>1533</v>
      </c>
      <c r="H1382" t="s">
        <v>1520</v>
      </c>
      <c r="I1382" t="s">
        <v>1516</v>
      </c>
      <c r="J1382" t="s">
        <v>1524</v>
      </c>
      <c r="K1382" t="s">
        <v>1518</v>
      </c>
      <c r="L1382" s="2">
        <v>2</v>
      </c>
      <c r="M1382" s="10">
        <v>547</v>
      </c>
      <c r="N1382" s="7">
        <v>1094</v>
      </c>
    </row>
    <row r="1383" spans="1:14" x14ac:dyDescent="0.3">
      <c r="A1383">
        <v>1381</v>
      </c>
      <c r="B1383" s="1">
        <v>46039</v>
      </c>
      <c r="C1383">
        <v>2026</v>
      </c>
      <c r="D1383">
        <v>1</v>
      </c>
      <c r="E1383" t="str">
        <f t="shared" si="21"/>
        <v>Januari</v>
      </c>
      <c r="F1383">
        <v>1</v>
      </c>
      <c r="G1383" t="s">
        <v>1511</v>
      </c>
      <c r="H1383" t="s">
        <v>1512</v>
      </c>
      <c r="I1383" t="s">
        <v>1513</v>
      </c>
      <c r="J1383" t="s">
        <v>1524</v>
      </c>
      <c r="K1383" t="s">
        <v>1518</v>
      </c>
      <c r="L1383" s="2">
        <v>2</v>
      </c>
      <c r="M1383" s="10">
        <v>44128</v>
      </c>
      <c r="N1383" s="7">
        <v>88256</v>
      </c>
    </row>
    <row r="1384" spans="1:14" x14ac:dyDescent="0.3">
      <c r="A1384">
        <v>1382</v>
      </c>
      <c r="B1384" s="1">
        <v>46040</v>
      </c>
      <c r="C1384">
        <v>2026</v>
      </c>
      <c r="D1384">
        <v>1</v>
      </c>
      <c r="E1384" t="str">
        <f t="shared" si="21"/>
        <v>Januari</v>
      </c>
      <c r="F1384">
        <v>1</v>
      </c>
      <c r="G1384" t="s">
        <v>1515</v>
      </c>
      <c r="H1384" t="s">
        <v>1512</v>
      </c>
      <c r="I1384" t="s">
        <v>1535</v>
      </c>
      <c r="J1384" t="s">
        <v>1517</v>
      </c>
      <c r="K1384" t="s">
        <v>1525</v>
      </c>
      <c r="L1384" s="2">
        <v>1</v>
      </c>
      <c r="M1384" s="10">
        <v>2236</v>
      </c>
      <c r="N1384" s="7">
        <v>2236</v>
      </c>
    </row>
    <row r="1385" spans="1:14" x14ac:dyDescent="0.3">
      <c r="A1385">
        <v>1383</v>
      </c>
      <c r="B1385" s="1">
        <v>46041</v>
      </c>
      <c r="C1385">
        <v>2026</v>
      </c>
      <c r="D1385">
        <v>1</v>
      </c>
      <c r="E1385" t="str">
        <f t="shared" si="21"/>
        <v>Januari</v>
      </c>
      <c r="F1385">
        <v>1</v>
      </c>
      <c r="G1385" t="s">
        <v>1534</v>
      </c>
      <c r="H1385" t="s">
        <v>1530</v>
      </c>
      <c r="I1385" t="s">
        <v>1535</v>
      </c>
      <c r="J1385" t="s">
        <v>1566</v>
      </c>
      <c r="K1385" t="s">
        <v>1518</v>
      </c>
      <c r="L1385" s="2">
        <v>1</v>
      </c>
      <c r="M1385" s="10">
        <v>2086</v>
      </c>
      <c r="N1385" s="7">
        <v>2086</v>
      </c>
    </row>
    <row r="1386" spans="1:14" x14ac:dyDescent="0.3">
      <c r="A1386">
        <v>1384</v>
      </c>
      <c r="B1386" s="1">
        <v>46042</v>
      </c>
      <c r="C1386">
        <v>2026</v>
      </c>
      <c r="D1386">
        <v>1</v>
      </c>
      <c r="E1386" t="str">
        <f t="shared" si="21"/>
        <v>Januari</v>
      </c>
      <c r="F1386">
        <v>1</v>
      </c>
      <c r="G1386" t="s">
        <v>1519</v>
      </c>
      <c r="H1386" t="s">
        <v>1520</v>
      </c>
      <c r="I1386" t="s">
        <v>1513</v>
      </c>
      <c r="J1386" t="s">
        <v>1524</v>
      </c>
      <c r="K1386" t="s">
        <v>1514</v>
      </c>
      <c r="L1386" s="2">
        <v>5</v>
      </c>
      <c r="M1386" s="10">
        <v>2776</v>
      </c>
      <c r="N1386" s="7">
        <v>13880</v>
      </c>
    </row>
    <row r="1387" spans="1:14" x14ac:dyDescent="0.3">
      <c r="A1387">
        <v>1385</v>
      </c>
      <c r="B1387" s="1">
        <v>46043</v>
      </c>
      <c r="C1387">
        <v>2026</v>
      </c>
      <c r="D1387">
        <v>1</v>
      </c>
      <c r="E1387" t="str">
        <f t="shared" si="21"/>
        <v>Januari</v>
      </c>
      <c r="F1387">
        <v>1</v>
      </c>
      <c r="G1387" t="s">
        <v>1522</v>
      </c>
      <c r="H1387" t="s">
        <v>1520</v>
      </c>
      <c r="I1387" t="s">
        <v>1528</v>
      </c>
      <c r="J1387" t="s">
        <v>1517</v>
      </c>
      <c r="K1387" t="s">
        <v>1518</v>
      </c>
      <c r="L1387" s="2">
        <v>3</v>
      </c>
      <c r="M1387" s="10">
        <v>950</v>
      </c>
      <c r="N1387" s="7">
        <v>2850</v>
      </c>
    </row>
    <row r="1388" spans="1:14" x14ac:dyDescent="0.3">
      <c r="A1388">
        <v>1386</v>
      </c>
      <c r="B1388" s="1">
        <v>46044</v>
      </c>
      <c r="C1388">
        <v>2026</v>
      </c>
      <c r="D1388">
        <v>1</v>
      </c>
      <c r="E1388" t="str">
        <f t="shared" si="21"/>
        <v>Januari</v>
      </c>
      <c r="F1388">
        <v>1</v>
      </c>
      <c r="G1388" t="s">
        <v>1523</v>
      </c>
      <c r="H1388" t="s">
        <v>1512</v>
      </c>
      <c r="I1388" t="s">
        <v>1513</v>
      </c>
      <c r="J1388" t="s">
        <v>1524</v>
      </c>
      <c r="K1388" t="s">
        <v>1525</v>
      </c>
      <c r="L1388" s="2">
        <v>2</v>
      </c>
      <c r="M1388" s="10">
        <v>35262</v>
      </c>
      <c r="N1388" s="7">
        <v>70524</v>
      </c>
    </row>
    <row r="1389" spans="1:14" x14ac:dyDescent="0.3">
      <c r="A1389">
        <v>1387</v>
      </c>
      <c r="B1389" s="1">
        <v>46045</v>
      </c>
      <c r="C1389">
        <v>2026</v>
      </c>
      <c r="D1389">
        <v>1</v>
      </c>
      <c r="E1389" t="str">
        <f t="shared" si="21"/>
        <v>Januari</v>
      </c>
      <c r="F1389">
        <v>1</v>
      </c>
      <c r="G1389" t="s">
        <v>1526</v>
      </c>
      <c r="H1389" t="s">
        <v>1527</v>
      </c>
      <c r="I1389" t="s">
        <v>1531</v>
      </c>
      <c r="J1389" t="s">
        <v>1566</v>
      </c>
      <c r="K1389" t="s">
        <v>1514</v>
      </c>
      <c r="L1389" s="2">
        <v>2</v>
      </c>
      <c r="M1389" s="10">
        <v>987</v>
      </c>
      <c r="N1389" s="7">
        <v>1974</v>
      </c>
    </row>
    <row r="1390" spans="1:14" x14ac:dyDescent="0.3">
      <c r="A1390">
        <v>1388</v>
      </c>
      <c r="B1390" s="1">
        <v>46046</v>
      </c>
      <c r="C1390">
        <v>2026</v>
      </c>
      <c r="D1390">
        <v>1</v>
      </c>
      <c r="E1390" t="str">
        <f t="shared" si="21"/>
        <v>Januari</v>
      </c>
      <c r="F1390">
        <v>1</v>
      </c>
      <c r="G1390" t="s">
        <v>1529</v>
      </c>
      <c r="H1390" t="s">
        <v>1530</v>
      </c>
      <c r="I1390" t="s">
        <v>1516</v>
      </c>
      <c r="J1390" t="s">
        <v>1517</v>
      </c>
      <c r="K1390" t="s">
        <v>1518</v>
      </c>
      <c r="L1390" s="2">
        <v>4</v>
      </c>
      <c r="M1390" s="10">
        <v>1738</v>
      </c>
      <c r="N1390" s="7">
        <v>6952</v>
      </c>
    </row>
    <row r="1391" spans="1:14" x14ac:dyDescent="0.3">
      <c r="A1391">
        <v>1389</v>
      </c>
      <c r="B1391" s="1">
        <v>46047</v>
      </c>
      <c r="C1391">
        <v>2026</v>
      </c>
      <c r="D1391">
        <v>1</v>
      </c>
      <c r="E1391" t="str">
        <f t="shared" si="21"/>
        <v>Januari</v>
      </c>
      <c r="F1391">
        <v>1</v>
      </c>
      <c r="G1391" t="s">
        <v>1532</v>
      </c>
      <c r="H1391" t="s">
        <v>1512</v>
      </c>
      <c r="I1391" t="s">
        <v>1535</v>
      </c>
      <c r="J1391" t="s">
        <v>1517</v>
      </c>
      <c r="K1391" t="s">
        <v>1518</v>
      </c>
      <c r="L1391" s="2">
        <v>2</v>
      </c>
      <c r="M1391" s="10">
        <v>12489</v>
      </c>
      <c r="N1391" s="7">
        <v>24978</v>
      </c>
    </row>
    <row r="1392" spans="1:14" x14ac:dyDescent="0.3">
      <c r="A1392">
        <v>1390</v>
      </c>
      <c r="B1392" s="1">
        <v>46048</v>
      </c>
      <c r="C1392">
        <v>2026</v>
      </c>
      <c r="D1392">
        <v>1</v>
      </c>
      <c r="E1392" t="str">
        <f t="shared" si="21"/>
        <v>Januari</v>
      </c>
      <c r="F1392">
        <v>1</v>
      </c>
      <c r="G1392" t="s">
        <v>1533</v>
      </c>
      <c r="H1392" t="s">
        <v>1520</v>
      </c>
      <c r="I1392" t="s">
        <v>1535</v>
      </c>
      <c r="J1392" t="s">
        <v>1524</v>
      </c>
      <c r="K1392" t="s">
        <v>1514</v>
      </c>
      <c r="L1392" s="2">
        <v>1</v>
      </c>
      <c r="M1392" s="10">
        <v>655</v>
      </c>
      <c r="N1392" s="7">
        <v>655</v>
      </c>
    </row>
    <row r="1393" spans="1:14" x14ac:dyDescent="0.3">
      <c r="A1393">
        <v>1391</v>
      </c>
      <c r="B1393" s="1">
        <v>46049</v>
      </c>
      <c r="C1393">
        <v>2026</v>
      </c>
      <c r="D1393">
        <v>1</v>
      </c>
      <c r="E1393" t="str">
        <f t="shared" si="21"/>
        <v>Januari</v>
      </c>
      <c r="F1393">
        <v>1</v>
      </c>
      <c r="G1393" t="s">
        <v>1511</v>
      </c>
      <c r="H1393" t="s">
        <v>1512</v>
      </c>
      <c r="I1393" t="s">
        <v>1531</v>
      </c>
      <c r="J1393" t="s">
        <v>1566</v>
      </c>
      <c r="K1393" t="s">
        <v>1514</v>
      </c>
      <c r="L1393" s="2">
        <v>1</v>
      </c>
      <c r="M1393" s="10">
        <v>43749</v>
      </c>
      <c r="N1393" s="7">
        <v>43749</v>
      </c>
    </row>
    <row r="1394" spans="1:14" x14ac:dyDescent="0.3">
      <c r="A1394">
        <v>1392</v>
      </c>
      <c r="B1394" s="1">
        <v>46050</v>
      </c>
      <c r="C1394">
        <v>2026</v>
      </c>
      <c r="D1394">
        <v>1</v>
      </c>
      <c r="E1394" t="str">
        <f t="shared" si="21"/>
        <v>Januari</v>
      </c>
      <c r="F1394">
        <v>1</v>
      </c>
      <c r="G1394" t="s">
        <v>1515</v>
      </c>
      <c r="H1394" t="s">
        <v>1512</v>
      </c>
      <c r="I1394" t="s">
        <v>1535</v>
      </c>
      <c r="J1394" t="s">
        <v>1566</v>
      </c>
      <c r="K1394" t="s">
        <v>1525</v>
      </c>
      <c r="L1394" s="2">
        <v>2</v>
      </c>
      <c r="M1394" s="10">
        <v>2811</v>
      </c>
      <c r="N1394" s="7">
        <v>5622</v>
      </c>
    </row>
    <row r="1395" spans="1:14" x14ac:dyDescent="0.3">
      <c r="A1395">
        <v>1393</v>
      </c>
      <c r="B1395" s="1">
        <v>46051</v>
      </c>
      <c r="C1395">
        <v>2026</v>
      </c>
      <c r="D1395">
        <v>1</v>
      </c>
      <c r="E1395" t="str">
        <f t="shared" si="21"/>
        <v>Januari</v>
      </c>
      <c r="F1395">
        <v>1</v>
      </c>
      <c r="G1395" t="s">
        <v>1534</v>
      </c>
      <c r="H1395" t="s">
        <v>1530</v>
      </c>
      <c r="I1395" t="s">
        <v>1513</v>
      </c>
      <c r="J1395" t="s">
        <v>1566</v>
      </c>
      <c r="K1395" t="s">
        <v>1518</v>
      </c>
      <c r="L1395" s="2">
        <v>2</v>
      </c>
      <c r="M1395" s="10">
        <v>3024</v>
      </c>
      <c r="N1395" s="7">
        <v>6048</v>
      </c>
    </row>
    <row r="1396" spans="1:14" x14ac:dyDescent="0.3">
      <c r="A1396">
        <v>1394</v>
      </c>
      <c r="B1396" s="1">
        <v>46052</v>
      </c>
      <c r="C1396">
        <v>2026</v>
      </c>
      <c r="D1396">
        <v>1</v>
      </c>
      <c r="E1396" t="str">
        <f t="shared" si="21"/>
        <v>Januari</v>
      </c>
      <c r="F1396">
        <v>1</v>
      </c>
      <c r="G1396" t="s">
        <v>1519</v>
      </c>
      <c r="H1396" t="s">
        <v>1520</v>
      </c>
      <c r="I1396" t="s">
        <v>1513</v>
      </c>
      <c r="J1396" t="s">
        <v>1517</v>
      </c>
      <c r="K1396" t="s">
        <v>1518</v>
      </c>
      <c r="L1396" s="2">
        <v>2</v>
      </c>
      <c r="M1396" s="10">
        <v>3456</v>
      </c>
      <c r="N1396" s="7">
        <v>6912</v>
      </c>
    </row>
    <row r="1397" spans="1:14" x14ac:dyDescent="0.3">
      <c r="A1397">
        <v>1395</v>
      </c>
      <c r="B1397" s="1">
        <v>46053</v>
      </c>
      <c r="C1397">
        <v>2026</v>
      </c>
      <c r="D1397">
        <v>1</v>
      </c>
      <c r="E1397" t="str">
        <f t="shared" si="21"/>
        <v>Januari</v>
      </c>
      <c r="F1397">
        <v>1</v>
      </c>
      <c r="G1397" t="s">
        <v>1522</v>
      </c>
      <c r="H1397" t="s">
        <v>1520</v>
      </c>
      <c r="I1397" t="s">
        <v>1528</v>
      </c>
      <c r="J1397" t="s">
        <v>1517</v>
      </c>
      <c r="K1397" t="s">
        <v>1525</v>
      </c>
      <c r="L1397" s="2">
        <v>2</v>
      </c>
      <c r="M1397" s="10">
        <v>101</v>
      </c>
      <c r="N1397" s="7">
        <v>202</v>
      </c>
    </row>
    <row r="1398" spans="1:14" x14ac:dyDescent="0.3">
      <c r="A1398">
        <v>1396</v>
      </c>
      <c r="B1398" s="1">
        <v>46054</v>
      </c>
      <c r="C1398">
        <v>2026</v>
      </c>
      <c r="D1398">
        <v>2</v>
      </c>
      <c r="E1398" t="str">
        <f t="shared" si="21"/>
        <v>Februari</v>
      </c>
      <c r="F1398">
        <v>1</v>
      </c>
      <c r="G1398" t="s">
        <v>1523</v>
      </c>
      <c r="H1398" t="s">
        <v>1512</v>
      </c>
      <c r="I1398" t="s">
        <v>1513</v>
      </c>
      <c r="J1398" t="s">
        <v>1524</v>
      </c>
      <c r="K1398" t="s">
        <v>1525</v>
      </c>
      <c r="L1398" s="2">
        <v>1</v>
      </c>
      <c r="M1398" s="10">
        <v>12460</v>
      </c>
      <c r="N1398" s="7">
        <v>12460</v>
      </c>
    </row>
    <row r="1399" spans="1:14" x14ac:dyDescent="0.3">
      <c r="A1399">
        <v>1397</v>
      </c>
      <c r="B1399" s="1">
        <v>46055</v>
      </c>
      <c r="C1399">
        <v>2026</v>
      </c>
      <c r="D1399">
        <v>2</v>
      </c>
      <c r="E1399" t="str">
        <f t="shared" si="21"/>
        <v>Februari</v>
      </c>
      <c r="F1399">
        <v>1</v>
      </c>
      <c r="G1399" t="s">
        <v>1526</v>
      </c>
      <c r="H1399" t="s">
        <v>1527</v>
      </c>
      <c r="I1399" t="s">
        <v>1528</v>
      </c>
      <c r="J1399" t="s">
        <v>1524</v>
      </c>
      <c r="K1399" t="s">
        <v>1525</v>
      </c>
      <c r="L1399" s="2">
        <v>2</v>
      </c>
      <c r="M1399" s="10">
        <v>255</v>
      </c>
      <c r="N1399" s="7">
        <v>510</v>
      </c>
    </row>
    <row r="1400" spans="1:14" x14ac:dyDescent="0.3">
      <c r="A1400">
        <v>1398</v>
      </c>
      <c r="B1400" s="1">
        <v>46056</v>
      </c>
      <c r="C1400">
        <v>2026</v>
      </c>
      <c r="D1400">
        <v>2</v>
      </c>
      <c r="E1400" t="str">
        <f t="shared" si="21"/>
        <v>Februari</v>
      </c>
      <c r="F1400">
        <v>1</v>
      </c>
      <c r="G1400" t="s">
        <v>1529</v>
      </c>
      <c r="H1400" t="s">
        <v>1530</v>
      </c>
      <c r="I1400" t="s">
        <v>1513</v>
      </c>
      <c r="J1400" t="s">
        <v>1566</v>
      </c>
      <c r="K1400" t="s">
        <v>1514</v>
      </c>
      <c r="L1400" s="2">
        <v>4</v>
      </c>
      <c r="M1400" s="10">
        <v>688</v>
      </c>
      <c r="N1400" s="7">
        <v>2752</v>
      </c>
    </row>
    <row r="1401" spans="1:14" x14ac:dyDescent="0.3">
      <c r="A1401">
        <v>1399</v>
      </c>
      <c r="B1401" s="1">
        <v>46057</v>
      </c>
      <c r="C1401">
        <v>2026</v>
      </c>
      <c r="D1401">
        <v>2</v>
      </c>
      <c r="E1401" t="str">
        <f t="shared" si="21"/>
        <v>Februari</v>
      </c>
      <c r="F1401">
        <v>1</v>
      </c>
      <c r="G1401" t="s">
        <v>1532</v>
      </c>
      <c r="H1401" t="s">
        <v>1512</v>
      </c>
      <c r="I1401" t="s">
        <v>1516</v>
      </c>
      <c r="J1401" t="s">
        <v>1517</v>
      </c>
      <c r="K1401" t="s">
        <v>1514</v>
      </c>
      <c r="L1401" s="2">
        <v>2</v>
      </c>
      <c r="M1401" s="10">
        <v>4109</v>
      </c>
      <c r="N1401" s="7">
        <v>8218</v>
      </c>
    </row>
    <row r="1402" spans="1:14" x14ac:dyDescent="0.3">
      <c r="A1402">
        <v>1400</v>
      </c>
      <c r="B1402" s="1">
        <v>46058</v>
      </c>
      <c r="C1402">
        <v>2026</v>
      </c>
      <c r="D1402">
        <v>2</v>
      </c>
      <c r="E1402" t="str">
        <f t="shared" si="21"/>
        <v>Februari</v>
      </c>
      <c r="F1402">
        <v>1</v>
      </c>
      <c r="G1402" t="s">
        <v>1533</v>
      </c>
      <c r="H1402" t="s">
        <v>1520</v>
      </c>
      <c r="I1402" t="s">
        <v>1535</v>
      </c>
      <c r="J1402" t="s">
        <v>1524</v>
      </c>
      <c r="K1402" t="s">
        <v>1518</v>
      </c>
      <c r="L1402" s="2">
        <v>2</v>
      </c>
      <c r="M1402" s="10">
        <v>289</v>
      </c>
      <c r="N1402" s="7">
        <v>578</v>
      </c>
    </row>
    <row r="1403" spans="1:14" x14ac:dyDescent="0.3">
      <c r="A1403">
        <v>1401</v>
      </c>
      <c r="B1403" s="1">
        <v>46059</v>
      </c>
      <c r="C1403">
        <v>2026</v>
      </c>
      <c r="D1403">
        <v>2</v>
      </c>
      <c r="E1403" t="str">
        <f t="shared" si="21"/>
        <v>Februari</v>
      </c>
      <c r="F1403">
        <v>1</v>
      </c>
      <c r="G1403" t="s">
        <v>1511</v>
      </c>
      <c r="H1403" t="s">
        <v>1512</v>
      </c>
      <c r="I1403" t="s">
        <v>1528</v>
      </c>
      <c r="J1403" t="s">
        <v>1524</v>
      </c>
      <c r="K1403" t="s">
        <v>1525</v>
      </c>
      <c r="L1403" s="2">
        <v>1</v>
      </c>
      <c r="M1403" s="10">
        <v>56349</v>
      </c>
      <c r="N1403" s="7">
        <v>56349</v>
      </c>
    </row>
    <row r="1404" spans="1:14" x14ac:dyDescent="0.3">
      <c r="A1404">
        <v>1402</v>
      </c>
      <c r="B1404" s="1">
        <v>46060</v>
      </c>
      <c r="C1404">
        <v>2026</v>
      </c>
      <c r="D1404">
        <v>2</v>
      </c>
      <c r="E1404" t="str">
        <f t="shared" si="21"/>
        <v>Februari</v>
      </c>
      <c r="F1404">
        <v>1</v>
      </c>
      <c r="G1404" t="s">
        <v>1515</v>
      </c>
      <c r="H1404" t="s">
        <v>1512</v>
      </c>
      <c r="I1404" t="s">
        <v>1528</v>
      </c>
      <c r="J1404" t="s">
        <v>1524</v>
      </c>
      <c r="K1404" t="s">
        <v>1514</v>
      </c>
      <c r="L1404" s="2">
        <v>3</v>
      </c>
      <c r="M1404" s="10">
        <v>2075</v>
      </c>
      <c r="N1404" s="7">
        <v>6225</v>
      </c>
    </row>
    <row r="1405" spans="1:14" x14ac:dyDescent="0.3">
      <c r="A1405">
        <v>1403</v>
      </c>
      <c r="B1405" s="1">
        <v>46061</v>
      </c>
      <c r="C1405">
        <v>2026</v>
      </c>
      <c r="D1405">
        <v>2</v>
      </c>
      <c r="E1405" t="str">
        <f t="shared" si="21"/>
        <v>Februari</v>
      </c>
      <c r="F1405">
        <v>1</v>
      </c>
      <c r="G1405" t="s">
        <v>1534</v>
      </c>
      <c r="H1405" t="s">
        <v>1530</v>
      </c>
      <c r="I1405" t="s">
        <v>1513</v>
      </c>
      <c r="J1405" t="s">
        <v>1517</v>
      </c>
      <c r="K1405" t="s">
        <v>1518</v>
      </c>
      <c r="L1405" s="2">
        <v>3</v>
      </c>
      <c r="M1405" s="10">
        <v>3644</v>
      </c>
      <c r="N1405" s="7">
        <v>10932</v>
      </c>
    </row>
    <row r="1406" spans="1:14" x14ac:dyDescent="0.3">
      <c r="A1406">
        <v>1404</v>
      </c>
      <c r="B1406" s="1">
        <v>46062</v>
      </c>
      <c r="C1406">
        <v>2026</v>
      </c>
      <c r="D1406">
        <v>2</v>
      </c>
      <c r="E1406" t="str">
        <f t="shared" si="21"/>
        <v>Februari</v>
      </c>
      <c r="F1406">
        <v>1</v>
      </c>
      <c r="G1406" t="s">
        <v>1519</v>
      </c>
      <c r="H1406" t="s">
        <v>1520</v>
      </c>
      <c r="I1406" t="s">
        <v>1535</v>
      </c>
      <c r="J1406" t="s">
        <v>1517</v>
      </c>
      <c r="K1406" t="s">
        <v>1518</v>
      </c>
      <c r="L1406" s="2">
        <v>1</v>
      </c>
      <c r="M1406" s="10">
        <v>5904</v>
      </c>
      <c r="N1406" s="7">
        <v>5904</v>
      </c>
    </row>
    <row r="1407" spans="1:14" x14ac:dyDescent="0.3">
      <c r="A1407">
        <v>1405</v>
      </c>
      <c r="B1407" s="1">
        <v>46063</v>
      </c>
      <c r="C1407">
        <v>2026</v>
      </c>
      <c r="D1407">
        <v>2</v>
      </c>
      <c r="E1407" t="str">
        <f t="shared" si="21"/>
        <v>Februari</v>
      </c>
      <c r="F1407">
        <v>1</v>
      </c>
      <c r="G1407" t="s">
        <v>1522</v>
      </c>
      <c r="H1407" t="s">
        <v>1520</v>
      </c>
      <c r="I1407" t="s">
        <v>1531</v>
      </c>
      <c r="J1407" t="s">
        <v>1566</v>
      </c>
      <c r="K1407" t="s">
        <v>1525</v>
      </c>
      <c r="L1407" s="2">
        <v>3</v>
      </c>
      <c r="M1407" s="10">
        <v>295</v>
      </c>
      <c r="N1407" s="7">
        <v>885</v>
      </c>
    </row>
    <row r="1408" spans="1:14" x14ac:dyDescent="0.3">
      <c r="A1408">
        <v>1406</v>
      </c>
      <c r="B1408" s="1">
        <v>46064</v>
      </c>
      <c r="C1408">
        <v>2026</v>
      </c>
      <c r="D1408">
        <v>2</v>
      </c>
      <c r="E1408" t="str">
        <f t="shared" si="21"/>
        <v>Februari</v>
      </c>
      <c r="F1408">
        <v>1</v>
      </c>
      <c r="G1408" t="s">
        <v>1523</v>
      </c>
      <c r="H1408" t="s">
        <v>1512</v>
      </c>
      <c r="I1408" t="s">
        <v>1513</v>
      </c>
      <c r="J1408" t="s">
        <v>1517</v>
      </c>
      <c r="K1408" t="s">
        <v>1514</v>
      </c>
      <c r="L1408" s="2">
        <v>1</v>
      </c>
      <c r="M1408" s="10">
        <v>27414</v>
      </c>
      <c r="N1408" s="7">
        <v>27414</v>
      </c>
    </row>
    <row r="1409" spans="1:14" x14ac:dyDescent="0.3">
      <c r="A1409">
        <v>1407</v>
      </c>
      <c r="B1409" s="1">
        <v>46065</v>
      </c>
      <c r="C1409">
        <v>2026</v>
      </c>
      <c r="D1409">
        <v>2</v>
      </c>
      <c r="E1409" t="str">
        <f t="shared" si="21"/>
        <v>Februari</v>
      </c>
      <c r="F1409">
        <v>1</v>
      </c>
      <c r="G1409" t="s">
        <v>1526</v>
      </c>
      <c r="H1409" t="s">
        <v>1527</v>
      </c>
      <c r="I1409" t="s">
        <v>1531</v>
      </c>
      <c r="J1409" t="s">
        <v>1566</v>
      </c>
      <c r="K1409" t="s">
        <v>1525</v>
      </c>
      <c r="L1409" s="2">
        <v>1</v>
      </c>
      <c r="M1409" s="10">
        <v>367</v>
      </c>
      <c r="N1409" s="7">
        <v>367</v>
      </c>
    </row>
    <row r="1410" spans="1:14" x14ac:dyDescent="0.3">
      <c r="A1410">
        <v>1408</v>
      </c>
      <c r="B1410" s="1">
        <v>46066</v>
      </c>
      <c r="C1410">
        <v>2026</v>
      </c>
      <c r="D1410">
        <v>2</v>
      </c>
      <c r="E1410" t="str">
        <f t="shared" si="21"/>
        <v>Februari</v>
      </c>
      <c r="F1410">
        <v>1</v>
      </c>
      <c r="G1410" t="s">
        <v>1529</v>
      </c>
      <c r="H1410" t="s">
        <v>1530</v>
      </c>
      <c r="I1410" t="s">
        <v>1521</v>
      </c>
      <c r="J1410" t="s">
        <v>1566</v>
      </c>
      <c r="K1410" t="s">
        <v>1525</v>
      </c>
      <c r="L1410" s="2">
        <v>2</v>
      </c>
      <c r="M1410" s="10">
        <v>698</v>
      </c>
      <c r="N1410" s="7">
        <v>1396</v>
      </c>
    </row>
    <row r="1411" spans="1:14" x14ac:dyDescent="0.3">
      <c r="A1411">
        <v>1409</v>
      </c>
      <c r="B1411" s="1">
        <v>46067</v>
      </c>
      <c r="C1411">
        <v>2026</v>
      </c>
      <c r="D1411">
        <v>2</v>
      </c>
      <c r="E1411" t="str">
        <f t="shared" ref="E1411:E1474" si="22">TEXT(DATE(2026, D1411, 1), "[$-id-ID]mmmm")</f>
        <v>Februari</v>
      </c>
      <c r="F1411">
        <v>1</v>
      </c>
      <c r="G1411" t="s">
        <v>1532</v>
      </c>
      <c r="H1411" t="s">
        <v>1512</v>
      </c>
      <c r="I1411" t="s">
        <v>1531</v>
      </c>
      <c r="J1411" t="s">
        <v>1524</v>
      </c>
      <c r="K1411" t="s">
        <v>1514</v>
      </c>
      <c r="L1411" s="2">
        <v>2</v>
      </c>
      <c r="M1411" s="10">
        <v>13713</v>
      </c>
      <c r="N1411" s="7">
        <v>27426</v>
      </c>
    </row>
    <row r="1412" spans="1:14" x14ac:dyDescent="0.3">
      <c r="A1412">
        <v>1410</v>
      </c>
      <c r="B1412" s="1">
        <v>46068</v>
      </c>
      <c r="C1412">
        <v>2026</v>
      </c>
      <c r="D1412">
        <v>2</v>
      </c>
      <c r="E1412" t="str">
        <f t="shared" si="22"/>
        <v>Februari</v>
      </c>
      <c r="F1412">
        <v>1</v>
      </c>
      <c r="G1412" t="s">
        <v>1533</v>
      </c>
      <c r="H1412" t="s">
        <v>1520</v>
      </c>
      <c r="I1412" t="s">
        <v>1516</v>
      </c>
      <c r="J1412" t="s">
        <v>1566</v>
      </c>
      <c r="K1412" t="s">
        <v>1525</v>
      </c>
      <c r="L1412" s="2">
        <v>4</v>
      </c>
      <c r="M1412" s="10">
        <v>626</v>
      </c>
      <c r="N1412" s="7">
        <v>2504</v>
      </c>
    </row>
    <row r="1413" spans="1:14" x14ac:dyDescent="0.3">
      <c r="A1413">
        <v>1411</v>
      </c>
      <c r="B1413" s="1">
        <v>46069</v>
      </c>
      <c r="C1413">
        <v>2026</v>
      </c>
      <c r="D1413">
        <v>2</v>
      </c>
      <c r="E1413" t="str">
        <f t="shared" si="22"/>
        <v>Februari</v>
      </c>
      <c r="F1413">
        <v>1</v>
      </c>
      <c r="G1413" t="s">
        <v>1511</v>
      </c>
      <c r="H1413" t="s">
        <v>1512</v>
      </c>
      <c r="I1413" t="s">
        <v>1516</v>
      </c>
      <c r="J1413" t="s">
        <v>1566</v>
      </c>
      <c r="K1413" t="s">
        <v>1514</v>
      </c>
      <c r="L1413" s="2">
        <v>2</v>
      </c>
      <c r="M1413" s="10">
        <v>56913</v>
      </c>
      <c r="N1413" s="7">
        <v>113826</v>
      </c>
    </row>
    <row r="1414" spans="1:14" x14ac:dyDescent="0.3">
      <c r="A1414">
        <v>1412</v>
      </c>
      <c r="B1414" s="1">
        <v>46070</v>
      </c>
      <c r="C1414">
        <v>2026</v>
      </c>
      <c r="D1414">
        <v>2</v>
      </c>
      <c r="E1414" t="str">
        <f t="shared" si="22"/>
        <v>Februari</v>
      </c>
      <c r="F1414">
        <v>1</v>
      </c>
      <c r="G1414" t="s">
        <v>1515</v>
      </c>
      <c r="H1414" t="s">
        <v>1512</v>
      </c>
      <c r="I1414" t="s">
        <v>1535</v>
      </c>
      <c r="J1414" t="s">
        <v>1566</v>
      </c>
      <c r="K1414" t="s">
        <v>1514</v>
      </c>
      <c r="L1414" s="2">
        <v>1</v>
      </c>
      <c r="M1414" s="10">
        <v>4959</v>
      </c>
      <c r="N1414" s="7">
        <v>4959</v>
      </c>
    </row>
    <row r="1415" spans="1:14" x14ac:dyDescent="0.3">
      <c r="A1415">
        <v>1413</v>
      </c>
      <c r="B1415" s="1">
        <v>46071</v>
      </c>
      <c r="C1415">
        <v>2026</v>
      </c>
      <c r="D1415">
        <v>2</v>
      </c>
      <c r="E1415" t="str">
        <f t="shared" si="22"/>
        <v>Februari</v>
      </c>
      <c r="F1415">
        <v>1</v>
      </c>
      <c r="G1415" t="s">
        <v>1534</v>
      </c>
      <c r="H1415" t="s">
        <v>1530</v>
      </c>
      <c r="I1415" t="s">
        <v>1535</v>
      </c>
      <c r="J1415" t="s">
        <v>1566</v>
      </c>
      <c r="K1415" t="s">
        <v>1514</v>
      </c>
      <c r="L1415" s="2">
        <v>2</v>
      </c>
      <c r="M1415" s="10">
        <v>2841</v>
      </c>
      <c r="N1415" s="7">
        <v>5682</v>
      </c>
    </row>
    <row r="1416" spans="1:14" x14ac:dyDescent="0.3">
      <c r="A1416">
        <v>1414</v>
      </c>
      <c r="B1416" s="1">
        <v>46072</v>
      </c>
      <c r="C1416">
        <v>2026</v>
      </c>
      <c r="D1416">
        <v>2</v>
      </c>
      <c r="E1416" t="str">
        <f t="shared" si="22"/>
        <v>Februari</v>
      </c>
      <c r="F1416">
        <v>1</v>
      </c>
      <c r="G1416" t="s">
        <v>1519</v>
      </c>
      <c r="H1416" t="s">
        <v>1520</v>
      </c>
      <c r="I1416" t="s">
        <v>1528</v>
      </c>
      <c r="J1416" t="s">
        <v>1517</v>
      </c>
      <c r="K1416" t="s">
        <v>1514</v>
      </c>
      <c r="L1416" s="2">
        <v>4</v>
      </c>
      <c r="M1416" s="10">
        <v>13916</v>
      </c>
      <c r="N1416" s="7">
        <v>55664</v>
      </c>
    </row>
    <row r="1417" spans="1:14" x14ac:dyDescent="0.3">
      <c r="A1417">
        <v>1415</v>
      </c>
      <c r="B1417" s="1">
        <v>46073</v>
      </c>
      <c r="C1417">
        <v>2026</v>
      </c>
      <c r="D1417">
        <v>2</v>
      </c>
      <c r="E1417" t="str">
        <f t="shared" si="22"/>
        <v>Februari</v>
      </c>
      <c r="F1417">
        <v>1</v>
      </c>
      <c r="G1417" t="s">
        <v>1522</v>
      </c>
      <c r="H1417" t="s">
        <v>1520</v>
      </c>
      <c r="I1417" t="s">
        <v>1535</v>
      </c>
      <c r="J1417" t="s">
        <v>1524</v>
      </c>
      <c r="K1417" t="s">
        <v>1525</v>
      </c>
      <c r="L1417" s="2">
        <v>4</v>
      </c>
      <c r="M1417" s="10">
        <v>151</v>
      </c>
      <c r="N1417" s="7">
        <v>604</v>
      </c>
    </row>
    <row r="1418" spans="1:14" x14ac:dyDescent="0.3">
      <c r="A1418">
        <v>1416</v>
      </c>
      <c r="B1418" s="1">
        <v>46074</v>
      </c>
      <c r="C1418">
        <v>2026</v>
      </c>
      <c r="D1418">
        <v>2</v>
      </c>
      <c r="E1418" t="str">
        <f t="shared" si="22"/>
        <v>Februari</v>
      </c>
      <c r="F1418">
        <v>1</v>
      </c>
      <c r="G1418" t="s">
        <v>1523</v>
      </c>
      <c r="H1418" t="s">
        <v>1512</v>
      </c>
      <c r="I1418" t="s">
        <v>1513</v>
      </c>
      <c r="J1418" t="s">
        <v>1517</v>
      </c>
      <c r="K1418" t="s">
        <v>1525</v>
      </c>
      <c r="L1418" s="2">
        <v>1</v>
      </c>
      <c r="M1418" s="10">
        <v>17923</v>
      </c>
      <c r="N1418" s="7">
        <v>17923</v>
      </c>
    </row>
    <row r="1419" spans="1:14" x14ac:dyDescent="0.3">
      <c r="A1419">
        <v>1417</v>
      </c>
      <c r="B1419" s="1">
        <v>46075</v>
      </c>
      <c r="C1419">
        <v>2026</v>
      </c>
      <c r="D1419">
        <v>2</v>
      </c>
      <c r="E1419" t="str">
        <f t="shared" si="22"/>
        <v>Februari</v>
      </c>
      <c r="F1419">
        <v>1</v>
      </c>
      <c r="G1419" t="s">
        <v>1526</v>
      </c>
      <c r="H1419" t="s">
        <v>1527</v>
      </c>
      <c r="I1419" t="s">
        <v>1531</v>
      </c>
      <c r="J1419" t="s">
        <v>1517</v>
      </c>
      <c r="K1419" t="s">
        <v>1514</v>
      </c>
      <c r="L1419" s="2">
        <v>3</v>
      </c>
      <c r="M1419" s="10">
        <v>843</v>
      </c>
      <c r="N1419" s="7">
        <v>2529</v>
      </c>
    </row>
    <row r="1420" spans="1:14" x14ac:dyDescent="0.3">
      <c r="A1420">
        <v>1418</v>
      </c>
      <c r="B1420" s="1">
        <v>46076</v>
      </c>
      <c r="C1420">
        <v>2026</v>
      </c>
      <c r="D1420">
        <v>2</v>
      </c>
      <c r="E1420" t="str">
        <f t="shared" si="22"/>
        <v>Februari</v>
      </c>
      <c r="F1420">
        <v>1</v>
      </c>
      <c r="G1420" t="s">
        <v>1529</v>
      </c>
      <c r="H1420" t="s">
        <v>1530</v>
      </c>
      <c r="I1420" t="s">
        <v>1516</v>
      </c>
      <c r="J1420" t="s">
        <v>1517</v>
      </c>
      <c r="K1420" t="s">
        <v>1518</v>
      </c>
      <c r="L1420" s="2">
        <v>2</v>
      </c>
      <c r="M1420" s="10">
        <v>1736</v>
      </c>
      <c r="N1420" s="7">
        <v>3472</v>
      </c>
    </row>
    <row r="1421" spans="1:14" x14ac:dyDescent="0.3">
      <c r="A1421">
        <v>1419</v>
      </c>
      <c r="B1421" s="1">
        <v>46077</v>
      </c>
      <c r="C1421">
        <v>2026</v>
      </c>
      <c r="D1421">
        <v>2</v>
      </c>
      <c r="E1421" t="str">
        <f t="shared" si="22"/>
        <v>Februari</v>
      </c>
      <c r="F1421">
        <v>1</v>
      </c>
      <c r="G1421" t="s">
        <v>1532</v>
      </c>
      <c r="H1421" t="s">
        <v>1512</v>
      </c>
      <c r="I1421" t="s">
        <v>1535</v>
      </c>
      <c r="J1421" t="s">
        <v>1566</v>
      </c>
      <c r="K1421" t="s">
        <v>1518</v>
      </c>
      <c r="L1421" s="2">
        <v>1</v>
      </c>
      <c r="M1421" s="10">
        <v>13704</v>
      </c>
      <c r="N1421" s="7">
        <v>13704</v>
      </c>
    </row>
    <row r="1422" spans="1:14" x14ac:dyDescent="0.3">
      <c r="A1422">
        <v>1420</v>
      </c>
      <c r="B1422" s="1">
        <v>46078</v>
      </c>
      <c r="C1422">
        <v>2026</v>
      </c>
      <c r="D1422">
        <v>2</v>
      </c>
      <c r="E1422" t="str">
        <f t="shared" si="22"/>
        <v>Februari</v>
      </c>
      <c r="F1422">
        <v>1</v>
      </c>
      <c r="G1422" t="s">
        <v>1533</v>
      </c>
      <c r="H1422" t="s">
        <v>1520</v>
      </c>
      <c r="I1422" t="s">
        <v>1516</v>
      </c>
      <c r="J1422" t="s">
        <v>1566</v>
      </c>
      <c r="K1422" t="s">
        <v>1518</v>
      </c>
      <c r="L1422" s="2">
        <v>5</v>
      </c>
      <c r="M1422" s="10">
        <v>297</v>
      </c>
      <c r="N1422" s="7">
        <v>1485</v>
      </c>
    </row>
    <row r="1423" spans="1:14" x14ac:dyDescent="0.3">
      <c r="A1423">
        <v>1421</v>
      </c>
      <c r="B1423" s="1">
        <v>46079</v>
      </c>
      <c r="C1423">
        <v>2026</v>
      </c>
      <c r="D1423">
        <v>2</v>
      </c>
      <c r="E1423" t="str">
        <f t="shared" si="22"/>
        <v>Februari</v>
      </c>
      <c r="F1423">
        <v>1</v>
      </c>
      <c r="G1423" t="s">
        <v>1511</v>
      </c>
      <c r="H1423" t="s">
        <v>1512</v>
      </c>
      <c r="I1423" t="s">
        <v>1528</v>
      </c>
      <c r="J1423" t="s">
        <v>1524</v>
      </c>
      <c r="K1423" t="s">
        <v>1518</v>
      </c>
      <c r="L1423" s="2">
        <v>2</v>
      </c>
      <c r="M1423" s="10">
        <v>59030</v>
      </c>
      <c r="N1423" s="7">
        <v>118060</v>
      </c>
    </row>
    <row r="1424" spans="1:14" x14ac:dyDescent="0.3">
      <c r="A1424">
        <v>1422</v>
      </c>
      <c r="B1424" s="1">
        <v>46080</v>
      </c>
      <c r="C1424">
        <v>2026</v>
      </c>
      <c r="D1424">
        <v>2</v>
      </c>
      <c r="E1424" t="str">
        <f t="shared" si="22"/>
        <v>Februari</v>
      </c>
      <c r="F1424">
        <v>1</v>
      </c>
      <c r="G1424" t="s">
        <v>1515</v>
      </c>
      <c r="H1424" t="s">
        <v>1512</v>
      </c>
      <c r="I1424" t="s">
        <v>1535</v>
      </c>
      <c r="J1424" t="s">
        <v>1566</v>
      </c>
      <c r="K1424" t="s">
        <v>1518</v>
      </c>
      <c r="L1424" s="2">
        <v>1</v>
      </c>
      <c r="M1424" s="10">
        <v>1043</v>
      </c>
      <c r="N1424" s="7">
        <v>1043</v>
      </c>
    </row>
    <row r="1425" spans="1:14" x14ac:dyDescent="0.3">
      <c r="A1425">
        <v>1423</v>
      </c>
      <c r="B1425" s="1">
        <v>46081</v>
      </c>
      <c r="C1425">
        <v>2026</v>
      </c>
      <c r="D1425">
        <v>2</v>
      </c>
      <c r="E1425" t="str">
        <f t="shared" si="22"/>
        <v>Februari</v>
      </c>
      <c r="F1425">
        <v>1</v>
      </c>
      <c r="G1425" t="s">
        <v>1534</v>
      </c>
      <c r="H1425" t="s">
        <v>1530</v>
      </c>
      <c r="I1425" t="s">
        <v>1516</v>
      </c>
      <c r="J1425" t="s">
        <v>1517</v>
      </c>
      <c r="K1425" t="s">
        <v>1514</v>
      </c>
      <c r="L1425" s="2">
        <v>2</v>
      </c>
      <c r="M1425" s="10">
        <v>3714</v>
      </c>
      <c r="N1425" s="7">
        <v>7428</v>
      </c>
    </row>
    <row r="1426" spans="1:14" x14ac:dyDescent="0.3">
      <c r="A1426">
        <v>1424</v>
      </c>
      <c r="B1426" s="1">
        <v>46082</v>
      </c>
      <c r="C1426">
        <v>2026</v>
      </c>
      <c r="D1426">
        <v>3</v>
      </c>
      <c r="E1426" t="str">
        <f t="shared" si="22"/>
        <v>Maret</v>
      </c>
      <c r="F1426">
        <v>1</v>
      </c>
      <c r="G1426" t="s">
        <v>1519</v>
      </c>
      <c r="H1426" t="s">
        <v>1520</v>
      </c>
      <c r="I1426" t="s">
        <v>1528</v>
      </c>
      <c r="J1426" t="s">
        <v>1524</v>
      </c>
      <c r="K1426" t="s">
        <v>1518</v>
      </c>
      <c r="L1426" s="2">
        <v>2</v>
      </c>
      <c r="M1426" s="10">
        <v>4810</v>
      </c>
      <c r="N1426" s="7">
        <v>9620</v>
      </c>
    </row>
    <row r="1427" spans="1:14" x14ac:dyDescent="0.3">
      <c r="A1427">
        <v>1425</v>
      </c>
      <c r="B1427" s="1">
        <v>46083</v>
      </c>
      <c r="C1427">
        <v>2026</v>
      </c>
      <c r="D1427">
        <v>3</v>
      </c>
      <c r="E1427" t="str">
        <f t="shared" si="22"/>
        <v>Maret</v>
      </c>
      <c r="F1427">
        <v>1</v>
      </c>
      <c r="G1427" t="s">
        <v>1522</v>
      </c>
      <c r="H1427" t="s">
        <v>1520</v>
      </c>
      <c r="I1427" t="s">
        <v>1516</v>
      </c>
      <c r="J1427" t="s">
        <v>1524</v>
      </c>
      <c r="K1427" t="s">
        <v>1514</v>
      </c>
      <c r="L1427" s="2">
        <v>3</v>
      </c>
      <c r="M1427" s="10">
        <v>873</v>
      </c>
      <c r="N1427" s="7">
        <v>2619</v>
      </c>
    </row>
    <row r="1428" spans="1:14" x14ac:dyDescent="0.3">
      <c r="A1428">
        <v>1426</v>
      </c>
      <c r="B1428" s="1">
        <v>46084</v>
      </c>
      <c r="C1428">
        <v>2026</v>
      </c>
      <c r="D1428">
        <v>3</v>
      </c>
      <c r="E1428" t="str">
        <f t="shared" si="22"/>
        <v>Maret</v>
      </c>
      <c r="F1428">
        <v>1</v>
      </c>
      <c r="G1428" t="s">
        <v>1523</v>
      </c>
      <c r="H1428" t="s">
        <v>1512</v>
      </c>
      <c r="I1428" t="s">
        <v>1535</v>
      </c>
      <c r="J1428" t="s">
        <v>1566</v>
      </c>
      <c r="K1428" t="s">
        <v>1518</v>
      </c>
      <c r="L1428" s="2">
        <v>1</v>
      </c>
      <c r="M1428" s="10">
        <v>16801</v>
      </c>
      <c r="N1428" s="7">
        <v>16801</v>
      </c>
    </row>
    <row r="1429" spans="1:14" x14ac:dyDescent="0.3">
      <c r="A1429">
        <v>1427</v>
      </c>
      <c r="B1429" s="1">
        <v>46085</v>
      </c>
      <c r="C1429">
        <v>2026</v>
      </c>
      <c r="D1429">
        <v>3</v>
      </c>
      <c r="E1429" t="str">
        <f t="shared" si="22"/>
        <v>Maret</v>
      </c>
      <c r="F1429">
        <v>1</v>
      </c>
      <c r="G1429" t="s">
        <v>1526</v>
      </c>
      <c r="H1429" t="s">
        <v>1527</v>
      </c>
      <c r="I1429" t="s">
        <v>1521</v>
      </c>
      <c r="J1429" t="s">
        <v>1524</v>
      </c>
      <c r="K1429" t="s">
        <v>1525</v>
      </c>
      <c r="L1429" s="2">
        <v>2</v>
      </c>
      <c r="M1429" s="10">
        <v>881</v>
      </c>
      <c r="N1429" s="7">
        <v>1762</v>
      </c>
    </row>
    <row r="1430" spans="1:14" x14ac:dyDescent="0.3">
      <c r="A1430">
        <v>1428</v>
      </c>
      <c r="B1430" s="1">
        <v>46086</v>
      </c>
      <c r="C1430">
        <v>2026</v>
      </c>
      <c r="D1430">
        <v>3</v>
      </c>
      <c r="E1430" t="str">
        <f t="shared" si="22"/>
        <v>Maret</v>
      </c>
      <c r="F1430">
        <v>1</v>
      </c>
      <c r="G1430" t="s">
        <v>1529</v>
      </c>
      <c r="H1430" t="s">
        <v>1530</v>
      </c>
      <c r="I1430" t="s">
        <v>1521</v>
      </c>
      <c r="J1430" t="s">
        <v>1566</v>
      </c>
      <c r="K1430" t="s">
        <v>1514</v>
      </c>
      <c r="L1430" s="2">
        <v>1</v>
      </c>
      <c r="M1430" s="10">
        <v>1334</v>
      </c>
      <c r="N1430" s="7">
        <v>1334</v>
      </c>
    </row>
    <row r="1431" spans="1:14" x14ac:dyDescent="0.3">
      <c r="A1431">
        <v>1429</v>
      </c>
      <c r="B1431" s="1">
        <v>46087</v>
      </c>
      <c r="C1431">
        <v>2026</v>
      </c>
      <c r="D1431">
        <v>3</v>
      </c>
      <c r="E1431" t="str">
        <f t="shared" si="22"/>
        <v>Maret</v>
      </c>
      <c r="F1431">
        <v>1</v>
      </c>
      <c r="G1431" t="s">
        <v>1532</v>
      </c>
      <c r="H1431" t="s">
        <v>1512</v>
      </c>
      <c r="I1431" t="s">
        <v>1531</v>
      </c>
      <c r="J1431" t="s">
        <v>1566</v>
      </c>
      <c r="K1431" t="s">
        <v>1514</v>
      </c>
      <c r="L1431" s="2">
        <v>1</v>
      </c>
      <c r="M1431" s="10">
        <v>5467</v>
      </c>
      <c r="N1431" s="7">
        <v>5467</v>
      </c>
    </row>
    <row r="1432" spans="1:14" x14ac:dyDescent="0.3">
      <c r="A1432">
        <v>1430</v>
      </c>
      <c r="B1432" s="1">
        <v>46088</v>
      </c>
      <c r="C1432">
        <v>2026</v>
      </c>
      <c r="D1432">
        <v>3</v>
      </c>
      <c r="E1432" t="str">
        <f t="shared" si="22"/>
        <v>Maret</v>
      </c>
      <c r="F1432">
        <v>1</v>
      </c>
      <c r="G1432" t="s">
        <v>1533</v>
      </c>
      <c r="H1432" t="s">
        <v>1520</v>
      </c>
      <c r="I1432" t="s">
        <v>1516</v>
      </c>
      <c r="J1432" t="s">
        <v>1524</v>
      </c>
      <c r="K1432" t="s">
        <v>1514</v>
      </c>
      <c r="L1432" s="2">
        <v>5</v>
      </c>
      <c r="M1432" s="10">
        <v>767</v>
      </c>
      <c r="N1432" s="7">
        <v>3835</v>
      </c>
    </row>
    <row r="1433" spans="1:14" x14ac:dyDescent="0.3">
      <c r="A1433">
        <v>1431</v>
      </c>
      <c r="B1433" s="1">
        <v>46089</v>
      </c>
      <c r="C1433">
        <v>2026</v>
      </c>
      <c r="D1433">
        <v>3</v>
      </c>
      <c r="E1433" t="str">
        <f t="shared" si="22"/>
        <v>Maret</v>
      </c>
      <c r="F1433">
        <v>1</v>
      </c>
      <c r="G1433" t="s">
        <v>1511</v>
      </c>
      <c r="H1433" t="s">
        <v>1512</v>
      </c>
      <c r="I1433" t="s">
        <v>1513</v>
      </c>
      <c r="J1433" t="s">
        <v>1566</v>
      </c>
      <c r="K1433" t="s">
        <v>1518</v>
      </c>
      <c r="L1433" s="2">
        <v>2</v>
      </c>
      <c r="M1433" s="10">
        <v>45680</v>
      </c>
      <c r="N1433" s="7">
        <v>91360</v>
      </c>
    </row>
    <row r="1434" spans="1:14" x14ac:dyDescent="0.3">
      <c r="A1434">
        <v>1432</v>
      </c>
      <c r="B1434" s="1">
        <v>46090</v>
      </c>
      <c r="C1434">
        <v>2026</v>
      </c>
      <c r="D1434">
        <v>3</v>
      </c>
      <c r="E1434" t="str">
        <f t="shared" si="22"/>
        <v>Maret</v>
      </c>
      <c r="F1434">
        <v>1</v>
      </c>
      <c r="G1434" t="s">
        <v>1515</v>
      </c>
      <c r="H1434" t="s">
        <v>1512</v>
      </c>
      <c r="I1434" t="s">
        <v>1528</v>
      </c>
      <c r="J1434" t="s">
        <v>1566</v>
      </c>
      <c r="K1434" t="s">
        <v>1518</v>
      </c>
      <c r="L1434" s="2">
        <v>1</v>
      </c>
      <c r="M1434" s="10">
        <v>3500</v>
      </c>
      <c r="N1434" s="7">
        <v>3500</v>
      </c>
    </row>
    <row r="1435" spans="1:14" x14ac:dyDescent="0.3">
      <c r="A1435">
        <v>1433</v>
      </c>
      <c r="B1435" s="1">
        <v>46091</v>
      </c>
      <c r="C1435">
        <v>2026</v>
      </c>
      <c r="D1435">
        <v>3</v>
      </c>
      <c r="E1435" t="str">
        <f t="shared" si="22"/>
        <v>Maret</v>
      </c>
      <c r="F1435">
        <v>1</v>
      </c>
      <c r="G1435" t="s">
        <v>1534</v>
      </c>
      <c r="H1435" t="s">
        <v>1530</v>
      </c>
      <c r="I1435" t="s">
        <v>1528</v>
      </c>
      <c r="J1435" t="s">
        <v>1524</v>
      </c>
      <c r="K1435" t="s">
        <v>1525</v>
      </c>
      <c r="L1435" s="2">
        <v>1</v>
      </c>
      <c r="M1435" s="10">
        <v>2356</v>
      </c>
      <c r="N1435" s="7">
        <v>2356</v>
      </c>
    </row>
    <row r="1436" spans="1:14" x14ac:dyDescent="0.3">
      <c r="A1436">
        <v>1434</v>
      </c>
      <c r="B1436" s="1">
        <v>46092</v>
      </c>
      <c r="C1436">
        <v>2026</v>
      </c>
      <c r="D1436">
        <v>3</v>
      </c>
      <c r="E1436" t="str">
        <f t="shared" si="22"/>
        <v>Maret</v>
      </c>
      <c r="F1436">
        <v>1</v>
      </c>
      <c r="G1436" t="s">
        <v>1519</v>
      </c>
      <c r="H1436" t="s">
        <v>1520</v>
      </c>
      <c r="I1436" t="s">
        <v>1531</v>
      </c>
      <c r="J1436" t="s">
        <v>1566</v>
      </c>
      <c r="K1436" t="s">
        <v>1518</v>
      </c>
      <c r="L1436" s="2">
        <v>5</v>
      </c>
      <c r="M1436" s="10">
        <v>7458</v>
      </c>
      <c r="N1436" s="7">
        <v>37290</v>
      </c>
    </row>
    <row r="1437" spans="1:14" x14ac:dyDescent="0.3">
      <c r="A1437">
        <v>1435</v>
      </c>
      <c r="B1437" s="1">
        <v>46093</v>
      </c>
      <c r="C1437">
        <v>2026</v>
      </c>
      <c r="D1437">
        <v>3</v>
      </c>
      <c r="E1437" t="str">
        <f t="shared" si="22"/>
        <v>Maret</v>
      </c>
      <c r="F1437">
        <v>1</v>
      </c>
      <c r="G1437" t="s">
        <v>1522</v>
      </c>
      <c r="H1437" t="s">
        <v>1520</v>
      </c>
      <c r="I1437" t="s">
        <v>1531</v>
      </c>
      <c r="J1437" t="s">
        <v>1524</v>
      </c>
      <c r="K1437" t="s">
        <v>1518</v>
      </c>
      <c r="L1437" s="2">
        <v>3</v>
      </c>
      <c r="M1437" s="10">
        <v>365</v>
      </c>
      <c r="N1437" s="7">
        <v>1095</v>
      </c>
    </row>
    <row r="1438" spans="1:14" x14ac:dyDescent="0.3">
      <c r="A1438">
        <v>1436</v>
      </c>
      <c r="B1438" s="1">
        <v>46094</v>
      </c>
      <c r="C1438">
        <v>2026</v>
      </c>
      <c r="D1438">
        <v>3</v>
      </c>
      <c r="E1438" t="str">
        <f t="shared" si="22"/>
        <v>Maret</v>
      </c>
      <c r="F1438">
        <v>1</v>
      </c>
      <c r="G1438" t="s">
        <v>1523</v>
      </c>
      <c r="H1438" t="s">
        <v>1512</v>
      </c>
      <c r="I1438" t="s">
        <v>1531</v>
      </c>
      <c r="J1438" t="s">
        <v>1566</v>
      </c>
      <c r="K1438" t="s">
        <v>1514</v>
      </c>
      <c r="L1438" s="2">
        <v>2</v>
      </c>
      <c r="M1438" s="10">
        <v>20872</v>
      </c>
      <c r="N1438" s="7">
        <v>41744</v>
      </c>
    </row>
    <row r="1439" spans="1:14" x14ac:dyDescent="0.3">
      <c r="A1439">
        <v>1437</v>
      </c>
      <c r="B1439" s="1">
        <v>46095</v>
      </c>
      <c r="C1439">
        <v>2026</v>
      </c>
      <c r="D1439">
        <v>3</v>
      </c>
      <c r="E1439" t="str">
        <f t="shared" si="22"/>
        <v>Maret</v>
      </c>
      <c r="F1439">
        <v>1</v>
      </c>
      <c r="G1439" t="s">
        <v>1526</v>
      </c>
      <c r="H1439" t="s">
        <v>1527</v>
      </c>
      <c r="I1439" t="s">
        <v>1521</v>
      </c>
      <c r="J1439" t="s">
        <v>1566</v>
      </c>
      <c r="K1439" t="s">
        <v>1518</v>
      </c>
      <c r="L1439" s="2">
        <v>5</v>
      </c>
      <c r="M1439" s="10">
        <v>987</v>
      </c>
      <c r="N1439" s="7">
        <v>4935</v>
      </c>
    </row>
    <row r="1440" spans="1:14" x14ac:dyDescent="0.3">
      <c r="A1440">
        <v>1438</v>
      </c>
      <c r="B1440" s="1">
        <v>46096</v>
      </c>
      <c r="C1440">
        <v>2026</v>
      </c>
      <c r="D1440">
        <v>3</v>
      </c>
      <c r="E1440" t="str">
        <f t="shared" si="22"/>
        <v>Maret</v>
      </c>
      <c r="F1440">
        <v>1</v>
      </c>
      <c r="G1440" t="s">
        <v>1529</v>
      </c>
      <c r="H1440" t="s">
        <v>1530</v>
      </c>
      <c r="I1440" t="s">
        <v>1535</v>
      </c>
      <c r="J1440" t="s">
        <v>1566</v>
      </c>
      <c r="K1440" t="s">
        <v>1525</v>
      </c>
      <c r="L1440" s="2">
        <v>2</v>
      </c>
      <c r="M1440" s="10">
        <v>1861</v>
      </c>
      <c r="N1440" s="7">
        <v>3722</v>
      </c>
    </row>
    <row r="1441" spans="1:14" x14ac:dyDescent="0.3">
      <c r="A1441">
        <v>1439</v>
      </c>
      <c r="B1441" s="1">
        <v>46097</v>
      </c>
      <c r="C1441">
        <v>2026</v>
      </c>
      <c r="D1441">
        <v>3</v>
      </c>
      <c r="E1441" t="str">
        <f t="shared" si="22"/>
        <v>Maret</v>
      </c>
      <c r="F1441">
        <v>1</v>
      </c>
      <c r="G1441" t="s">
        <v>1532</v>
      </c>
      <c r="H1441" t="s">
        <v>1512</v>
      </c>
      <c r="I1441" t="s">
        <v>1528</v>
      </c>
      <c r="J1441" t="s">
        <v>1517</v>
      </c>
      <c r="K1441" t="s">
        <v>1525</v>
      </c>
      <c r="L1441" s="2">
        <v>2</v>
      </c>
      <c r="M1441" s="10">
        <v>7608</v>
      </c>
      <c r="N1441" s="7">
        <v>15216</v>
      </c>
    </row>
    <row r="1442" spans="1:14" x14ac:dyDescent="0.3">
      <c r="A1442">
        <v>1440</v>
      </c>
      <c r="B1442" s="1">
        <v>46098</v>
      </c>
      <c r="C1442">
        <v>2026</v>
      </c>
      <c r="D1442">
        <v>3</v>
      </c>
      <c r="E1442" t="str">
        <f t="shared" si="22"/>
        <v>Maret</v>
      </c>
      <c r="F1442">
        <v>1</v>
      </c>
      <c r="G1442" t="s">
        <v>1533</v>
      </c>
      <c r="H1442" t="s">
        <v>1520</v>
      </c>
      <c r="I1442" t="s">
        <v>1531</v>
      </c>
      <c r="J1442" t="s">
        <v>1517</v>
      </c>
      <c r="K1442" t="s">
        <v>1525</v>
      </c>
      <c r="L1442" s="2">
        <v>3</v>
      </c>
      <c r="M1442" s="10">
        <v>672</v>
      </c>
      <c r="N1442" s="7">
        <v>2016</v>
      </c>
    </row>
    <row r="1443" spans="1:14" x14ac:dyDescent="0.3">
      <c r="A1443">
        <v>1441</v>
      </c>
      <c r="B1443" s="1">
        <v>46099</v>
      </c>
      <c r="C1443">
        <v>2026</v>
      </c>
      <c r="D1443">
        <v>3</v>
      </c>
      <c r="E1443" t="str">
        <f t="shared" si="22"/>
        <v>Maret</v>
      </c>
      <c r="F1443">
        <v>1</v>
      </c>
      <c r="G1443" t="s">
        <v>1511</v>
      </c>
      <c r="H1443" t="s">
        <v>1512</v>
      </c>
      <c r="I1443" t="s">
        <v>1531</v>
      </c>
      <c r="J1443" t="s">
        <v>1524</v>
      </c>
      <c r="K1443" t="s">
        <v>1525</v>
      </c>
      <c r="L1443" s="2">
        <v>2</v>
      </c>
      <c r="M1443" s="10">
        <v>53902</v>
      </c>
      <c r="N1443" s="7">
        <v>107804</v>
      </c>
    </row>
    <row r="1444" spans="1:14" x14ac:dyDescent="0.3">
      <c r="A1444">
        <v>1442</v>
      </c>
      <c r="B1444" s="1">
        <v>46100</v>
      </c>
      <c r="C1444">
        <v>2026</v>
      </c>
      <c r="D1444">
        <v>3</v>
      </c>
      <c r="E1444" t="str">
        <f t="shared" si="22"/>
        <v>Maret</v>
      </c>
      <c r="F1444">
        <v>1</v>
      </c>
      <c r="G1444" t="s">
        <v>1515</v>
      </c>
      <c r="H1444" t="s">
        <v>1512</v>
      </c>
      <c r="I1444" t="s">
        <v>1516</v>
      </c>
      <c r="J1444" t="s">
        <v>1517</v>
      </c>
      <c r="K1444" t="s">
        <v>1525</v>
      </c>
      <c r="L1444" s="2">
        <v>3</v>
      </c>
      <c r="M1444" s="10">
        <v>3381</v>
      </c>
      <c r="N1444" s="7">
        <v>10143</v>
      </c>
    </row>
    <row r="1445" spans="1:14" x14ac:dyDescent="0.3">
      <c r="A1445">
        <v>1443</v>
      </c>
      <c r="B1445" s="1">
        <v>46101</v>
      </c>
      <c r="C1445">
        <v>2026</v>
      </c>
      <c r="D1445">
        <v>3</v>
      </c>
      <c r="E1445" t="str">
        <f t="shared" si="22"/>
        <v>Maret</v>
      </c>
      <c r="F1445">
        <v>1</v>
      </c>
      <c r="G1445" t="s">
        <v>1534</v>
      </c>
      <c r="H1445" t="s">
        <v>1530</v>
      </c>
      <c r="I1445" t="s">
        <v>1516</v>
      </c>
      <c r="J1445" t="s">
        <v>1517</v>
      </c>
      <c r="K1445" t="s">
        <v>1525</v>
      </c>
      <c r="L1445" s="2">
        <v>2</v>
      </c>
      <c r="M1445" s="10">
        <v>3696</v>
      </c>
      <c r="N1445" s="7">
        <v>7392</v>
      </c>
    </row>
    <row r="1446" spans="1:14" x14ac:dyDescent="0.3">
      <c r="A1446">
        <v>1444</v>
      </c>
      <c r="B1446" s="1">
        <v>46102</v>
      </c>
      <c r="C1446">
        <v>2026</v>
      </c>
      <c r="D1446">
        <v>3</v>
      </c>
      <c r="E1446" t="str">
        <f t="shared" si="22"/>
        <v>Maret</v>
      </c>
      <c r="F1446">
        <v>1</v>
      </c>
      <c r="G1446" t="s">
        <v>1519</v>
      </c>
      <c r="H1446" t="s">
        <v>1520</v>
      </c>
      <c r="I1446" t="s">
        <v>1528</v>
      </c>
      <c r="J1446" t="s">
        <v>1517</v>
      </c>
      <c r="K1446" t="s">
        <v>1514</v>
      </c>
      <c r="L1446" s="2">
        <v>4</v>
      </c>
      <c r="M1446" s="10">
        <v>19559</v>
      </c>
      <c r="N1446" s="7">
        <v>78236</v>
      </c>
    </row>
    <row r="1447" spans="1:14" x14ac:dyDescent="0.3">
      <c r="A1447">
        <v>1445</v>
      </c>
      <c r="B1447" s="1">
        <v>46103</v>
      </c>
      <c r="C1447">
        <v>2026</v>
      </c>
      <c r="D1447">
        <v>3</v>
      </c>
      <c r="E1447" t="str">
        <f t="shared" si="22"/>
        <v>Maret</v>
      </c>
      <c r="F1447">
        <v>1</v>
      </c>
      <c r="G1447" t="s">
        <v>1522</v>
      </c>
      <c r="H1447" t="s">
        <v>1520</v>
      </c>
      <c r="I1447" t="s">
        <v>1535</v>
      </c>
      <c r="J1447" t="s">
        <v>1517</v>
      </c>
      <c r="K1447" t="s">
        <v>1514</v>
      </c>
      <c r="L1447" s="2">
        <v>5</v>
      </c>
      <c r="M1447" s="10">
        <v>503</v>
      </c>
      <c r="N1447" s="7">
        <v>2515</v>
      </c>
    </row>
    <row r="1448" spans="1:14" x14ac:dyDescent="0.3">
      <c r="A1448">
        <v>1446</v>
      </c>
      <c r="B1448" s="1">
        <v>46104</v>
      </c>
      <c r="C1448">
        <v>2026</v>
      </c>
      <c r="D1448">
        <v>3</v>
      </c>
      <c r="E1448" t="str">
        <f t="shared" si="22"/>
        <v>Maret</v>
      </c>
      <c r="F1448">
        <v>1</v>
      </c>
      <c r="G1448" t="s">
        <v>1523</v>
      </c>
      <c r="H1448" t="s">
        <v>1512</v>
      </c>
      <c r="I1448" t="s">
        <v>1521</v>
      </c>
      <c r="J1448" t="s">
        <v>1517</v>
      </c>
      <c r="K1448" t="s">
        <v>1525</v>
      </c>
      <c r="L1448" s="2">
        <v>1</v>
      </c>
      <c r="M1448" s="10">
        <v>38392</v>
      </c>
      <c r="N1448" s="7">
        <v>38392</v>
      </c>
    </row>
    <row r="1449" spans="1:14" x14ac:dyDescent="0.3">
      <c r="A1449">
        <v>1447</v>
      </c>
      <c r="B1449" s="1">
        <v>46105</v>
      </c>
      <c r="C1449">
        <v>2026</v>
      </c>
      <c r="D1449">
        <v>3</v>
      </c>
      <c r="E1449" t="str">
        <f t="shared" si="22"/>
        <v>Maret</v>
      </c>
      <c r="F1449">
        <v>1</v>
      </c>
      <c r="G1449" t="s">
        <v>1526</v>
      </c>
      <c r="H1449" t="s">
        <v>1527</v>
      </c>
      <c r="I1449" t="s">
        <v>1516</v>
      </c>
      <c r="J1449" t="s">
        <v>1517</v>
      </c>
      <c r="K1449" t="s">
        <v>1514</v>
      </c>
      <c r="L1449" s="2">
        <v>4</v>
      </c>
      <c r="M1449" s="10">
        <v>113</v>
      </c>
      <c r="N1449" s="7">
        <v>452</v>
      </c>
    </row>
    <row r="1450" spans="1:14" x14ac:dyDescent="0.3">
      <c r="A1450">
        <v>1448</v>
      </c>
      <c r="B1450" s="1">
        <v>46106</v>
      </c>
      <c r="C1450">
        <v>2026</v>
      </c>
      <c r="D1450">
        <v>3</v>
      </c>
      <c r="E1450" t="str">
        <f t="shared" si="22"/>
        <v>Maret</v>
      </c>
      <c r="F1450">
        <v>1</v>
      </c>
      <c r="G1450" t="s">
        <v>1529</v>
      </c>
      <c r="H1450" t="s">
        <v>1530</v>
      </c>
      <c r="I1450" t="s">
        <v>1528</v>
      </c>
      <c r="J1450" t="s">
        <v>1524</v>
      </c>
      <c r="K1450" t="s">
        <v>1518</v>
      </c>
      <c r="L1450" s="2">
        <v>5</v>
      </c>
      <c r="M1450" s="10">
        <v>684</v>
      </c>
      <c r="N1450" s="7">
        <v>3420</v>
      </c>
    </row>
    <row r="1451" spans="1:14" x14ac:dyDescent="0.3">
      <c r="A1451">
        <v>1449</v>
      </c>
      <c r="B1451" s="1">
        <v>46107</v>
      </c>
      <c r="C1451">
        <v>2026</v>
      </c>
      <c r="D1451">
        <v>3</v>
      </c>
      <c r="E1451" t="str">
        <f t="shared" si="22"/>
        <v>Maret</v>
      </c>
      <c r="F1451">
        <v>1</v>
      </c>
      <c r="G1451" t="s">
        <v>1532</v>
      </c>
      <c r="H1451" t="s">
        <v>1512</v>
      </c>
      <c r="I1451" t="s">
        <v>1513</v>
      </c>
      <c r="J1451" t="s">
        <v>1517</v>
      </c>
      <c r="K1451" t="s">
        <v>1514</v>
      </c>
      <c r="L1451" s="2">
        <v>1</v>
      </c>
      <c r="M1451" s="10">
        <v>3574</v>
      </c>
      <c r="N1451" s="7">
        <v>3574</v>
      </c>
    </row>
    <row r="1452" spans="1:14" x14ac:dyDescent="0.3">
      <c r="A1452">
        <v>1450</v>
      </c>
      <c r="B1452" s="1">
        <v>46108</v>
      </c>
      <c r="C1452">
        <v>2026</v>
      </c>
      <c r="D1452">
        <v>3</v>
      </c>
      <c r="E1452" t="str">
        <f t="shared" si="22"/>
        <v>Maret</v>
      </c>
      <c r="F1452">
        <v>1</v>
      </c>
      <c r="G1452" t="s">
        <v>1533</v>
      </c>
      <c r="H1452" t="s">
        <v>1520</v>
      </c>
      <c r="I1452" t="s">
        <v>1528</v>
      </c>
      <c r="J1452" t="s">
        <v>1566</v>
      </c>
      <c r="K1452" t="s">
        <v>1525</v>
      </c>
      <c r="L1452" s="2">
        <v>5</v>
      </c>
      <c r="M1452" s="10">
        <v>779</v>
      </c>
      <c r="N1452" s="7">
        <v>3895</v>
      </c>
    </row>
    <row r="1453" spans="1:14" x14ac:dyDescent="0.3">
      <c r="A1453">
        <v>1451</v>
      </c>
      <c r="B1453" s="1">
        <v>46109</v>
      </c>
      <c r="C1453">
        <v>2026</v>
      </c>
      <c r="D1453">
        <v>3</v>
      </c>
      <c r="E1453" t="str">
        <f t="shared" si="22"/>
        <v>Maret</v>
      </c>
      <c r="F1453">
        <v>1</v>
      </c>
      <c r="G1453" t="s">
        <v>1511</v>
      </c>
      <c r="H1453" t="s">
        <v>1512</v>
      </c>
      <c r="I1453" t="s">
        <v>1528</v>
      </c>
      <c r="J1453" t="s">
        <v>1566</v>
      </c>
      <c r="K1453" t="s">
        <v>1518</v>
      </c>
      <c r="L1453" s="2">
        <v>1</v>
      </c>
      <c r="M1453" s="10">
        <v>40358</v>
      </c>
      <c r="N1453" s="7">
        <v>40358</v>
      </c>
    </row>
    <row r="1454" spans="1:14" x14ac:dyDescent="0.3">
      <c r="A1454">
        <v>1452</v>
      </c>
      <c r="B1454" s="1">
        <v>46110</v>
      </c>
      <c r="C1454">
        <v>2026</v>
      </c>
      <c r="D1454">
        <v>3</v>
      </c>
      <c r="E1454" t="str">
        <f t="shared" si="22"/>
        <v>Maret</v>
      </c>
      <c r="F1454">
        <v>1</v>
      </c>
      <c r="G1454" t="s">
        <v>1515</v>
      </c>
      <c r="H1454" t="s">
        <v>1512</v>
      </c>
      <c r="I1454" t="s">
        <v>1513</v>
      </c>
      <c r="J1454" t="s">
        <v>1524</v>
      </c>
      <c r="K1454" t="s">
        <v>1525</v>
      </c>
      <c r="L1454" s="2">
        <v>3</v>
      </c>
      <c r="M1454" s="10">
        <v>3269</v>
      </c>
      <c r="N1454" s="7">
        <v>9807</v>
      </c>
    </row>
    <row r="1455" spans="1:14" x14ac:dyDescent="0.3">
      <c r="A1455">
        <v>1453</v>
      </c>
      <c r="B1455" s="1">
        <v>46111</v>
      </c>
      <c r="C1455">
        <v>2026</v>
      </c>
      <c r="D1455">
        <v>3</v>
      </c>
      <c r="E1455" t="str">
        <f t="shared" si="22"/>
        <v>Maret</v>
      </c>
      <c r="F1455">
        <v>1</v>
      </c>
      <c r="G1455" t="s">
        <v>1534</v>
      </c>
      <c r="H1455" t="s">
        <v>1530</v>
      </c>
      <c r="I1455" t="s">
        <v>1535</v>
      </c>
      <c r="J1455" t="s">
        <v>1517</v>
      </c>
      <c r="K1455" t="s">
        <v>1525</v>
      </c>
      <c r="L1455" s="2">
        <v>1</v>
      </c>
      <c r="M1455" s="10">
        <v>2592</v>
      </c>
      <c r="N1455" s="7">
        <v>2592</v>
      </c>
    </row>
    <row r="1456" spans="1:14" x14ac:dyDescent="0.3">
      <c r="A1456">
        <v>1454</v>
      </c>
      <c r="B1456" s="1">
        <v>46112</v>
      </c>
      <c r="C1456">
        <v>2026</v>
      </c>
      <c r="D1456">
        <v>3</v>
      </c>
      <c r="E1456" t="str">
        <f t="shared" si="22"/>
        <v>Maret</v>
      </c>
      <c r="F1456">
        <v>1</v>
      </c>
      <c r="G1456" t="s">
        <v>1519</v>
      </c>
      <c r="H1456" t="s">
        <v>1520</v>
      </c>
      <c r="I1456" t="s">
        <v>1521</v>
      </c>
      <c r="J1456" t="s">
        <v>1524</v>
      </c>
      <c r="K1456" t="s">
        <v>1518</v>
      </c>
      <c r="L1456" s="2">
        <v>3</v>
      </c>
      <c r="M1456" s="10">
        <v>18529</v>
      </c>
      <c r="N1456" s="7">
        <v>55587</v>
      </c>
    </row>
    <row r="1457" spans="1:14" x14ac:dyDescent="0.3">
      <c r="A1457">
        <v>1455</v>
      </c>
      <c r="B1457" s="1">
        <v>46113</v>
      </c>
      <c r="C1457">
        <v>2026</v>
      </c>
      <c r="D1457">
        <v>4</v>
      </c>
      <c r="E1457" t="str">
        <f t="shared" si="22"/>
        <v>April</v>
      </c>
      <c r="F1457">
        <v>2</v>
      </c>
      <c r="G1457" t="s">
        <v>1522</v>
      </c>
      <c r="H1457" t="s">
        <v>1520</v>
      </c>
      <c r="I1457" t="s">
        <v>1521</v>
      </c>
      <c r="J1457" t="s">
        <v>1517</v>
      </c>
      <c r="K1457" t="s">
        <v>1514</v>
      </c>
      <c r="L1457" s="2">
        <v>5</v>
      </c>
      <c r="M1457" s="10">
        <v>376</v>
      </c>
      <c r="N1457" s="7">
        <v>1880</v>
      </c>
    </row>
    <row r="1458" spans="1:14" x14ac:dyDescent="0.3">
      <c r="A1458">
        <v>1456</v>
      </c>
      <c r="B1458" s="1">
        <v>46114</v>
      </c>
      <c r="C1458">
        <v>2026</v>
      </c>
      <c r="D1458">
        <v>4</v>
      </c>
      <c r="E1458" t="str">
        <f t="shared" si="22"/>
        <v>April</v>
      </c>
      <c r="F1458">
        <v>2</v>
      </c>
      <c r="G1458" t="s">
        <v>1523</v>
      </c>
      <c r="H1458" t="s">
        <v>1512</v>
      </c>
      <c r="I1458" t="s">
        <v>1513</v>
      </c>
      <c r="J1458" t="s">
        <v>1566</v>
      </c>
      <c r="K1458" t="s">
        <v>1518</v>
      </c>
      <c r="L1458" s="2">
        <v>2</v>
      </c>
      <c r="M1458" s="10">
        <v>23687</v>
      </c>
      <c r="N1458" s="7">
        <v>47374</v>
      </c>
    </row>
    <row r="1459" spans="1:14" x14ac:dyDescent="0.3">
      <c r="A1459">
        <v>1457</v>
      </c>
      <c r="B1459" s="1">
        <v>46115</v>
      </c>
      <c r="C1459">
        <v>2026</v>
      </c>
      <c r="D1459">
        <v>4</v>
      </c>
      <c r="E1459" t="str">
        <f t="shared" si="22"/>
        <v>April</v>
      </c>
      <c r="F1459">
        <v>2</v>
      </c>
      <c r="G1459" t="s">
        <v>1526</v>
      </c>
      <c r="H1459" t="s">
        <v>1527</v>
      </c>
      <c r="I1459" t="s">
        <v>1516</v>
      </c>
      <c r="J1459" t="s">
        <v>1524</v>
      </c>
      <c r="K1459" t="s">
        <v>1518</v>
      </c>
      <c r="L1459" s="2">
        <v>2</v>
      </c>
      <c r="M1459" s="10">
        <v>225</v>
      </c>
      <c r="N1459" s="7">
        <v>450</v>
      </c>
    </row>
    <row r="1460" spans="1:14" x14ac:dyDescent="0.3">
      <c r="A1460">
        <v>1458</v>
      </c>
      <c r="B1460" s="1">
        <v>46116</v>
      </c>
      <c r="C1460">
        <v>2026</v>
      </c>
      <c r="D1460">
        <v>4</v>
      </c>
      <c r="E1460" t="str">
        <f t="shared" si="22"/>
        <v>April</v>
      </c>
      <c r="F1460">
        <v>2</v>
      </c>
      <c r="G1460" t="s">
        <v>1529</v>
      </c>
      <c r="H1460" t="s">
        <v>1530</v>
      </c>
      <c r="I1460" t="s">
        <v>1531</v>
      </c>
      <c r="J1460" t="s">
        <v>1524</v>
      </c>
      <c r="K1460" t="s">
        <v>1525</v>
      </c>
      <c r="L1460" s="2">
        <v>5</v>
      </c>
      <c r="M1460" s="10">
        <v>882</v>
      </c>
      <c r="N1460" s="7">
        <v>4410</v>
      </c>
    </row>
    <row r="1461" spans="1:14" x14ac:dyDescent="0.3">
      <c r="A1461">
        <v>1459</v>
      </c>
      <c r="B1461" s="1">
        <v>46117</v>
      </c>
      <c r="C1461">
        <v>2026</v>
      </c>
      <c r="D1461">
        <v>4</v>
      </c>
      <c r="E1461" t="str">
        <f t="shared" si="22"/>
        <v>April</v>
      </c>
      <c r="F1461">
        <v>2</v>
      </c>
      <c r="G1461" t="s">
        <v>1532</v>
      </c>
      <c r="H1461" t="s">
        <v>1512</v>
      </c>
      <c r="I1461" t="s">
        <v>1516</v>
      </c>
      <c r="J1461" t="s">
        <v>1566</v>
      </c>
      <c r="K1461" t="s">
        <v>1518</v>
      </c>
      <c r="L1461" s="2">
        <v>2</v>
      </c>
      <c r="M1461" s="10">
        <v>7214</v>
      </c>
      <c r="N1461" s="7">
        <v>14428</v>
      </c>
    </row>
    <row r="1462" spans="1:14" x14ac:dyDescent="0.3">
      <c r="A1462">
        <v>1460</v>
      </c>
      <c r="B1462" s="1">
        <v>46118</v>
      </c>
      <c r="C1462">
        <v>2026</v>
      </c>
      <c r="D1462">
        <v>4</v>
      </c>
      <c r="E1462" t="str">
        <f t="shared" si="22"/>
        <v>April</v>
      </c>
      <c r="F1462">
        <v>2</v>
      </c>
      <c r="G1462" t="s">
        <v>1533</v>
      </c>
      <c r="H1462" t="s">
        <v>1520</v>
      </c>
      <c r="I1462" t="s">
        <v>1521</v>
      </c>
      <c r="J1462" t="s">
        <v>1524</v>
      </c>
      <c r="K1462" t="s">
        <v>1525</v>
      </c>
      <c r="L1462" s="2">
        <v>5</v>
      </c>
      <c r="M1462" s="10">
        <v>241</v>
      </c>
      <c r="N1462" s="7">
        <v>1205</v>
      </c>
    </row>
    <row r="1463" spans="1:14" x14ac:dyDescent="0.3">
      <c r="A1463">
        <v>1461</v>
      </c>
      <c r="B1463" s="1">
        <v>46119</v>
      </c>
      <c r="C1463">
        <v>2026</v>
      </c>
      <c r="D1463">
        <v>4</v>
      </c>
      <c r="E1463" t="str">
        <f t="shared" si="22"/>
        <v>April</v>
      </c>
      <c r="F1463">
        <v>2</v>
      </c>
      <c r="G1463" t="s">
        <v>1511</v>
      </c>
      <c r="H1463" t="s">
        <v>1512</v>
      </c>
      <c r="I1463" t="s">
        <v>1535</v>
      </c>
      <c r="J1463" t="s">
        <v>1566</v>
      </c>
      <c r="K1463" t="s">
        <v>1514</v>
      </c>
      <c r="L1463" s="2">
        <v>2</v>
      </c>
      <c r="M1463" s="10">
        <v>61490</v>
      </c>
      <c r="N1463" s="7">
        <v>122980</v>
      </c>
    </row>
    <row r="1464" spans="1:14" x14ac:dyDescent="0.3">
      <c r="A1464">
        <v>1462</v>
      </c>
      <c r="B1464" s="1">
        <v>46120</v>
      </c>
      <c r="C1464">
        <v>2026</v>
      </c>
      <c r="D1464">
        <v>4</v>
      </c>
      <c r="E1464" t="str">
        <f t="shared" si="22"/>
        <v>April</v>
      </c>
      <c r="F1464">
        <v>2</v>
      </c>
      <c r="G1464" t="s">
        <v>1515</v>
      </c>
      <c r="H1464" t="s">
        <v>1512</v>
      </c>
      <c r="I1464" t="s">
        <v>1513</v>
      </c>
      <c r="J1464" t="s">
        <v>1524</v>
      </c>
      <c r="K1464" t="s">
        <v>1525</v>
      </c>
      <c r="L1464" s="2">
        <v>3</v>
      </c>
      <c r="M1464" s="10">
        <v>4120</v>
      </c>
      <c r="N1464" s="7">
        <v>12360</v>
      </c>
    </row>
    <row r="1465" spans="1:14" x14ac:dyDescent="0.3">
      <c r="A1465">
        <v>1463</v>
      </c>
      <c r="B1465" s="1">
        <v>46121</v>
      </c>
      <c r="C1465">
        <v>2026</v>
      </c>
      <c r="D1465">
        <v>4</v>
      </c>
      <c r="E1465" t="str">
        <f t="shared" si="22"/>
        <v>April</v>
      </c>
      <c r="F1465">
        <v>2</v>
      </c>
      <c r="G1465" t="s">
        <v>1534</v>
      </c>
      <c r="H1465" t="s">
        <v>1530</v>
      </c>
      <c r="I1465" t="s">
        <v>1516</v>
      </c>
      <c r="J1465" t="s">
        <v>1517</v>
      </c>
      <c r="K1465" t="s">
        <v>1525</v>
      </c>
      <c r="L1465" s="2">
        <v>1</v>
      </c>
      <c r="M1465" s="10">
        <v>1206</v>
      </c>
      <c r="N1465" s="7">
        <v>1206</v>
      </c>
    </row>
    <row r="1466" spans="1:14" x14ac:dyDescent="0.3">
      <c r="A1466">
        <v>1464</v>
      </c>
      <c r="B1466" s="1">
        <v>46122</v>
      </c>
      <c r="C1466">
        <v>2026</v>
      </c>
      <c r="D1466">
        <v>4</v>
      </c>
      <c r="E1466" t="str">
        <f t="shared" si="22"/>
        <v>April</v>
      </c>
      <c r="F1466">
        <v>2</v>
      </c>
      <c r="G1466" t="s">
        <v>1519</v>
      </c>
      <c r="H1466" t="s">
        <v>1520</v>
      </c>
      <c r="I1466" t="s">
        <v>1535</v>
      </c>
      <c r="J1466" t="s">
        <v>1524</v>
      </c>
      <c r="K1466" t="s">
        <v>1518</v>
      </c>
      <c r="L1466" s="2">
        <v>4</v>
      </c>
      <c r="M1466" s="10">
        <v>10934</v>
      </c>
      <c r="N1466" s="7">
        <v>43736</v>
      </c>
    </row>
    <row r="1467" spans="1:14" x14ac:dyDescent="0.3">
      <c r="A1467">
        <v>1465</v>
      </c>
      <c r="B1467" s="1">
        <v>46123</v>
      </c>
      <c r="C1467">
        <v>2026</v>
      </c>
      <c r="D1467">
        <v>4</v>
      </c>
      <c r="E1467" t="str">
        <f t="shared" si="22"/>
        <v>April</v>
      </c>
      <c r="F1467">
        <v>2</v>
      </c>
      <c r="G1467" t="s">
        <v>1522</v>
      </c>
      <c r="H1467" t="s">
        <v>1520</v>
      </c>
      <c r="I1467" t="s">
        <v>1521</v>
      </c>
      <c r="J1467" t="s">
        <v>1566</v>
      </c>
      <c r="K1467" t="s">
        <v>1514</v>
      </c>
      <c r="L1467" s="2">
        <v>1</v>
      </c>
      <c r="M1467" s="10">
        <v>326</v>
      </c>
      <c r="N1467" s="7">
        <v>326</v>
      </c>
    </row>
    <row r="1468" spans="1:14" x14ac:dyDescent="0.3">
      <c r="A1468">
        <v>1466</v>
      </c>
      <c r="B1468" s="1">
        <v>46124</v>
      </c>
      <c r="C1468">
        <v>2026</v>
      </c>
      <c r="D1468">
        <v>4</v>
      </c>
      <c r="E1468" t="str">
        <f t="shared" si="22"/>
        <v>April</v>
      </c>
      <c r="F1468">
        <v>2</v>
      </c>
      <c r="G1468" t="s">
        <v>1523</v>
      </c>
      <c r="H1468" t="s">
        <v>1512</v>
      </c>
      <c r="I1468" t="s">
        <v>1513</v>
      </c>
      <c r="J1468" t="s">
        <v>1517</v>
      </c>
      <c r="K1468" t="s">
        <v>1518</v>
      </c>
      <c r="L1468" s="2">
        <v>2</v>
      </c>
      <c r="M1468" s="10">
        <v>37146</v>
      </c>
      <c r="N1468" s="7">
        <v>74292</v>
      </c>
    </row>
    <row r="1469" spans="1:14" x14ac:dyDescent="0.3">
      <c r="A1469">
        <v>1467</v>
      </c>
      <c r="B1469" s="1">
        <v>46125</v>
      </c>
      <c r="C1469">
        <v>2026</v>
      </c>
      <c r="D1469">
        <v>4</v>
      </c>
      <c r="E1469" t="str">
        <f t="shared" si="22"/>
        <v>April</v>
      </c>
      <c r="F1469">
        <v>2</v>
      </c>
      <c r="G1469" t="s">
        <v>1526</v>
      </c>
      <c r="H1469" t="s">
        <v>1527</v>
      </c>
      <c r="I1469" t="s">
        <v>1535</v>
      </c>
      <c r="J1469" t="s">
        <v>1524</v>
      </c>
      <c r="K1469" t="s">
        <v>1514</v>
      </c>
      <c r="L1469" s="2">
        <v>1</v>
      </c>
      <c r="M1469" s="10">
        <v>235</v>
      </c>
      <c r="N1469" s="7">
        <v>235</v>
      </c>
    </row>
    <row r="1470" spans="1:14" x14ac:dyDescent="0.3">
      <c r="A1470">
        <v>1468</v>
      </c>
      <c r="B1470" s="1">
        <v>46126</v>
      </c>
      <c r="C1470">
        <v>2026</v>
      </c>
      <c r="D1470">
        <v>4</v>
      </c>
      <c r="E1470" t="str">
        <f t="shared" si="22"/>
        <v>April</v>
      </c>
      <c r="F1470">
        <v>2</v>
      </c>
      <c r="G1470" t="s">
        <v>1529</v>
      </c>
      <c r="H1470" t="s">
        <v>1530</v>
      </c>
      <c r="I1470" t="s">
        <v>1521</v>
      </c>
      <c r="J1470" t="s">
        <v>1524</v>
      </c>
      <c r="K1470" t="s">
        <v>1518</v>
      </c>
      <c r="L1470" s="2">
        <v>5</v>
      </c>
      <c r="M1470" s="10">
        <v>1118</v>
      </c>
      <c r="N1470" s="7">
        <v>5590</v>
      </c>
    </row>
    <row r="1471" spans="1:14" x14ac:dyDescent="0.3">
      <c r="A1471">
        <v>1469</v>
      </c>
      <c r="B1471" s="1">
        <v>46127</v>
      </c>
      <c r="C1471">
        <v>2026</v>
      </c>
      <c r="D1471">
        <v>4</v>
      </c>
      <c r="E1471" t="str">
        <f t="shared" si="22"/>
        <v>April</v>
      </c>
      <c r="F1471">
        <v>2</v>
      </c>
      <c r="G1471" t="s">
        <v>1532</v>
      </c>
      <c r="H1471" t="s">
        <v>1512</v>
      </c>
      <c r="I1471" t="s">
        <v>1535</v>
      </c>
      <c r="J1471" t="s">
        <v>1517</v>
      </c>
      <c r="K1471" t="s">
        <v>1514</v>
      </c>
      <c r="L1471" s="2">
        <v>2</v>
      </c>
      <c r="M1471" s="10">
        <v>7110</v>
      </c>
      <c r="N1471" s="7">
        <v>14220</v>
      </c>
    </row>
    <row r="1472" spans="1:14" x14ac:dyDescent="0.3">
      <c r="A1472">
        <v>1470</v>
      </c>
      <c r="B1472" s="1">
        <v>46128</v>
      </c>
      <c r="C1472">
        <v>2026</v>
      </c>
      <c r="D1472">
        <v>4</v>
      </c>
      <c r="E1472" t="str">
        <f t="shared" si="22"/>
        <v>April</v>
      </c>
      <c r="F1472">
        <v>2</v>
      </c>
      <c r="G1472" t="s">
        <v>1533</v>
      </c>
      <c r="H1472" t="s">
        <v>1520</v>
      </c>
      <c r="I1472" t="s">
        <v>1521</v>
      </c>
      <c r="J1472" t="s">
        <v>1524</v>
      </c>
      <c r="K1472" t="s">
        <v>1518</v>
      </c>
      <c r="L1472" s="2">
        <v>1</v>
      </c>
      <c r="M1472" s="10">
        <v>333</v>
      </c>
      <c r="N1472" s="7">
        <v>333</v>
      </c>
    </row>
    <row r="1473" spans="1:14" x14ac:dyDescent="0.3">
      <c r="A1473">
        <v>1471</v>
      </c>
      <c r="B1473" s="1">
        <v>46129</v>
      </c>
      <c r="C1473">
        <v>2026</v>
      </c>
      <c r="D1473">
        <v>4</v>
      </c>
      <c r="E1473" t="str">
        <f t="shared" si="22"/>
        <v>April</v>
      </c>
      <c r="F1473">
        <v>2</v>
      </c>
      <c r="G1473" t="s">
        <v>1511</v>
      </c>
      <c r="H1473" t="s">
        <v>1512</v>
      </c>
      <c r="I1473" t="s">
        <v>1521</v>
      </c>
      <c r="J1473" t="s">
        <v>1566</v>
      </c>
      <c r="K1473" t="s">
        <v>1518</v>
      </c>
      <c r="L1473" s="2">
        <v>1</v>
      </c>
      <c r="M1473" s="10">
        <v>62505</v>
      </c>
      <c r="N1473" s="7">
        <v>62505</v>
      </c>
    </row>
    <row r="1474" spans="1:14" x14ac:dyDescent="0.3">
      <c r="A1474">
        <v>1472</v>
      </c>
      <c r="B1474" s="1">
        <v>46130</v>
      </c>
      <c r="C1474">
        <v>2026</v>
      </c>
      <c r="D1474">
        <v>4</v>
      </c>
      <c r="E1474" t="str">
        <f t="shared" si="22"/>
        <v>April</v>
      </c>
      <c r="F1474">
        <v>2</v>
      </c>
      <c r="G1474" t="s">
        <v>1515</v>
      </c>
      <c r="H1474" t="s">
        <v>1512</v>
      </c>
      <c r="I1474" t="s">
        <v>1531</v>
      </c>
      <c r="J1474" t="s">
        <v>1524</v>
      </c>
      <c r="K1474" t="s">
        <v>1514</v>
      </c>
      <c r="L1474" s="2">
        <v>1</v>
      </c>
      <c r="M1474" s="10">
        <v>3269</v>
      </c>
      <c r="N1474" s="7">
        <v>3269</v>
      </c>
    </row>
    <row r="1475" spans="1:14" x14ac:dyDescent="0.3">
      <c r="A1475">
        <v>1473</v>
      </c>
      <c r="B1475" s="1">
        <v>46131</v>
      </c>
      <c r="C1475">
        <v>2026</v>
      </c>
      <c r="D1475">
        <v>4</v>
      </c>
      <c r="E1475" t="str">
        <f t="shared" ref="E1475:E1501" si="23">TEXT(DATE(2026, D1475, 1), "[$-id-ID]mmmm")</f>
        <v>April</v>
      </c>
      <c r="F1475">
        <v>2</v>
      </c>
      <c r="G1475" t="s">
        <v>1534</v>
      </c>
      <c r="H1475" t="s">
        <v>1530</v>
      </c>
      <c r="I1475" t="s">
        <v>1531</v>
      </c>
      <c r="J1475" t="s">
        <v>1566</v>
      </c>
      <c r="K1475" t="s">
        <v>1525</v>
      </c>
      <c r="L1475" s="2">
        <v>1</v>
      </c>
      <c r="M1475" s="10">
        <v>3182</v>
      </c>
      <c r="N1475" s="7">
        <v>3182</v>
      </c>
    </row>
    <row r="1476" spans="1:14" x14ac:dyDescent="0.3">
      <c r="A1476">
        <v>1474</v>
      </c>
      <c r="B1476" s="1">
        <v>46132</v>
      </c>
      <c r="C1476">
        <v>2026</v>
      </c>
      <c r="D1476">
        <v>4</v>
      </c>
      <c r="E1476" t="str">
        <f t="shared" si="23"/>
        <v>April</v>
      </c>
      <c r="F1476">
        <v>2</v>
      </c>
      <c r="G1476" t="s">
        <v>1519</v>
      </c>
      <c r="H1476" t="s">
        <v>1520</v>
      </c>
      <c r="I1476" t="s">
        <v>1516</v>
      </c>
      <c r="J1476" t="s">
        <v>1517</v>
      </c>
      <c r="K1476" t="s">
        <v>1525</v>
      </c>
      <c r="L1476" s="2">
        <v>1</v>
      </c>
      <c r="M1476" s="10">
        <v>4471</v>
      </c>
      <c r="N1476" s="7">
        <v>4471</v>
      </c>
    </row>
    <row r="1477" spans="1:14" x14ac:dyDescent="0.3">
      <c r="A1477">
        <v>1475</v>
      </c>
      <c r="B1477" s="1">
        <v>46133</v>
      </c>
      <c r="C1477">
        <v>2026</v>
      </c>
      <c r="D1477">
        <v>4</v>
      </c>
      <c r="E1477" t="str">
        <f t="shared" si="23"/>
        <v>April</v>
      </c>
      <c r="F1477">
        <v>2</v>
      </c>
      <c r="G1477" t="s">
        <v>1522</v>
      </c>
      <c r="H1477" t="s">
        <v>1520</v>
      </c>
      <c r="I1477" t="s">
        <v>1528</v>
      </c>
      <c r="J1477" t="s">
        <v>1566</v>
      </c>
      <c r="K1477" t="s">
        <v>1514</v>
      </c>
      <c r="L1477" s="2">
        <v>2</v>
      </c>
      <c r="M1477" s="10">
        <v>732</v>
      </c>
      <c r="N1477" s="7">
        <v>1464</v>
      </c>
    </row>
    <row r="1478" spans="1:14" x14ac:dyDescent="0.3">
      <c r="A1478">
        <v>1476</v>
      </c>
      <c r="B1478" s="1">
        <v>46134</v>
      </c>
      <c r="C1478">
        <v>2026</v>
      </c>
      <c r="D1478">
        <v>4</v>
      </c>
      <c r="E1478" t="str">
        <f t="shared" si="23"/>
        <v>April</v>
      </c>
      <c r="F1478">
        <v>2</v>
      </c>
      <c r="G1478" t="s">
        <v>1523</v>
      </c>
      <c r="H1478" t="s">
        <v>1512</v>
      </c>
      <c r="I1478" t="s">
        <v>1521</v>
      </c>
      <c r="J1478" t="s">
        <v>1517</v>
      </c>
      <c r="K1478" t="s">
        <v>1525</v>
      </c>
      <c r="L1478" s="2">
        <v>2</v>
      </c>
      <c r="M1478" s="10">
        <v>14850</v>
      </c>
      <c r="N1478" s="7">
        <v>29700</v>
      </c>
    </row>
    <row r="1479" spans="1:14" x14ac:dyDescent="0.3">
      <c r="A1479">
        <v>1477</v>
      </c>
      <c r="B1479" s="1">
        <v>46135</v>
      </c>
      <c r="C1479">
        <v>2026</v>
      </c>
      <c r="D1479">
        <v>4</v>
      </c>
      <c r="E1479" t="str">
        <f t="shared" si="23"/>
        <v>April</v>
      </c>
      <c r="F1479">
        <v>2</v>
      </c>
      <c r="G1479" t="s">
        <v>1526</v>
      </c>
      <c r="H1479" t="s">
        <v>1527</v>
      </c>
      <c r="I1479" t="s">
        <v>1531</v>
      </c>
      <c r="J1479" t="s">
        <v>1566</v>
      </c>
      <c r="K1479" t="s">
        <v>1518</v>
      </c>
      <c r="L1479" s="2">
        <v>2</v>
      </c>
      <c r="M1479" s="10">
        <v>179</v>
      </c>
      <c r="N1479" s="7">
        <v>358</v>
      </c>
    </row>
    <row r="1480" spans="1:14" x14ac:dyDescent="0.3">
      <c r="A1480">
        <v>1478</v>
      </c>
      <c r="B1480" s="1">
        <v>46136</v>
      </c>
      <c r="C1480">
        <v>2026</v>
      </c>
      <c r="D1480">
        <v>4</v>
      </c>
      <c r="E1480" t="str">
        <f t="shared" si="23"/>
        <v>April</v>
      </c>
      <c r="F1480">
        <v>2</v>
      </c>
      <c r="G1480" t="s">
        <v>1529</v>
      </c>
      <c r="H1480" t="s">
        <v>1530</v>
      </c>
      <c r="I1480" t="s">
        <v>1535</v>
      </c>
      <c r="J1480" t="s">
        <v>1566</v>
      </c>
      <c r="K1480" t="s">
        <v>1525</v>
      </c>
      <c r="L1480" s="2">
        <v>5</v>
      </c>
      <c r="M1480" s="10">
        <v>1213</v>
      </c>
      <c r="N1480" s="7">
        <v>6065</v>
      </c>
    </row>
    <row r="1481" spans="1:14" x14ac:dyDescent="0.3">
      <c r="A1481">
        <v>1479</v>
      </c>
      <c r="B1481" s="1">
        <v>46137</v>
      </c>
      <c r="C1481">
        <v>2026</v>
      </c>
      <c r="D1481">
        <v>4</v>
      </c>
      <c r="E1481" t="str">
        <f t="shared" si="23"/>
        <v>April</v>
      </c>
      <c r="F1481">
        <v>2</v>
      </c>
      <c r="G1481" t="s">
        <v>1532</v>
      </c>
      <c r="H1481" t="s">
        <v>1512</v>
      </c>
      <c r="I1481" t="s">
        <v>1535</v>
      </c>
      <c r="J1481" t="s">
        <v>1517</v>
      </c>
      <c r="K1481" t="s">
        <v>1518</v>
      </c>
      <c r="L1481" s="2">
        <v>1</v>
      </c>
      <c r="M1481" s="10">
        <v>5171</v>
      </c>
      <c r="N1481" s="7">
        <v>5171</v>
      </c>
    </row>
    <row r="1482" spans="1:14" x14ac:dyDescent="0.3">
      <c r="A1482">
        <v>1480</v>
      </c>
      <c r="B1482" s="1">
        <v>46138</v>
      </c>
      <c r="C1482">
        <v>2026</v>
      </c>
      <c r="D1482">
        <v>4</v>
      </c>
      <c r="E1482" t="str">
        <f t="shared" si="23"/>
        <v>April</v>
      </c>
      <c r="F1482">
        <v>2</v>
      </c>
      <c r="G1482" t="s">
        <v>1533</v>
      </c>
      <c r="H1482" t="s">
        <v>1520</v>
      </c>
      <c r="I1482" t="s">
        <v>1513</v>
      </c>
      <c r="J1482" t="s">
        <v>1524</v>
      </c>
      <c r="K1482" t="s">
        <v>1514</v>
      </c>
      <c r="L1482" s="2">
        <v>1</v>
      </c>
      <c r="M1482" s="10">
        <v>731</v>
      </c>
      <c r="N1482" s="7">
        <v>731</v>
      </c>
    </row>
    <row r="1483" spans="1:14" x14ac:dyDescent="0.3">
      <c r="A1483">
        <v>1481</v>
      </c>
      <c r="B1483" s="1">
        <v>46139</v>
      </c>
      <c r="C1483">
        <v>2026</v>
      </c>
      <c r="D1483">
        <v>4</v>
      </c>
      <c r="E1483" t="str">
        <f t="shared" si="23"/>
        <v>April</v>
      </c>
      <c r="F1483">
        <v>2</v>
      </c>
      <c r="G1483" t="s">
        <v>1511</v>
      </c>
      <c r="H1483" t="s">
        <v>1512</v>
      </c>
      <c r="I1483" t="s">
        <v>1513</v>
      </c>
      <c r="J1483" t="s">
        <v>1566</v>
      </c>
      <c r="K1483" t="s">
        <v>1518</v>
      </c>
      <c r="L1483" s="2">
        <v>1</v>
      </c>
      <c r="M1483" s="10">
        <v>67499</v>
      </c>
      <c r="N1483" s="7">
        <v>67499</v>
      </c>
    </row>
    <row r="1484" spans="1:14" x14ac:dyDescent="0.3">
      <c r="A1484">
        <v>1482</v>
      </c>
      <c r="B1484" s="1">
        <v>46140</v>
      </c>
      <c r="C1484">
        <v>2026</v>
      </c>
      <c r="D1484">
        <v>4</v>
      </c>
      <c r="E1484" t="str">
        <f t="shared" si="23"/>
        <v>April</v>
      </c>
      <c r="F1484">
        <v>2</v>
      </c>
      <c r="G1484" t="s">
        <v>1515</v>
      </c>
      <c r="H1484" t="s">
        <v>1512</v>
      </c>
      <c r="I1484" t="s">
        <v>1516</v>
      </c>
      <c r="J1484" t="s">
        <v>1517</v>
      </c>
      <c r="K1484" t="s">
        <v>1514</v>
      </c>
      <c r="L1484" s="2">
        <v>1</v>
      </c>
      <c r="M1484" s="10">
        <v>4107</v>
      </c>
      <c r="N1484" s="7">
        <v>4107</v>
      </c>
    </row>
    <row r="1485" spans="1:14" x14ac:dyDescent="0.3">
      <c r="A1485">
        <v>1483</v>
      </c>
      <c r="B1485" s="1">
        <v>46141</v>
      </c>
      <c r="C1485">
        <v>2026</v>
      </c>
      <c r="D1485">
        <v>4</v>
      </c>
      <c r="E1485" t="str">
        <f t="shared" si="23"/>
        <v>April</v>
      </c>
      <c r="F1485">
        <v>2</v>
      </c>
      <c r="G1485" t="s">
        <v>1534</v>
      </c>
      <c r="H1485" t="s">
        <v>1530</v>
      </c>
      <c r="I1485" t="s">
        <v>1528</v>
      </c>
      <c r="J1485" t="s">
        <v>1524</v>
      </c>
      <c r="K1485" t="s">
        <v>1514</v>
      </c>
      <c r="L1485" s="2">
        <v>2</v>
      </c>
      <c r="M1485" s="10">
        <v>2690</v>
      </c>
      <c r="N1485" s="7">
        <v>5380</v>
      </c>
    </row>
    <row r="1486" spans="1:14" x14ac:dyDescent="0.3">
      <c r="A1486">
        <v>1484</v>
      </c>
      <c r="B1486" s="1">
        <v>46142</v>
      </c>
      <c r="C1486">
        <v>2026</v>
      </c>
      <c r="D1486">
        <v>4</v>
      </c>
      <c r="E1486" t="str">
        <f t="shared" si="23"/>
        <v>April</v>
      </c>
      <c r="F1486">
        <v>2</v>
      </c>
      <c r="G1486" t="s">
        <v>1519</v>
      </c>
      <c r="H1486" t="s">
        <v>1520</v>
      </c>
      <c r="I1486" t="s">
        <v>1531</v>
      </c>
      <c r="J1486" t="s">
        <v>1566</v>
      </c>
      <c r="K1486" t="s">
        <v>1514</v>
      </c>
      <c r="L1486" s="2">
        <v>5</v>
      </c>
      <c r="M1486" s="10">
        <v>8632</v>
      </c>
      <c r="N1486" s="7">
        <v>43160</v>
      </c>
    </row>
    <row r="1487" spans="1:14" x14ac:dyDescent="0.3">
      <c r="A1487">
        <v>1485</v>
      </c>
      <c r="B1487" s="1">
        <v>46143</v>
      </c>
      <c r="C1487">
        <v>2026</v>
      </c>
      <c r="D1487">
        <v>5</v>
      </c>
      <c r="E1487" t="str">
        <f t="shared" si="23"/>
        <v>Mei</v>
      </c>
      <c r="F1487">
        <v>2</v>
      </c>
      <c r="G1487" t="s">
        <v>1522</v>
      </c>
      <c r="H1487" t="s">
        <v>1520</v>
      </c>
      <c r="I1487" t="s">
        <v>1521</v>
      </c>
      <c r="J1487" t="s">
        <v>1524</v>
      </c>
      <c r="K1487" t="s">
        <v>1525</v>
      </c>
      <c r="L1487" s="2">
        <v>2</v>
      </c>
      <c r="M1487" s="10">
        <v>746</v>
      </c>
      <c r="N1487" s="7">
        <v>1492</v>
      </c>
    </row>
    <row r="1488" spans="1:14" x14ac:dyDescent="0.3">
      <c r="A1488">
        <v>1486</v>
      </c>
      <c r="B1488" s="1">
        <v>46144</v>
      </c>
      <c r="C1488">
        <v>2026</v>
      </c>
      <c r="D1488">
        <v>5</v>
      </c>
      <c r="E1488" t="str">
        <f t="shared" si="23"/>
        <v>Mei</v>
      </c>
      <c r="F1488">
        <v>2</v>
      </c>
      <c r="G1488" t="s">
        <v>1523</v>
      </c>
      <c r="H1488" t="s">
        <v>1512</v>
      </c>
      <c r="I1488" t="s">
        <v>1521</v>
      </c>
      <c r="J1488" t="s">
        <v>1517</v>
      </c>
      <c r="K1488" t="s">
        <v>1518</v>
      </c>
      <c r="L1488" s="2">
        <v>2</v>
      </c>
      <c r="M1488" s="10">
        <v>19358</v>
      </c>
      <c r="N1488" s="7">
        <v>38716</v>
      </c>
    </row>
    <row r="1489" spans="1:14" x14ac:dyDescent="0.3">
      <c r="A1489">
        <v>1487</v>
      </c>
      <c r="B1489" s="1">
        <v>46145</v>
      </c>
      <c r="C1489">
        <v>2026</v>
      </c>
      <c r="D1489">
        <v>5</v>
      </c>
      <c r="E1489" t="str">
        <f t="shared" si="23"/>
        <v>Mei</v>
      </c>
      <c r="F1489">
        <v>2</v>
      </c>
      <c r="G1489" t="s">
        <v>1526</v>
      </c>
      <c r="H1489" t="s">
        <v>1527</v>
      </c>
      <c r="I1489" t="s">
        <v>1531</v>
      </c>
      <c r="J1489" t="s">
        <v>1566</v>
      </c>
      <c r="K1489" t="s">
        <v>1514</v>
      </c>
      <c r="L1489" s="2">
        <v>3</v>
      </c>
      <c r="M1489" s="10">
        <v>128</v>
      </c>
      <c r="N1489" s="7">
        <v>384</v>
      </c>
    </row>
    <row r="1490" spans="1:14" x14ac:dyDescent="0.3">
      <c r="A1490">
        <v>1488</v>
      </c>
      <c r="B1490" s="1">
        <v>46146</v>
      </c>
      <c r="C1490">
        <v>2026</v>
      </c>
      <c r="D1490">
        <v>5</v>
      </c>
      <c r="E1490" t="str">
        <f t="shared" si="23"/>
        <v>Mei</v>
      </c>
      <c r="F1490">
        <v>2</v>
      </c>
      <c r="G1490" t="s">
        <v>1529</v>
      </c>
      <c r="H1490" t="s">
        <v>1530</v>
      </c>
      <c r="I1490" t="s">
        <v>1516</v>
      </c>
      <c r="J1490" t="s">
        <v>1566</v>
      </c>
      <c r="K1490" t="s">
        <v>1525</v>
      </c>
      <c r="L1490" s="2">
        <v>2</v>
      </c>
      <c r="M1490" s="10">
        <v>1440</v>
      </c>
      <c r="N1490" s="7">
        <v>2880</v>
      </c>
    </row>
    <row r="1491" spans="1:14" x14ac:dyDescent="0.3">
      <c r="A1491">
        <v>1489</v>
      </c>
      <c r="B1491" s="1">
        <v>46147</v>
      </c>
      <c r="C1491">
        <v>2026</v>
      </c>
      <c r="D1491">
        <v>5</v>
      </c>
      <c r="E1491" t="str">
        <f t="shared" si="23"/>
        <v>Mei</v>
      </c>
      <c r="F1491">
        <v>2</v>
      </c>
      <c r="G1491" t="s">
        <v>1532</v>
      </c>
      <c r="H1491" t="s">
        <v>1512</v>
      </c>
      <c r="I1491" t="s">
        <v>1513</v>
      </c>
      <c r="J1491" t="s">
        <v>1524</v>
      </c>
      <c r="K1491" t="s">
        <v>1525</v>
      </c>
      <c r="L1491" s="2">
        <v>1</v>
      </c>
      <c r="M1491" s="10">
        <v>14302</v>
      </c>
      <c r="N1491" s="7">
        <v>14302</v>
      </c>
    </row>
    <row r="1492" spans="1:14" x14ac:dyDescent="0.3">
      <c r="A1492">
        <v>1490</v>
      </c>
      <c r="B1492" s="1">
        <v>46148</v>
      </c>
      <c r="C1492">
        <v>2026</v>
      </c>
      <c r="D1492">
        <v>5</v>
      </c>
      <c r="E1492" t="str">
        <f t="shared" si="23"/>
        <v>Mei</v>
      </c>
      <c r="F1492">
        <v>2</v>
      </c>
      <c r="G1492" t="s">
        <v>1533</v>
      </c>
      <c r="H1492" t="s">
        <v>1520</v>
      </c>
      <c r="I1492" t="s">
        <v>1535</v>
      </c>
      <c r="J1492" t="s">
        <v>1517</v>
      </c>
      <c r="K1492" t="s">
        <v>1514</v>
      </c>
      <c r="L1492" s="2">
        <v>5</v>
      </c>
      <c r="M1492" s="10">
        <v>296</v>
      </c>
      <c r="N1492" s="7">
        <v>1480</v>
      </c>
    </row>
    <row r="1493" spans="1:14" x14ac:dyDescent="0.3">
      <c r="A1493">
        <v>1491</v>
      </c>
      <c r="B1493" s="1">
        <v>46149</v>
      </c>
      <c r="C1493">
        <v>2026</v>
      </c>
      <c r="D1493">
        <v>5</v>
      </c>
      <c r="E1493" t="str">
        <f t="shared" si="23"/>
        <v>Mei</v>
      </c>
      <c r="F1493">
        <v>2</v>
      </c>
      <c r="G1493" t="s">
        <v>1511</v>
      </c>
      <c r="H1493" t="s">
        <v>1512</v>
      </c>
      <c r="I1493" t="s">
        <v>1535</v>
      </c>
      <c r="J1493" t="s">
        <v>1566</v>
      </c>
      <c r="K1493" t="s">
        <v>1518</v>
      </c>
      <c r="L1493" s="2">
        <v>2</v>
      </c>
      <c r="M1493" s="10">
        <v>63623</v>
      </c>
      <c r="N1493" s="7">
        <v>127246</v>
      </c>
    </row>
    <row r="1494" spans="1:14" x14ac:dyDescent="0.3">
      <c r="A1494">
        <v>1492</v>
      </c>
      <c r="B1494" s="1">
        <v>46150</v>
      </c>
      <c r="C1494">
        <v>2026</v>
      </c>
      <c r="D1494">
        <v>5</v>
      </c>
      <c r="E1494" t="str">
        <f t="shared" si="23"/>
        <v>Mei</v>
      </c>
      <c r="F1494">
        <v>2</v>
      </c>
      <c r="G1494" t="s">
        <v>1515</v>
      </c>
      <c r="H1494" t="s">
        <v>1512</v>
      </c>
      <c r="I1494" t="s">
        <v>1535</v>
      </c>
      <c r="J1494" t="s">
        <v>1517</v>
      </c>
      <c r="K1494" t="s">
        <v>1514</v>
      </c>
      <c r="L1494" s="2">
        <v>1</v>
      </c>
      <c r="M1494" s="10">
        <v>2952</v>
      </c>
      <c r="N1494" s="7">
        <v>2952</v>
      </c>
    </row>
    <row r="1495" spans="1:14" x14ac:dyDescent="0.3">
      <c r="A1495">
        <v>1493</v>
      </c>
      <c r="B1495" s="1">
        <v>46151</v>
      </c>
      <c r="C1495">
        <v>2026</v>
      </c>
      <c r="D1495">
        <v>5</v>
      </c>
      <c r="E1495" t="str">
        <f t="shared" si="23"/>
        <v>Mei</v>
      </c>
      <c r="F1495">
        <v>2</v>
      </c>
      <c r="G1495" t="s">
        <v>1534</v>
      </c>
      <c r="H1495" t="s">
        <v>1530</v>
      </c>
      <c r="I1495" t="s">
        <v>1516</v>
      </c>
      <c r="J1495" t="s">
        <v>1517</v>
      </c>
      <c r="K1495" t="s">
        <v>1514</v>
      </c>
      <c r="L1495" s="2">
        <v>3</v>
      </c>
      <c r="M1495" s="10">
        <v>4415</v>
      </c>
      <c r="N1495" s="7">
        <v>13245</v>
      </c>
    </row>
    <row r="1496" spans="1:14" x14ac:dyDescent="0.3">
      <c r="A1496">
        <v>1494</v>
      </c>
      <c r="B1496" s="1">
        <v>46152</v>
      </c>
      <c r="C1496">
        <v>2026</v>
      </c>
      <c r="D1496">
        <v>5</v>
      </c>
      <c r="E1496" t="str">
        <f t="shared" si="23"/>
        <v>Mei</v>
      </c>
      <c r="F1496">
        <v>2</v>
      </c>
      <c r="G1496" t="s">
        <v>1519</v>
      </c>
      <c r="H1496" t="s">
        <v>1520</v>
      </c>
      <c r="I1496" t="s">
        <v>1531</v>
      </c>
      <c r="J1496" t="s">
        <v>1517</v>
      </c>
      <c r="K1496" t="s">
        <v>1525</v>
      </c>
      <c r="L1496" s="2">
        <v>1</v>
      </c>
      <c r="M1496" s="10">
        <v>12572</v>
      </c>
      <c r="N1496" s="7">
        <v>12572</v>
      </c>
    </row>
    <row r="1497" spans="1:14" x14ac:dyDescent="0.3">
      <c r="A1497">
        <v>1495</v>
      </c>
      <c r="B1497" s="1">
        <v>46153</v>
      </c>
      <c r="C1497">
        <v>2026</v>
      </c>
      <c r="D1497">
        <v>5</v>
      </c>
      <c r="E1497" t="str">
        <f t="shared" si="23"/>
        <v>Mei</v>
      </c>
      <c r="F1497">
        <v>2</v>
      </c>
      <c r="G1497" t="s">
        <v>1522</v>
      </c>
      <c r="H1497" t="s">
        <v>1520</v>
      </c>
      <c r="I1497" t="s">
        <v>1531</v>
      </c>
      <c r="J1497" t="s">
        <v>1524</v>
      </c>
      <c r="K1497" t="s">
        <v>1514</v>
      </c>
      <c r="L1497" s="2">
        <v>5</v>
      </c>
      <c r="M1497" s="10">
        <v>745</v>
      </c>
      <c r="N1497" s="7">
        <v>3725</v>
      </c>
    </row>
    <row r="1498" spans="1:14" x14ac:dyDescent="0.3">
      <c r="A1498">
        <v>1496</v>
      </c>
      <c r="B1498" s="1">
        <v>46154</v>
      </c>
      <c r="C1498">
        <v>2026</v>
      </c>
      <c r="D1498">
        <v>5</v>
      </c>
      <c r="E1498" t="str">
        <f t="shared" si="23"/>
        <v>Mei</v>
      </c>
      <c r="F1498">
        <v>2</v>
      </c>
      <c r="G1498" t="s">
        <v>1523</v>
      </c>
      <c r="H1498" t="s">
        <v>1512</v>
      </c>
      <c r="I1498" t="s">
        <v>1535</v>
      </c>
      <c r="J1498" t="s">
        <v>1566</v>
      </c>
      <c r="K1498" t="s">
        <v>1525</v>
      </c>
      <c r="L1498" s="2">
        <v>1</v>
      </c>
      <c r="M1498" s="10">
        <v>30973</v>
      </c>
      <c r="N1498" s="7">
        <v>30973</v>
      </c>
    </row>
    <row r="1499" spans="1:14" x14ac:dyDescent="0.3">
      <c r="A1499">
        <v>1497</v>
      </c>
      <c r="B1499" s="1">
        <v>46155</v>
      </c>
      <c r="C1499">
        <v>2026</v>
      </c>
      <c r="D1499">
        <v>5</v>
      </c>
      <c r="E1499" t="str">
        <f t="shared" si="23"/>
        <v>Mei</v>
      </c>
      <c r="F1499">
        <v>2</v>
      </c>
      <c r="G1499" t="s">
        <v>1526</v>
      </c>
      <c r="H1499" t="s">
        <v>1527</v>
      </c>
      <c r="I1499" t="s">
        <v>1535</v>
      </c>
      <c r="J1499" t="s">
        <v>1517</v>
      </c>
      <c r="K1499" t="s">
        <v>1518</v>
      </c>
      <c r="L1499" s="2">
        <v>5</v>
      </c>
      <c r="M1499" s="10">
        <v>756</v>
      </c>
      <c r="N1499" s="7">
        <v>3780</v>
      </c>
    </row>
    <row r="1500" spans="1:14" x14ac:dyDescent="0.3">
      <c r="A1500">
        <v>1498</v>
      </c>
      <c r="B1500" s="1">
        <v>46156</v>
      </c>
      <c r="C1500">
        <v>2026</v>
      </c>
      <c r="D1500">
        <v>5</v>
      </c>
      <c r="E1500" t="str">
        <f t="shared" si="23"/>
        <v>Mei</v>
      </c>
      <c r="F1500">
        <v>2</v>
      </c>
      <c r="G1500" t="s">
        <v>1529</v>
      </c>
      <c r="H1500" t="s">
        <v>1530</v>
      </c>
      <c r="I1500" t="s">
        <v>1521</v>
      </c>
      <c r="J1500" t="s">
        <v>1566</v>
      </c>
      <c r="K1500" t="s">
        <v>1514</v>
      </c>
      <c r="L1500" s="2">
        <v>1</v>
      </c>
      <c r="M1500" s="10">
        <v>966</v>
      </c>
      <c r="N1500" s="7">
        <v>966</v>
      </c>
    </row>
    <row r="1501" spans="1:14" x14ac:dyDescent="0.3">
      <c r="A1501">
        <v>1499</v>
      </c>
      <c r="B1501" s="1">
        <v>46157</v>
      </c>
      <c r="C1501">
        <v>2026</v>
      </c>
      <c r="D1501">
        <v>5</v>
      </c>
      <c r="E1501" t="str">
        <f t="shared" si="23"/>
        <v>Mei</v>
      </c>
      <c r="F1501">
        <v>2</v>
      </c>
      <c r="G1501" t="s">
        <v>1532</v>
      </c>
      <c r="H1501" t="s">
        <v>1512</v>
      </c>
      <c r="I1501" t="s">
        <v>1528</v>
      </c>
      <c r="J1501" t="s">
        <v>1566</v>
      </c>
      <c r="K1501" t="s">
        <v>1518</v>
      </c>
      <c r="L1501" s="2">
        <v>1</v>
      </c>
      <c r="M1501" s="10">
        <v>13343</v>
      </c>
      <c r="N1501" s="7">
        <v>13343</v>
      </c>
    </row>
    <row r="1502" spans="1:14" x14ac:dyDescent="0.3">
      <c r="L1502" s="2">
        <f>SUM(L2:L1501)</f>
        <v>3453</v>
      </c>
      <c r="M1502" s="10">
        <f>SUM(M2:M1501)</f>
        <v>16660826</v>
      </c>
      <c r="N1502" s="7">
        <f>SUM(N2:N1501)</f>
        <v>28220731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9A0FE-727B-4FE5-9588-B11341CF4210}">
  <sheetPr codeName="Sheet1"/>
  <dimension ref="A1:A1501"/>
  <sheetViews>
    <sheetView workbookViewId="0">
      <selection activeCell="A64" sqref="A1:A1048576"/>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386</v>
      </c>
    </row>
    <row r="390" spans="1:1" x14ac:dyDescent="0.3">
      <c r="A390" t="s">
        <v>388</v>
      </c>
    </row>
    <row r="391" spans="1:1" x14ac:dyDescent="0.3">
      <c r="A391" t="s">
        <v>389</v>
      </c>
    </row>
    <row r="392" spans="1:1" x14ac:dyDescent="0.3">
      <c r="A392" t="s">
        <v>390</v>
      </c>
    </row>
    <row r="393" spans="1:1" x14ac:dyDescent="0.3">
      <c r="A393" t="s">
        <v>391</v>
      </c>
    </row>
    <row r="394" spans="1:1" x14ac:dyDescent="0.3">
      <c r="A394" t="s">
        <v>392</v>
      </c>
    </row>
    <row r="395" spans="1:1" x14ac:dyDescent="0.3">
      <c r="A395" t="s">
        <v>393</v>
      </c>
    </row>
    <row r="396" spans="1:1" x14ac:dyDescent="0.3">
      <c r="A396" t="s">
        <v>394</v>
      </c>
    </row>
    <row r="397" spans="1:1" x14ac:dyDescent="0.3">
      <c r="A397" t="s">
        <v>395</v>
      </c>
    </row>
    <row r="398" spans="1:1" x14ac:dyDescent="0.3">
      <c r="A398" t="s">
        <v>396</v>
      </c>
    </row>
    <row r="399" spans="1:1" x14ac:dyDescent="0.3">
      <c r="A399" t="s">
        <v>397</v>
      </c>
    </row>
    <row r="400" spans="1:1" x14ac:dyDescent="0.3">
      <c r="A400" t="s">
        <v>398</v>
      </c>
    </row>
    <row r="401" spans="1:1" x14ac:dyDescent="0.3">
      <c r="A401" t="s">
        <v>399</v>
      </c>
    </row>
    <row r="402" spans="1:1" x14ac:dyDescent="0.3">
      <c r="A402" t="s">
        <v>400</v>
      </c>
    </row>
    <row r="403" spans="1:1" x14ac:dyDescent="0.3">
      <c r="A403" t="s">
        <v>401</v>
      </c>
    </row>
    <row r="404" spans="1:1" x14ac:dyDescent="0.3">
      <c r="A404" t="s">
        <v>402</v>
      </c>
    </row>
    <row r="405" spans="1:1" x14ac:dyDescent="0.3">
      <c r="A405" t="s">
        <v>403</v>
      </c>
    </row>
    <row r="406" spans="1:1" x14ac:dyDescent="0.3">
      <c r="A406" t="s">
        <v>404</v>
      </c>
    </row>
    <row r="407" spans="1:1" x14ac:dyDescent="0.3">
      <c r="A407" t="s">
        <v>405</v>
      </c>
    </row>
    <row r="408" spans="1:1" x14ac:dyDescent="0.3">
      <c r="A408" t="s">
        <v>406</v>
      </c>
    </row>
    <row r="409" spans="1:1" x14ac:dyDescent="0.3">
      <c r="A409" t="s">
        <v>407</v>
      </c>
    </row>
    <row r="410" spans="1:1" x14ac:dyDescent="0.3">
      <c r="A410" t="s">
        <v>408</v>
      </c>
    </row>
    <row r="411" spans="1:1" x14ac:dyDescent="0.3">
      <c r="A411" t="s">
        <v>409</v>
      </c>
    </row>
    <row r="412" spans="1:1" x14ac:dyDescent="0.3">
      <c r="A412" t="s">
        <v>410</v>
      </c>
    </row>
    <row r="413" spans="1:1" x14ac:dyDescent="0.3">
      <c r="A413" t="s">
        <v>411</v>
      </c>
    </row>
    <row r="414" spans="1:1" x14ac:dyDescent="0.3">
      <c r="A414" t="s">
        <v>412</v>
      </c>
    </row>
    <row r="415" spans="1:1" x14ac:dyDescent="0.3">
      <c r="A415" t="s">
        <v>413</v>
      </c>
    </row>
    <row r="416" spans="1:1" x14ac:dyDescent="0.3">
      <c r="A416" t="s">
        <v>414</v>
      </c>
    </row>
    <row r="417" spans="1:1" x14ac:dyDescent="0.3">
      <c r="A417" t="s">
        <v>415</v>
      </c>
    </row>
    <row r="418" spans="1:1" x14ac:dyDescent="0.3">
      <c r="A418" t="s">
        <v>416</v>
      </c>
    </row>
    <row r="419" spans="1:1" x14ac:dyDescent="0.3">
      <c r="A419" t="s">
        <v>417</v>
      </c>
    </row>
    <row r="420" spans="1:1" x14ac:dyDescent="0.3">
      <c r="A420" t="s">
        <v>418</v>
      </c>
    </row>
    <row r="421" spans="1:1" x14ac:dyDescent="0.3">
      <c r="A421" t="s">
        <v>419</v>
      </c>
    </row>
    <row r="422" spans="1:1" x14ac:dyDescent="0.3">
      <c r="A422" t="s">
        <v>420</v>
      </c>
    </row>
    <row r="423" spans="1:1" x14ac:dyDescent="0.3">
      <c r="A423" t="s">
        <v>421</v>
      </c>
    </row>
    <row r="424" spans="1:1" x14ac:dyDescent="0.3">
      <c r="A424" t="s">
        <v>422</v>
      </c>
    </row>
    <row r="425" spans="1:1" x14ac:dyDescent="0.3">
      <c r="A425" t="s">
        <v>423</v>
      </c>
    </row>
    <row r="426" spans="1:1" x14ac:dyDescent="0.3">
      <c r="A426" t="s">
        <v>424</v>
      </c>
    </row>
    <row r="427" spans="1:1" x14ac:dyDescent="0.3">
      <c r="A427" t="s">
        <v>425</v>
      </c>
    </row>
    <row r="428" spans="1:1" x14ac:dyDescent="0.3">
      <c r="A428" t="s">
        <v>426</v>
      </c>
    </row>
    <row r="429" spans="1:1" x14ac:dyDescent="0.3">
      <c r="A429" t="s">
        <v>427</v>
      </c>
    </row>
    <row r="430" spans="1:1" x14ac:dyDescent="0.3">
      <c r="A430" t="s">
        <v>428</v>
      </c>
    </row>
    <row r="431" spans="1:1" x14ac:dyDescent="0.3">
      <c r="A431" t="s">
        <v>429</v>
      </c>
    </row>
    <row r="432" spans="1:1" x14ac:dyDescent="0.3">
      <c r="A432" t="s">
        <v>430</v>
      </c>
    </row>
    <row r="433" spans="1:1" x14ac:dyDescent="0.3">
      <c r="A433" t="s">
        <v>431</v>
      </c>
    </row>
    <row r="434" spans="1:1" x14ac:dyDescent="0.3">
      <c r="A434" t="s">
        <v>432</v>
      </c>
    </row>
    <row r="435" spans="1:1" x14ac:dyDescent="0.3">
      <c r="A435" t="s">
        <v>433</v>
      </c>
    </row>
    <row r="436" spans="1:1" x14ac:dyDescent="0.3">
      <c r="A436" t="s">
        <v>434</v>
      </c>
    </row>
    <row r="437" spans="1:1" x14ac:dyDescent="0.3">
      <c r="A437" t="s">
        <v>435</v>
      </c>
    </row>
    <row r="438" spans="1:1" x14ac:dyDescent="0.3">
      <c r="A438" t="s">
        <v>436</v>
      </c>
    </row>
    <row r="439" spans="1:1" x14ac:dyDescent="0.3">
      <c r="A439" t="s">
        <v>437</v>
      </c>
    </row>
    <row r="440" spans="1:1" x14ac:dyDescent="0.3">
      <c r="A440" t="s">
        <v>438</v>
      </c>
    </row>
    <row r="441" spans="1:1" x14ac:dyDescent="0.3">
      <c r="A441" t="s">
        <v>439</v>
      </c>
    </row>
    <row r="442" spans="1:1" x14ac:dyDescent="0.3">
      <c r="A442" t="s">
        <v>440</v>
      </c>
    </row>
    <row r="443" spans="1:1" x14ac:dyDescent="0.3">
      <c r="A443" t="s">
        <v>441</v>
      </c>
    </row>
    <row r="444" spans="1:1" x14ac:dyDescent="0.3">
      <c r="A444" t="s">
        <v>442</v>
      </c>
    </row>
    <row r="445" spans="1:1" x14ac:dyDescent="0.3">
      <c r="A445" t="s">
        <v>443</v>
      </c>
    </row>
    <row r="446" spans="1:1" x14ac:dyDescent="0.3">
      <c r="A446" t="s">
        <v>444</v>
      </c>
    </row>
    <row r="447" spans="1:1" x14ac:dyDescent="0.3">
      <c r="A447" t="s">
        <v>445</v>
      </c>
    </row>
    <row r="448" spans="1:1" x14ac:dyDescent="0.3">
      <c r="A448" t="s">
        <v>446</v>
      </c>
    </row>
    <row r="449" spans="1:1" x14ac:dyDescent="0.3">
      <c r="A449" t="s">
        <v>447</v>
      </c>
    </row>
    <row r="450" spans="1:1" x14ac:dyDescent="0.3">
      <c r="A450" t="s">
        <v>448</v>
      </c>
    </row>
    <row r="451" spans="1:1" x14ac:dyDescent="0.3">
      <c r="A451" t="s">
        <v>449</v>
      </c>
    </row>
    <row r="452" spans="1:1" x14ac:dyDescent="0.3">
      <c r="A452" t="s">
        <v>450</v>
      </c>
    </row>
    <row r="453" spans="1:1" x14ac:dyDescent="0.3">
      <c r="A453" t="s">
        <v>451</v>
      </c>
    </row>
    <row r="454" spans="1:1" x14ac:dyDescent="0.3">
      <c r="A454" t="s">
        <v>452</v>
      </c>
    </row>
    <row r="455" spans="1:1" x14ac:dyDescent="0.3">
      <c r="A455" t="s">
        <v>453</v>
      </c>
    </row>
    <row r="456" spans="1:1" x14ac:dyDescent="0.3">
      <c r="A456" t="s">
        <v>454</v>
      </c>
    </row>
    <row r="457" spans="1:1" x14ac:dyDescent="0.3">
      <c r="A457" t="s">
        <v>455</v>
      </c>
    </row>
    <row r="458" spans="1:1" x14ac:dyDescent="0.3">
      <c r="A458" t="s">
        <v>456</v>
      </c>
    </row>
    <row r="459" spans="1:1" x14ac:dyDescent="0.3">
      <c r="A459" t="s">
        <v>457</v>
      </c>
    </row>
    <row r="460" spans="1:1" x14ac:dyDescent="0.3">
      <c r="A460" t="s">
        <v>458</v>
      </c>
    </row>
    <row r="461" spans="1:1" x14ac:dyDescent="0.3">
      <c r="A461" t="s">
        <v>459</v>
      </c>
    </row>
    <row r="462" spans="1:1" x14ac:dyDescent="0.3">
      <c r="A462" t="s">
        <v>460</v>
      </c>
    </row>
    <row r="463" spans="1:1" x14ac:dyDescent="0.3">
      <c r="A463" t="s">
        <v>461</v>
      </c>
    </row>
    <row r="464" spans="1:1" x14ac:dyDescent="0.3">
      <c r="A464" t="s">
        <v>462</v>
      </c>
    </row>
    <row r="465" spans="1:1" x14ac:dyDescent="0.3">
      <c r="A465" t="s">
        <v>463</v>
      </c>
    </row>
    <row r="466" spans="1:1" x14ac:dyDescent="0.3">
      <c r="A466" t="s">
        <v>464</v>
      </c>
    </row>
    <row r="467" spans="1:1" x14ac:dyDescent="0.3">
      <c r="A467" t="s">
        <v>465</v>
      </c>
    </row>
    <row r="468" spans="1:1" x14ac:dyDescent="0.3">
      <c r="A468" t="s">
        <v>466</v>
      </c>
    </row>
    <row r="469" spans="1:1" x14ac:dyDescent="0.3">
      <c r="A469" t="s">
        <v>467</v>
      </c>
    </row>
    <row r="470" spans="1:1" x14ac:dyDescent="0.3">
      <c r="A470" t="s">
        <v>468</v>
      </c>
    </row>
    <row r="471" spans="1:1" x14ac:dyDescent="0.3">
      <c r="A471" t="s">
        <v>469</v>
      </c>
    </row>
    <row r="472" spans="1:1" x14ac:dyDescent="0.3">
      <c r="A472" t="s">
        <v>470</v>
      </c>
    </row>
    <row r="473" spans="1:1" x14ac:dyDescent="0.3">
      <c r="A473" t="s">
        <v>471</v>
      </c>
    </row>
    <row r="474" spans="1:1" x14ac:dyDescent="0.3">
      <c r="A474" t="s">
        <v>472</v>
      </c>
    </row>
    <row r="475" spans="1:1" x14ac:dyDescent="0.3">
      <c r="A475" t="s">
        <v>473</v>
      </c>
    </row>
    <row r="476" spans="1:1" x14ac:dyDescent="0.3">
      <c r="A476" t="s">
        <v>474</v>
      </c>
    </row>
    <row r="477" spans="1:1" x14ac:dyDescent="0.3">
      <c r="A477" t="s">
        <v>475</v>
      </c>
    </row>
    <row r="478" spans="1:1" x14ac:dyDescent="0.3">
      <c r="A478" t="s">
        <v>476</v>
      </c>
    </row>
    <row r="479" spans="1:1" x14ac:dyDescent="0.3">
      <c r="A479" t="s">
        <v>477</v>
      </c>
    </row>
    <row r="480" spans="1:1" x14ac:dyDescent="0.3">
      <c r="A480" t="s">
        <v>478</v>
      </c>
    </row>
    <row r="481" spans="1:1" x14ac:dyDescent="0.3">
      <c r="A481" t="s">
        <v>479</v>
      </c>
    </row>
    <row r="482" spans="1:1" x14ac:dyDescent="0.3">
      <c r="A482" t="s">
        <v>480</v>
      </c>
    </row>
    <row r="483" spans="1:1" x14ac:dyDescent="0.3">
      <c r="A483" t="s">
        <v>481</v>
      </c>
    </row>
    <row r="484" spans="1:1" x14ac:dyDescent="0.3">
      <c r="A484" t="s">
        <v>482</v>
      </c>
    </row>
    <row r="485" spans="1:1" x14ac:dyDescent="0.3">
      <c r="A485" t="s">
        <v>483</v>
      </c>
    </row>
    <row r="486" spans="1:1" x14ac:dyDescent="0.3">
      <c r="A486" t="s">
        <v>484</v>
      </c>
    </row>
    <row r="487" spans="1:1" x14ac:dyDescent="0.3">
      <c r="A487" t="s">
        <v>485</v>
      </c>
    </row>
    <row r="488" spans="1:1" x14ac:dyDescent="0.3">
      <c r="A488" t="s">
        <v>486</v>
      </c>
    </row>
    <row r="489" spans="1:1" x14ac:dyDescent="0.3">
      <c r="A489" t="s">
        <v>487</v>
      </c>
    </row>
    <row r="490" spans="1:1" x14ac:dyDescent="0.3">
      <c r="A490" t="s">
        <v>488</v>
      </c>
    </row>
    <row r="491" spans="1:1" x14ac:dyDescent="0.3">
      <c r="A491" t="s">
        <v>489</v>
      </c>
    </row>
    <row r="492" spans="1:1" x14ac:dyDescent="0.3">
      <c r="A492" t="s">
        <v>490</v>
      </c>
    </row>
    <row r="493" spans="1:1" x14ac:dyDescent="0.3">
      <c r="A493" t="s">
        <v>491</v>
      </c>
    </row>
    <row r="494" spans="1:1" x14ac:dyDescent="0.3">
      <c r="A494" t="s">
        <v>492</v>
      </c>
    </row>
    <row r="495" spans="1:1" x14ac:dyDescent="0.3">
      <c r="A495" t="s">
        <v>493</v>
      </c>
    </row>
    <row r="496" spans="1:1" x14ac:dyDescent="0.3">
      <c r="A496" t="s">
        <v>494</v>
      </c>
    </row>
    <row r="497" spans="1:1" x14ac:dyDescent="0.3">
      <c r="A497" t="s">
        <v>495</v>
      </c>
    </row>
    <row r="498" spans="1:1" x14ac:dyDescent="0.3">
      <c r="A498" t="s">
        <v>496</v>
      </c>
    </row>
    <row r="499" spans="1:1" x14ac:dyDescent="0.3">
      <c r="A499" t="s">
        <v>497</v>
      </c>
    </row>
    <row r="500" spans="1:1" x14ac:dyDescent="0.3">
      <c r="A500" t="s">
        <v>498</v>
      </c>
    </row>
    <row r="501" spans="1:1" x14ac:dyDescent="0.3">
      <c r="A501" t="s">
        <v>499</v>
      </c>
    </row>
    <row r="502" spans="1:1" x14ac:dyDescent="0.3">
      <c r="A502" t="s">
        <v>500</v>
      </c>
    </row>
    <row r="503" spans="1:1" x14ac:dyDescent="0.3">
      <c r="A503" t="s">
        <v>501</v>
      </c>
    </row>
    <row r="504" spans="1:1" x14ac:dyDescent="0.3">
      <c r="A504" t="s">
        <v>502</v>
      </c>
    </row>
    <row r="505" spans="1:1" x14ac:dyDescent="0.3">
      <c r="A505" t="s">
        <v>503</v>
      </c>
    </row>
    <row r="506" spans="1:1" x14ac:dyDescent="0.3">
      <c r="A506" t="s">
        <v>504</v>
      </c>
    </row>
    <row r="507" spans="1:1" x14ac:dyDescent="0.3">
      <c r="A507" t="s">
        <v>505</v>
      </c>
    </row>
    <row r="508" spans="1:1" x14ac:dyDescent="0.3">
      <c r="A508" t="s">
        <v>506</v>
      </c>
    </row>
    <row r="509" spans="1:1" x14ac:dyDescent="0.3">
      <c r="A509" t="s">
        <v>507</v>
      </c>
    </row>
    <row r="510" spans="1:1" x14ac:dyDescent="0.3">
      <c r="A510" t="s">
        <v>508</v>
      </c>
    </row>
    <row r="511" spans="1:1" x14ac:dyDescent="0.3">
      <c r="A511" t="s">
        <v>509</v>
      </c>
    </row>
    <row r="512" spans="1:1" x14ac:dyDescent="0.3">
      <c r="A512" t="s">
        <v>510</v>
      </c>
    </row>
    <row r="513" spans="1:1" x14ac:dyDescent="0.3">
      <c r="A513" t="s">
        <v>511</v>
      </c>
    </row>
    <row r="514" spans="1:1" x14ac:dyDescent="0.3">
      <c r="A514" t="s">
        <v>512</v>
      </c>
    </row>
    <row r="515" spans="1:1" x14ac:dyDescent="0.3">
      <c r="A515" t="s">
        <v>513</v>
      </c>
    </row>
    <row r="516" spans="1:1" x14ac:dyDescent="0.3">
      <c r="A516" t="s">
        <v>514</v>
      </c>
    </row>
    <row r="517" spans="1:1" x14ac:dyDescent="0.3">
      <c r="A517" t="s">
        <v>515</v>
      </c>
    </row>
    <row r="518" spans="1:1" x14ac:dyDescent="0.3">
      <c r="A518" t="s">
        <v>516</v>
      </c>
    </row>
    <row r="519" spans="1:1" x14ac:dyDescent="0.3">
      <c r="A519" t="s">
        <v>517</v>
      </c>
    </row>
    <row r="520" spans="1:1" x14ac:dyDescent="0.3">
      <c r="A520" t="s">
        <v>518</v>
      </c>
    </row>
    <row r="521" spans="1:1" x14ac:dyDescent="0.3">
      <c r="A521" t="s">
        <v>519</v>
      </c>
    </row>
    <row r="522" spans="1:1" x14ac:dyDescent="0.3">
      <c r="A522" t="s">
        <v>520</v>
      </c>
    </row>
    <row r="523" spans="1:1" x14ac:dyDescent="0.3">
      <c r="A523" t="s">
        <v>521</v>
      </c>
    </row>
    <row r="524" spans="1:1" x14ac:dyDescent="0.3">
      <c r="A524" t="s">
        <v>522</v>
      </c>
    </row>
    <row r="525" spans="1:1" x14ac:dyDescent="0.3">
      <c r="A525" t="s">
        <v>523</v>
      </c>
    </row>
    <row r="526" spans="1:1" x14ac:dyDescent="0.3">
      <c r="A526" t="s">
        <v>524</v>
      </c>
    </row>
    <row r="527" spans="1:1" x14ac:dyDescent="0.3">
      <c r="A527" t="s">
        <v>525</v>
      </c>
    </row>
    <row r="528" spans="1:1" x14ac:dyDescent="0.3">
      <c r="A528" t="s">
        <v>526</v>
      </c>
    </row>
    <row r="529" spans="1:1" x14ac:dyDescent="0.3">
      <c r="A529" t="s">
        <v>527</v>
      </c>
    </row>
    <row r="530" spans="1:1" x14ac:dyDescent="0.3">
      <c r="A530" t="s">
        <v>528</v>
      </c>
    </row>
    <row r="531" spans="1:1" x14ac:dyDescent="0.3">
      <c r="A531" t="s">
        <v>529</v>
      </c>
    </row>
    <row r="532" spans="1:1" x14ac:dyDescent="0.3">
      <c r="A532" t="s">
        <v>530</v>
      </c>
    </row>
    <row r="533" spans="1:1" x14ac:dyDescent="0.3">
      <c r="A533" t="s">
        <v>531</v>
      </c>
    </row>
    <row r="534" spans="1:1" x14ac:dyDescent="0.3">
      <c r="A534" t="s">
        <v>532</v>
      </c>
    </row>
    <row r="535" spans="1:1" x14ac:dyDescent="0.3">
      <c r="A535" t="s">
        <v>533</v>
      </c>
    </row>
    <row r="536" spans="1:1" x14ac:dyDescent="0.3">
      <c r="A536" t="s">
        <v>534</v>
      </c>
    </row>
    <row r="537" spans="1:1" x14ac:dyDescent="0.3">
      <c r="A537" t="s">
        <v>535</v>
      </c>
    </row>
    <row r="538" spans="1:1" x14ac:dyDescent="0.3">
      <c r="A538" t="s">
        <v>536</v>
      </c>
    </row>
    <row r="539" spans="1:1" x14ac:dyDescent="0.3">
      <c r="A539" t="s">
        <v>537</v>
      </c>
    </row>
    <row r="540" spans="1:1" x14ac:dyDescent="0.3">
      <c r="A540" t="s">
        <v>538</v>
      </c>
    </row>
    <row r="541" spans="1:1" x14ac:dyDescent="0.3">
      <c r="A541" t="s">
        <v>539</v>
      </c>
    </row>
    <row r="542" spans="1:1" x14ac:dyDescent="0.3">
      <c r="A542" t="s">
        <v>540</v>
      </c>
    </row>
    <row r="543" spans="1:1" x14ac:dyDescent="0.3">
      <c r="A543" t="s">
        <v>541</v>
      </c>
    </row>
    <row r="544" spans="1:1" x14ac:dyDescent="0.3">
      <c r="A544" t="s">
        <v>542</v>
      </c>
    </row>
    <row r="545" spans="1:1" x14ac:dyDescent="0.3">
      <c r="A545" t="s">
        <v>543</v>
      </c>
    </row>
    <row r="546" spans="1:1" x14ac:dyDescent="0.3">
      <c r="A546" t="s">
        <v>544</v>
      </c>
    </row>
    <row r="547" spans="1:1" x14ac:dyDescent="0.3">
      <c r="A547" t="s">
        <v>545</v>
      </c>
    </row>
    <row r="548" spans="1:1" x14ac:dyDescent="0.3">
      <c r="A548" t="s">
        <v>546</v>
      </c>
    </row>
    <row r="549" spans="1:1" x14ac:dyDescent="0.3">
      <c r="A549" t="s">
        <v>547</v>
      </c>
    </row>
    <row r="550" spans="1:1" x14ac:dyDescent="0.3">
      <c r="A550" t="s">
        <v>548</v>
      </c>
    </row>
    <row r="551" spans="1:1" x14ac:dyDescent="0.3">
      <c r="A551" t="s">
        <v>549</v>
      </c>
    </row>
    <row r="552" spans="1:1" x14ac:dyDescent="0.3">
      <c r="A552" t="s">
        <v>550</v>
      </c>
    </row>
    <row r="553" spans="1:1" x14ac:dyDescent="0.3">
      <c r="A553" t="s">
        <v>551</v>
      </c>
    </row>
    <row r="554" spans="1:1" x14ac:dyDescent="0.3">
      <c r="A554" t="s">
        <v>552</v>
      </c>
    </row>
    <row r="555" spans="1:1" x14ac:dyDescent="0.3">
      <c r="A555" t="s">
        <v>553</v>
      </c>
    </row>
    <row r="556" spans="1:1" x14ac:dyDescent="0.3">
      <c r="A556" t="s">
        <v>554</v>
      </c>
    </row>
    <row r="557" spans="1:1" x14ac:dyDescent="0.3">
      <c r="A557" t="s">
        <v>555</v>
      </c>
    </row>
    <row r="558" spans="1:1" x14ac:dyDescent="0.3">
      <c r="A558" t="s">
        <v>556</v>
      </c>
    </row>
    <row r="559" spans="1:1" x14ac:dyDescent="0.3">
      <c r="A559" t="s">
        <v>557</v>
      </c>
    </row>
    <row r="560" spans="1:1" x14ac:dyDescent="0.3">
      <c r="A560" t="s">
        <v>558</v>
      </c>
    </row>
    <row r="561" spans="1:1" x14ac:dyDescent="0.3">
      <c r="A561" t="s">
        <v>559</v>
      </c>
    </row>
    <row r="562" spans="1:1" x14ac:dyDescent="0.3">
      <c r="A562" t="s">
        <v>560</v>
      </c>
    </row>
    <row r="563" spans="1:1" x14ac:dyDescent="0.3">
      <c r="A563" t="s">
        <v>561</v>
      </c>
    </row>
    <row r="564" spans="1:1" x14ac:dyDescent="0.3">
      <c r="A564" t="s">
        <v>562</v>
      </c>
    </row>
    <row r="565" spans="1:1" x14ac:dyDescent="0.3">
      <c r="A565" t="s">
        <v>563</v>
      </c>
    </row>
    <row r="566" spans="1:1" x14ac:dyDescent="0.3">
      <c r="A566" t="s">
        <v>564</v>
      </c>
    </row>
    <row r="567" spans="1:1" x14ac:dyDescent="0.3">
      <c r="A567" t="s">
        <v>565</v>
      </c>
    </row>
    <row r="568" spans="1:1" x14ac:dyDescent="0.3">
      <c r="A568" t="s">
        <v>566</v>
      </c>
    </row>
    <row r="569" spans="1:1" x14ac:dyDescent="0.3">
      <c r="A569" t="s">
        <v>567</v>
      </c>
    </row>
    <row r="570" spans="1:1" x14ac:dyDescent="0.3">
      <c r="A570" t="s">
        <v>568</v>
      </c>
    </row>
    <row r="571" spans="1:1" x14ac:dyDescent="0.3">
      <c r="A571" t="s">
        <v>569</v>
      </c>
    </row>
    <row r="572" spans="1:1" x14ac:dyDescent="0.3">
      <c r="A572" t="s">
        <v>570</v>
      </c>
    </row>
    <row r="573" spans="1:1" x14ac:dyDescent="0.3">
      <c r="A573" t="s">
        <v>571</v>
      </c>
    </row>
    <row r="574" spans="1:1" x14ac:dyDescent="0.3">
      <c r="A574" t="s">
        <v>572</v>
      </c>
    </row>
    <row r="575" spans="1:1" x14ac:dyDescent="0.3">
      <c r="A575" t="s">
        <v>573</v>
      </c>
    </row>
    <row r="576" spans="1:1" x14ac:dyDescent="0.3">
      <c r="A576" t="s">
        <v>574</v>
      </c>
    </row>
    <row r="577" spans="1:1" x14ac:dyDescent="0.3">
      <c r="A577" t="s">
        <v>575</v>
      </c>
    </row>
    <row r="578" spans="1:1" x14ac:dyDescent="0.3">
      <c r="A578" t="s">
        <v>576</v>
      </c>
    </row>
    <row r="579" spans="1:1" x14ac:dyDescent="0.3">
      <c r="A579" t="s">
        <v>577</v>
      </c>
    </row>
    <row r="580" spans="1:1" x14ac:dyDescent="0.3">
      <c r="A580" t="s">
        <v>578</v>
      </c>
    </row>
    <row r="581" spans="1:1" x14ac:dyDescent="0.3">
      <c r="A581" t="s">
        <v>579</v>
      </c>
    </row>
    <row r="582" spans="1:1" x14ac:dyDescent="0.3">
      <c r="A582" t="s">
        <v>580</v>
      </c>
    </row>
    <row r="583" spans="1:1" x14ac:dyDescent="0.3">
      <c r="A583" t="s">
        <v>581</v>
      </c>
    </row>
    <row r="584" spans="1:1" x14ac:dyDescent="0.3">
      <c r="A584" t="s">
        <v>582</v>
      </c>
    </row>
    <row r="585" spans="1:1" x14ac:dyDescent="0.3">
      <c r="A585" t="s">
        <v>583</v>
      </c>
    </row>
    <row r="586" spans="1:1" x14ac:dyDescent="0.3">
      <c r="A586" t="s">
        <v>584</v>
      </c>
    </row>
    <row r="587" spans="1:1" x14ac:dyDescent="0.3">
      <c r="A587" t="s">
        <v>582</v>
      </c>
    </row>
    <row r="588" spans="1:1" x14ac:dyDescent="0.3">
      <c r="A588" t="s">
        <v>585</v>
      </c>
    </row>
    <row r="589" spans="1:1" x14ac:dyDescent="0.3">
      <c r="A589" t="s">
        <v>586</v>
      </c>
    </row>
    <row r="590" spans="1:1" x14ac:dyDescent="0.3">
      <c r="A590" t="s">
        <v>587</v>
      </c>
    </row>
    <row r="591" spans="1:1" x14ac:dyDescent="0.3">
      <c r="A591" t="s">
        <v>588</v>
      </c>
    </row>
    <row r="592" spans="1:1" x14ac:dyDescent="0.3">
      <c r="A592" t="s">
        <v>589</v>
      </c>
    </row>
    <row r="593" spans="1:1" x14ac:dyDescent="0.3">
      <c r="A593" t="s">
        <v>590</v>
      </c>
    </row>
    <row r="594" spans="1:1" x14ac:dyDescent="0.3">
      <c r="A594" t="s">
        <v>591</v>
      </c>
    </row>
    <row r="595" spans="1:1" x14ac:dyDescent="0.3">
      <c r="A595" t="s">
        <v>592</v>
      </c>
    </row>
    <row r="596" spans="1:1" x14ac:dyDescent="0.3">
      <c r="A596" t="s">
        <v>593</v>
      </c>
    </row>
    <row r="597" spans="1:1" x14ac:dyDescent="0.3">
      <c r="A597" t="s">
        <v>594</v>
      </c>
    </row>
    <row r="598" spans="1:1" x14ac:dyDescent="0.3">
      <c r="A598" t="s">
        <v>595</v>
      </c>
    </row>
    <row r="599" spans="1:1" x14ac:dyDescent="0.3">
      <c r="A599" t="s">
        <v>596</v>
      </c>
    </row>
    <row r="600" spans="1:1" x14ac:dyDescent="0.3">
      <c r="A600" t="s">
        <v>597</v>
      </c>
    </row>
    <row r="601" spans="1:1" x14ac:dyDescent="0.3">
      <c r="A601" t="s">
        <v>598</v>
      </c>
    </row>
    <row r="602" spans="1:1" x14ac:dyDescent="0.3">
      <c r="A602" t="s">
        <v>599</v>
      </c>
    </row>
    <row r="603" spans="1:1" x14ac:dyDescent="0.3">
      <c r="A603" t="s">
        <v>600</v>
      </c>
    </row>
    <row r="604" spans="1:1" x14ac:dyDescent="0.3">
      <c r="A604" t="s">
        <v>601</v>
      </c>
    </row>
    <row r="605" spans="1:1" x14ac:dyDescent="0.3">
      <c r="A605" t="s">
        <v>602</v>
      </c>
    </row>
    <row r="606" spans="1:1" x14ac:dyDescent="0.3">
      <c r="A606" t="s">
        <v>603</v>
      </c>
    </row>
    <row r="607" spans="1:1" x14ac:dyDescent="0.3">
      <c r="A607" t="s">
        <v>604</v>
      </c>
    </row>
    <row r="608" spans="1:1" x14ac:dyDescent="0.3">
      <c r="A608" t="s">
        <v>605</v>
      </c>
    </row>
    <row r="609" spans="1:1" x14ac:dyDescent="0.3">
      <c r="A609" t="s">
        <v>606</v>
      </c>
    </row>
    <row r="610" spans="1:1" x14ac:dyDescent="0.3">
      <c r="A610" t="s">
        <v>607</v>
      </c>
    </row>
    <row r="611" spans="1:1" x14ac:dyDescent="0.3">
      <c r="A611" t="s">
        <v>608</v>
      </c>
    </row>
    <row r="612" spans="1:1" x14ac:dyDescent="0.3">
      <c r="A612" t="s">
        <v>609</v>
      </c>
    </row>
    <row r="613" spans="1:1" x14ac:dyDescent="0.3">
      <c r="A613" t="s">
        <v>610</v>
      </c>
    </row>
    <row r="614" spans="1:1" x14ac:dyDescent="0.3">
      <c r="A614" t="s">
        <v>611</v>
      </c>
    </row>
    <row r="615" spans="1:1" x14ac:dyDescent="0.3">
      <c r="A615" t="s">
        <v>612</v>
      </c>
    </row>
    <row r="616" spans="1:1" x14ac:dyDescent="0.3">
      <c r="A616" t="s">
        <v>613</v>
      </c>
    </row>
    <row r="617" spans="1:1" x14ac:dyDescent="0.3">
      <c r="A617" t="s">
        <v>614</v>
      </c>
    </row>
    <row r="618" spans="1:1" x14ac:dyDescent="0.3">
      <c r="A618" t="s">
        <v>615</v>
      </c>
    </row>
    <row r="619" spans="1:1" x14ac:dyDescent="0.3">
      <c r="A619" t="s">
        <v>616</v>
      </c>
    </row>
    <row r="620" spans="1:1" x14ac:dyDescent="0.3">
      <c r="A620" t="s">
        <v>617</v>
      </c>
    </row>
    <row r="621" spans="1:1" x14ac:dyDescent="0.3">
      <c r="A621" t="s">
        <v>618</v>
      </c>
    </row>
    <row r="622" spans="1:1" x14ac:dyDescent="0.3">
      <c r="A622" t="s">
        <v>619</v>
      </c>
    </row>
    <row r="623" spans="1:1" x14ac:dyDescent="0.3">
      <c r="A623" t="s">
        <v>620</v>
      </c>
    </row>
    <row r="624" spans="1:1" x14ac:dyDescent="0.3">
      <c r="A624" t="s">
        <v>621</v>
      </c>
    </row>
    <row r="625" spans="1:1" x14ac:dyDescent="0.3">
      <c r="A625" t="s">
        <v>622</v>
      </c>
    </row>
    <row r="626" spans="1:1" x14ac:dyDescent="0.3">
      <c r="A626" t="s">
        <v>623</v>
      </c>
    </row>
    <row r="627" spans="1:1" x14ac:dyDescent="0.3">
      <c r="A627" t="s">
        <v>624</v>
      </c>
    </row>
    <row r="628" spans="1:1" x14ac:dyDescent="0.3">
      <c r="A628" t="s">
        <v>625</v>
      </c>
    </row>
    <row r="629" spans="1:1" x14ac:dyDescent="0.3">
      <c r="A629" t="s">
        <v>626</v>
      </c>
    </row>
    <row r="630" spans="1:1" x14ac:dyDescent="0.3">
      <c r="A630" t="s">
        <v>627</v>
      </c>
    </row>
    <row r="631" spans="1:1" x14ac:dyDescent="0.3">
      <c r="A631" t="s">
        <v>628</v>
      </c>
    </row>
    <row r="632" spans="1:1" x14ac:dyDescent="0.3">
      <c r="A632" t="s">
        <v>629</v>
      </c>
    </row>
    <row r="633" spans="1:1" x14ac:dyDescent="0.3">
      <c r="A633" t="s">
        <v>630</v>
      </c>
    </row>
    <row r="634" spans="1:1" x14ac:dyDescent="0.3">
      <c r="A634" t="s">
        <v>631</v>
      </c>
    </row>
    <row r="635" spans="1:1" x14ac:dyDescent="0.3">
      <c r="A635" t="s">
        <v>632</v>
      </c>
    </row>
    <row r="636" spans="1:1" x14ac:dyDescent="0.3">
      <c r="A636" t="s">
        <v>633</v>
      </c>
    </row>
    <row r="637" spans="1:1" x14ac:dyDescent="0.3">
      <c r="A637" t="s">
        <v>634</v>
      </c>
    </row>
    <row r="638" spans="1:1" x14ac:dyDescent="0.3">
      <c r="A638" t="s">
        <v>635</v>
      </c>
    </row>
    <row r="639" spans="1:1" x14ac:dyDescent="0.3">
      <c r="A639" t="s">
        <v>636</v>
      </c>
    </row>
    <row r="640" spans="1:1" x14ac:dyDescent="0.3">
      <c r="A640" t="s">
        <v>637</v>
      </c>
    </row>
    <row r="641" spans="1:1" x14ac:dyDescent="0.3">
      <c r="A641" t="s">
        <v>638</v>
      </c>
    </row>
    <row r="642" spans="1:1" x14ac:dyDescent="0.3">
      <c r="A642" t="s">
        <v>639</v>
      </c>
    </row>
    <row r="643" spans="1:1" x14ac:dyDescent="0.3">
      <c r="A643" t="s">
        <v>640</v>
      </c>
    </row>
    <row r="644" spans="1:1" x14ac:dyDescent="0.3">
      <c r="A644" t="s">
        <v>641</v>
      </c>
    </row>
    <row r="645" spans="1:1" x14ac:dyDescent="0.3">
      <c r="A645" t="s">
        <v>642</v>
      </c>
    </row>
    <row r="646" spans="1:1" x14ac:dyDescent="0.3">
      <c r="A646" t="s">
        <v>643</v>
      </c>
    </row>
    <row r="647" spans="1:1" x14ac:dyDescent="0.3">
      <c r="A647" t="s">
        <v>644</v>
      </c>
    </row>
    <row r="648" spans="1:1" x14ac:dyDescent="0.3">
      <c r="A648" t="s">
        <v>645</v>
      </c>
    </row>
    <row r="649" spans="1:1" x14ac:dyDescent="0.3">
      <c r="A649" t="s">
        <v>646</v>
      </c>
    </row>
    <row r="650" spans="1:1" x14ac:dyDescent="0.3">
      <c r="A650" t="s">
        <v>647</v>
      </c>
    </row>
    <row r="651" spans="1:1" x14ac:dyDescent="0.3">
      <c r="A651" t="s">
        <v>648</v>
      </c>
    </row>
    <row r="652" spans="1:1" x14ac:dyDescent="0.3">
      <c r="A652" t="s">
        <v>649</v>
      </c>
    </row>
    <row r="653" spans="1:1" x14ac:dyDescent="0.3">
      <c r="A653" t="s">
        <v>650</v>
      </c>
    </row>
    <row r="654" spans="1:1" x14ac:dyDescent="0.3">
      <c r="A654" t="s">
        <v>651</v>
      </c>
    </row>
    <row r="655" spans="1:1" x14ac:dyDescent="0.3">
      <c r="A655" t="s">
        <v>652</v>
      </c>
    </row>
    <row r="656" spans="1:1" x14ac:dyDescent="0.3">
      <c r="A656" t="s">
        <v>653</v>
      </c>
    </row>
    <row r="657" spans="1:1" x14ac:dyDescent="0.3">
      <c r="A657" t="s">
        <v>654</v>
      </c>
    </row>
    <row r="658" spans="1:1" x14ac:dyDescent="0.3">
      <c r="A658" t="s">
        <v>655</v>
      </c>
    </row>
    <row r="659" spans="1:1" x14ac:dyDescent="0.3">
      <c r="A659" t="s">
        <v>656</v>
      </c>
    </row>
    <row r="660" spans="1:1" x14ac:dyDescent="0.3">
      <c r="A660" t="s">
        <v>657</v>
      </c>
    </row>
    <row r="661" spans="1:1" x14ac:dyDescent="0.3">
      <c r="A661" t="s">
        <v>658</v>
      </c>
    </row>
    <row r="662" spans="1:1" x14ac:dyDescent="0.3">
      <c r="A662" t="s">
        <v>659</v>
      </c>
    </row>
    <row r="663" spans="1:1" x14ac:dyDescent="0.3">
      <c r="A663" t="s">
        <v>660</v>
      </c>
    </row>
    <row r="664" spans="1:1" x14ac:dyDescent="0.3">
      <c r="A664" t="s">
        <v>661</v>
      </c>
    </row>
    <row r="665" spans="1:1" x14ac:dyDescent="0.3">
      <c r="A665" t="s">
        <v>662</v>
      </c>
    </row>
    <row r="666" spans="1:1" x14ac:dyDescent="0.3">
      <c r="A666" t="s">
        <v>663</v>
      </c>
    </row>
    <row r="667" spans="1:1" x14ac:dyDescent="0.3">
      <c r="A667" t="s">
        <v>664</v>
      </c>
    </row>
    <row r="668" spans="1:1" x14ac:dyDescent="0.3">
      <c r="A668" t="s">
        <v>665</v>
      </c>
    </row>
    <row r="669" spans="1:1" x14ac:dyDescent="0.3">
      <c r="A669" t="s">
        <v>666</v>
      </c>
    </row>
    <row r="670" spans="1:1" x14ac:dyDescent="0.3">
      <c r="A670" t="s">
        <v>667</v>
      </c>
    </row>
    <row r="671" spans="1:1" x14ac:dyDescent="0.3">
      <c r="A671" t="s">
        <v>668</v>
      </c>
    </row>
    <row r="672" spans="1:1" x14ac:dyDescent="0.3">
      <c r="A672" t="s">
        <v>669</v>
      </c>
    </row>
    <row r="673" spans="1:1" x14ac:dyDescent="0.3">
      <c r="A673" t="s">
        <v>670</v>
      </c>
    </row>
    <row r="674" spans="1:1" x14ac:dyDescent="0.3">
      <c r="A674" t="s">
        <v>671</v>
      </c>
    </row>
    <row r="675" spans="1:1" x14ac:dyDescent="0.3">
      <c r="A675" t="s">
        <v>672</v>
      </c>
    </row>
    <row r="676" spans="1:1" x14ac:dyDescent="0.3">
      <c r="A676" t="s">
        <v>673</v>
      </c>
    </row>
    <row r="677" spans="1:1" x14ac:dyDescent="0.3">
      <c r="A677" t="s">
        <v>674</v>
      </c>
    </row>
    <row r="678" spans="1:1" x14ac:dyDescent="0.3">
      <c r="A678" t="s">
        <v>675</v>
      </c>
    </row>
    <row r="679" spans="1:1" x14ac:dyDescent="0.3">
      <c r="A679" t="s">
        <v>676</v>
      </c>
    </row>
    <row r="680" spans="1:1" x14ac:dyDescent="0.3">
      <c r="A680" t="s">
        <v>677</v>
      </c>
    </row>
    <row r="681" spans="1:1" x14ac:dyDescent="0.3">
      <c r="A681" t="s">
        <v>678</v>
      </c>
    </row>
    <row r="682" spans="1:1" x14ac:dyDescent="0.3">
      <c r="A682" t="s">
        <v>679</v>
      </c>
    </row>
    <row r="683" spans="1:1" x14ac:dyDescent="0.3">
      <c r="A683" t="s">
        <v>680</v>
      </c>
    </row>
    <row r="684" spans="1:1" x14ac:dyDescent="0.3">
      <c r="A684" t="s">
        <v>681</v>
      </c>
    </row>
    <row r="685" spans="1:1" x14ac:dyDescent="0.3">
      <c r="A685" t="s">
        <v>682</v>
      </c>
    </row>
    <row r="686" spans="1:1" x14ac:dyDescent="0.3">
      <c r="A686" t="s">
        <v>683</v>
      </c>
    </row>
    <row r="687" spans="1:1" x14ac:dyDescent="0.3">
      <c r="A687" t="s">
        <v>684</v>
      </c>
    </row>
    <row r="688" spans="1:1" x14ac:dyDescent="0.3">
      <c r="A688" t="s">
        <v>685</v>
      </c>
    </row>
    <row r="689" spans="1:1" x14ac:dyDescent="0.3">
      <c r="A689" t="s">
        <v>686</v>
      </c>
    </row>
    <row r="690" spans="1:1" x14ac:dyDescent="0.3">
      <c r="A690" t="s">
        <v>687</v>
      </c>
    </row>
    <row r="691" spans="1:1" x14ac:dyDescent="0.3">
      <c r="A691" t="s">
        <v>688</v>
      </c>
    </row>
    <row r="692" spans="1:1" x14ac:dyDescent="0.3">
      <c r="A692" t="s">
        <v>689</v>
      </c>
    </row>
    <row r="693" spans="1:1" x14ac:dyDescent="0.3">
      <c r="A693" t="s">
        <v>690</v>
      </c>
    </row>
    <row r="694" spans="1:1" x14ac:dyDescent="0.3">
      <c r="A694" t="s">
        <v>691</v>
      </c>
    </row>
    <row r="695" spans="1:1" x14ac:dyDescent="0.3">
      <c r="A695" t="s">
        <v>692</v>
      </c>
    </row>
    <row r="696" spans="1:1" x14ac:dyDescent="0.3">
      <c r="A696" t="s">
        <v>693</v>
      </c>
    </row>
    <row r="697" spans="1:1" x14ac:dyDescent="0.3">
      <c r="A697" t="s">
        <v>694</v>
      </c>
    </row>
    <row r="698" spans="1:1" x14ac:dyDescent="0.3">
      <c r="A698" t="s">
        <v>695</v>
      </c>
    </row>
    <row r="699" spans="1:1" x14ac:dyDescent="0.3">
      <c r="A699" t="s">
        <v>696</v>
      </c>
    </row>
    <row r="700" spans="1:1" x14ac:dyDescent="0.3">
      <c r="A700" t="s">
        <v>697</v>
      </c>
    </row>
    <row r="701" spans="1:1" x14ac:dyDescent="0.3">
      <c r="A701" t="s">
        <v>698</v>
      </c>
    </row>
    <row r="702" spans="1:1" x14ac:dyDescent="0.3">
      <c r="A702" t="s">
        <v>699</v>
      </c>
    </row>
    <row r="703" spans="1:1" x14ac:dyDescent="0.3">
      <c r="A703" t="s">
        <v>700</v>
      </c>
    </row>
    <row r="704" spans="1:1" x14ac:dyDescent="0.3">
      <c r="A704" t="s">
        <v>701</v>
      </c>
    </row>
    <row r="705" spans="1:1" x14ac:dyDescent="0.3">
      <c r="A705" t="s">
        <v>702</v>
      </c>
    </row>
    <row r="706" spans="1:1" x14ac:dyDescent="0.3">
      <c r="A706" t="s">
        <v>703</v>
      </c>
    </row>
    <row r="707" spans="1:1" x14ac:dyDescent="0.3">
      <c r="A707" t="s">
        <v>704</v>
      </c>
    </row>
    <row r="708" spans="1:1" x14ac:dyDescent="0.3">
      <c r="A708" t="s">
        <v>705</v>
      </c>
    </row>
    <row r="709" spans="1:1" x14ac:dyDescent="0.3">
      <c r="A709" t="s">
        <v>706</v>
      </c>
    </row>
    <row r="710" spans="1:1" x14ac:dyDescent="0.3">
      <c r="A710" t="s">
        <v>707</v>
      </c>
    </row>
    <row r="711" spans="1:1" x14ac:dyDescent="0.3">
      <c r="A711" t="s">
        <v>708</v>
      </c>
    </row>
    <row r="712" spans="1:1" x14ac:dyDescent="0.3">
      <c r="A712" t="s">
        <v>709</v>
      </c>
    </row>
    <row r="713" spans="1:1" x14ac:dyDescent="0.3">
      <c r="A713" t="s">
        <v>710</v>
      </c>
    </row>
    <row r="714" spans="1:1" x14ac:dyDescent="0.3">
      <c r="A714" t="s">
        <v>711</v>
      </c>
    </row>
    <row r="715" spans="1:1" x14ac:dyDescent="0.3">
      <c r="A715" t="s">
        <v>712</v>
      </c>
    </row>
    <row r="716" spans="1:1" x14ac:dyDescent="0.3">
      <c r="A716" t="s">
        <v>713</v>
      </c>
    </row>
    <row r="717" spans="1:1" x14ac:dyDescent="0.3">
      <c r="A717" t="s">
        <v>714</v>
      </c>
    </row>
    <row r="718" spans="1:1" x14ac:dyDescent="0.3">
      <c r="A718" t="s">
        <v>715</v>
      </c>
    </row>
    <row r="719" spans="1:1" x14ac:dyDescent="0.3">
      <c r="A719" t="s">
        <v>716</v>
      </c>
    </row>
    <row r="720" spans="1:1" x14ac:dyDescent="0.3">
      <c r="A720" t="s">
        <v>717</v>
      </c>
    </row>
    <row r="721" spans="1:1" x14ac:dyDescent="0.3">
      <c r="A721" t="s">
        <v>718</v>
      </c>
    </row>
    <row r="722" spans="1:1" x14ac:dyDescent="0.3">
      <c r="A722" t="s">
        <v>717</v>
      </c>
    </row>
    <row r="723" spans="1:1" x14ac:dyDescent="0.3">
      <c r="A723" t="s">
        <v>719</v>
      </c>
    </row>
    <row r="724" spans="1:1" x14ac:dyDescent="0.3">
      <c r="A724" t="s">
        <v>720</v>
      </c>
    </row>
    <row r="725" spans="1:1" x14ac:dyDescent="0.3">
      <c r="A725" t="s">
        <v>721</v>
      </c>
    </row>
    <row r="726" spans="1:1" x14ac:dyDescent="0.3">
      <c r="A726" t="s">
        <v>722</v>
      </c>
    </row>
    <row r="727" spans="1:1" x14ac:dyDescent="0.3">
      <c r="A727" t="s">
        <v>723</v>
      </c>
    </row>
    <row r="728" spans="1:1" x14ac:dyDescent="0.3">
      <c r="A728" t="s">
        <v>724</v>
      </c>
    </row>
    <row r="729" spans="1:1" x14ac:dyDescent="0.3">
      <c r="A729" t="s">
        <v>725</v>
      </c>
    </row>
    <row r="730" spans="1:1" x14ac:dyDescent="0.3">
      <c r="A730" t="s">
        <v>726</v>
      </c>
    </row>
    <row r="731" spans="1:1" x14ac:dyDescent="0.3">
      <c r="A731" t="s">
        <v>727</v>
      </c>
    </row>
    <row r="732" spans="1:1" x14ac:dyDescent="0.3">
      <c r="A732" t="s">
        <v>728</v>
      </c>
    </row>
    <row r="733" spans="1:1" x14ac:dyDescent="0.3">
      <c r="A733" t="s">
        <v>729</v>
      </c>
    </row>
    <row r="734" spans="1:1" x14ac:dyDescent="0.3">
      <c r="A734" t="s">
        <v>730</v>
      </c>
    </row>
    <row r="735" spans="1:1" x14ac:dyDescent="0.3">
      <c r="A735" t="s">
        <v>731</v>
      </c>
    </row>
    <row r="736" spans="1:1" x14ac:dyDescent="0.3">
      <c r="A736" t="s">
        <v>732</v>
      </c>
    </row>
    <row r="737" spans="1:1" x14ac:dyDescent="0.3">
      <c r="A737" t="s">
        <v>733</v>
      </c>
    </row>
    <row r="738" spans="1:1" x14ac:dyDescent="0.3">
      <c r="A738" t="s">
        <v>734</v>
      </c>
    </row>
    <row r="739" spans="1:1" x14ac:dyDescent="0.3">
      <c r="A739" t="s">
        <v>735</v>
      </c>
    </row>
    <row r="740" spans="1:1" x14ac:dyDescent="0.3">
      <c r="A740" t="s">
        <v>736</v>
      </c>
    </row>
    <row r="741" spans="1:1" x14ac:dyDescent="0.3">
      <c r="A741" t="s">
        <v>737</v>
      </c>
    </row>
    <row r="742" spans="1:1" x14ac:dyDescent="0.3">
      <c r="A742" t="s">
        <v>738</v>
      </c>
    </row>
    <row r="743" spans="1:1" x14ac:dyDescent="0.3">
      <c r="A743" t="s">
        <v>739</v>
      </c>
    </row>
    <row r="744" spans="1:1" x14ac:dyDescent="0.3">
      <c r="A744" t="s">
        <v>740</v>
      </c>
    </row>
    <row r="745" spans="1:1" x14ac:dyDescent="0.3">
      <c r="A745" t="s">
        <v>741</v>
      </c>
    </row>
    <row r="746" spans="1:1" x14ac:dyDescent="0.3">
      <c r="A746" t="s">
        <v>742</v>
      </c>
    </row>
    <row r="747" spans="1:1" x14ac:dyDescent="0.3">
      <c r="A747" t="s">
        <v>743</v>
      </c>
    </row>
    <row r="748" spans="1:1" x14ac:dyDescent="0.3">
      <c r="A748" t="s">
        <v>744</v>
      </c>
    </row>
    <row r="749" spans="1:1" x14ac:dyDescent="0.3">
      <c r="A749" t="s">
        <v>745</v>
      </c>
    </row>
    <row r="750" spans="1:1" x14ac:dyDescent="0.3">
      <c r="A750" t="s">
        <v>746</v>
      </c>
    </row>
    <row r="751" spans="1:1" x14ac:dyDescent="0.3">
      <c r="A751" t="s">
        <v>747</v>
      </c>
    </row>
    <row r="752" spans="1:1" x14ac:dyDescent="0.3">
      <c r="A752" t="s">
        <v>748</v>
      </c>
    </row>
    <row r="753" spans="1:1" x14ac:dyDescent="0.3">
      <c r="A753" t="s">
        <v>749</v>
      </c>
    </row>
    <row r="754" spans="1:1" x14ac:dyDescent="0.3">
      <c r="A754" t="s">
        <v>750</v>
      </c>
    </row>
    <row r="755" spans="1:1" x14ac:dyDescent="0.3">
      <c r="A755" t="s">
        <v>751</v>
      </c>
    </row>
    <row r="756" spans="1:1" x14ac:dyDescent="0.3">
      <c r="A756" t="s">
        <v>752</v>
      </c>
    </row>
    <row r="757" spans="1:1" x14ac:dyDescent="0.3">
      <c r="A757" t="s">
        <v>753</v>
      </c>
    </row>
    <row r="758" spans="1:1" x14ac:dyDescent="0.3">
      <c r="A758" t="s">
        <v>754</v>
      </c>
    </row>
    <row r="759" spans="1:1" x14ac:dyDescent="0.3">
      <c r="A759" t="s">
        <v>755</v>
      </c>
    </row>
    <row r="760" spans="1:1" x14ac:dyDescent="0.3">
      <c r="A760" t="s">
        <v>756</v>
      </c>
    </row>
    <row r="761" spans="1:1" x14ac:dyDescent="0.3">
      <c r="A761" t="s">
        <v>757</v>
      </c>
    </row>
    <row r="762" spans="1:1" x14ac:dyDescent="0.3">
      <c r="A762" t="s">
        <v>758</v>
      </c>
    </row>
    <row r="763" spans="1:1" x14ac:dyDescent="0.3">
      <c r="A763" t="s">
        <v>759</v>
      </c>
    </row>
    <row r="764" spans="1:1" x14ac:dyDescent="0.3">
      <c r="A764" t="s">
        <v>760</v>
      </c>
    </row>
    <row r="765" spans="1:1" x14ac:dyDescent="0.3">
      <c r="A765" t="s">
        <v>761</v>
      </c>
    </row>
    <row r="766" spans="1:1" x14ac:dyDescent="0.3">
      <c r="A766" t="s">
        <v>762</v>
      </c>
    </row>
    <row r="767" spans="1:1" x14ac:dyDescent="0.3">
      <c r="A767" t="s">
        <v>763</v>
      </c>
    </row>
    <row r="768" spans="1:1" x14ac:dyDescent="0.3">
      <c r="A768" t="s">
        <v>764</v>
      </c>
    </row>
    <row r="769" spans="1:1" x14ac:dyDescent="0.3">
      <c r="A769" t="s">
        <v>765</v>
      </c>
    </row>
    <row r="770" spans="1:1" x14ac:dyDescent="0.3">
      <c r="A770" t="s">
        <v>766</v>
      </c>
    </row>
    <row r="771" spans="1:1" x14ac:dyDescent="0.3">
      <c r="A771" t="s">
        <v>767</v>
      </c>
    </row>
    <row r="772" spans="1:1" x14ac:dyDescent="0.3">
      <c r="A772" t="s">
        <v>768</v>
      </c>
    </row>
    <row r="773" spans="1:1" x14ac:dyDescent="0.3">
      <c r="A773" t="s">
        <v>769</v>
      </c>
    </row>
    <row r="774" spans="1:1" x14ac:dyDescent="0.3">
      <c r="A774" t="s">
        <v>770</v>
      </c>
    </row>
    <row r="775" spans="1:1" x14ac:dyDescent="0.3">
      <c r="A775" t="s">
        <v>771</v>
      </c>
    </row>
    <row r="776" spans="1:1" x14ac:dyDescent="0.3">
      <c r="A776" t="s">
        <v>772</v>
      </c>
    </row>
    <row r="777" spans="1:1" x14ac:dyDescent="0.3">
      <c r="A777" t="s">
        <v>773</v>
      </c>
    </row>
    <row r="778" spans="1:1" x14ac:dyDescent="0.3">
      <c r="A778" t="s">
        <v>774</v>
      </c>
    </row>
    <row r="779" spans="1:1" x14ac:dyDescent="0.3">
      <c r="A779" t="s">
        <v>775</v>
      </c>
    </row>
    <row r="780" spans="1:1" x14ac:dyDescent="0.3">
      <c r="A780" t="s">
        <v>776</v>
      </c>
    </row>
    <row r="781" spans="1:1" x14ac:dyDescent="0.3">
      <c r="A781" t="s">
        <v>777</v>
      </c>
    </row>
    <row r="782" spans="1:1" x14ac:dyDescent="0.3">
      <c r="A782" t="s">
        <v>778</v>
      </c>
    </row>
    <row r="783" spans="1:1" x14ac:dyDescent="0.3">
      <c r="A783" t="s">
        <v>779</v>
      </c>
    </row>
    <row r="784" spans="1:1" x14ac:dyDescent="0.3">
      <c r="A784" t="s">
        <v>780</v>
      </c>
    </row>
    <row r="785" spans="1:1" x14ac:dyDescent="0.3">
      <c r="A785" t="s">
        <v>781</v>
      </c>
    </row>
    <row r="786" spans="1:1" x14ac:dyDescent="0.3">
      <c r="A786" t="s">
        <v>782</v>
      </c>
    </row>
    <row r="787" spans="1:1" x14ac:dyDescent="0.3">
      <c r="A787" t="s">
        <v>783</v>
      </c>
    </row>
    <row r="788" spans="1:1" x14ac:dyDescent="0.3">
      <c r="A788" t="s">
        <v>784</v>
      </c>
    </row>
    <row r="789" spans="1:1" x14ac:dyDescent="0.3">
      <c r="A789" t="s">
        <v>785</v>
      </c>
    </row>
    <row r="790" spans="1:1" x14ac:dyDescent="0.3">
      <c r="A790" t="s">
        <v>786</v>
      </c>
    </row>
    <row r="791" spans="1:1" x14ac:dyDescent="0.3">
      <c r="A791" t="s">
        <v>787</v>
      </c>
    </row>
    <row r="792" spans="1:1" x14ac:dyDescent="0.3">
      <c r="A792" t="s">
        <v>788</v>
      </c>
    </row>
    <row r="793" spans="1:1" x14ac:dyDescent="0.3">
      <c r="A793" t="s">
        <v>789</v>
      </c>
    </row>
    <row r="794" spans="1:1" x14ac:dyDescent="0.3">
      <c r="A794" t="s">
        <v>790</v>
      </c>
    </row>
    <row r="795" spans="1:1" x14ac:dyDescent="0.3">
      <c r="A795" t="s">
        <v>791</v>
      </c>
    </row>
    <row r="796" spans="1:1" x14ac:dyDescent="0.3">
      <c r="A796" t="s">
        <v>792</v>
      </c>
    </row>
    <row r="797" spans="1:1" x14ac:dyDescent="0.3">
      <c r="A797" t="s">
        <v>793</v>
      </c>
    </row>
    <row r="798" spans="1:1" x14ac:dyDescent="0.3">
      <c r="A798" t="s">
        <v>794</v>
      </c>
    </row>
    <row r="799" spans="1:1" x14ac:dyDescent="0.3">
      <c r="A799" t="s">
        <v>795</v>
      </c>
    </row>
    <row r="800" spans="1:1" x14ac:dyDescent="0.3">
      <c r="A800" t="s">
        <v>796</v>
      </c>
    </row>
    <row r="801" spans="1:1" x14ac:dyDescent="0.3">
      <c r="A801" t="s">
        <v>797</v>
      </c>
    </row>
    <row r="802" spans="1:1" x14ac:dyDescent="0.3">
      <c r="A802" t="s">
        <v>798</v>
      </c>
    </row>
    <row r="803" spans="1:1" x14ac:dyDescent="0.3">
      <c r="A803" t="s">
        <v>799</v>
      </c>
    </row>
    <row r="804" spans="1:1" x14ac:dyDescent="0.3">
      <c r="A804" t="s">
        <v>800</v>
      </c>
    </row>
    <row r="805" spans="1:1" x14ac:dyDescent="0.3">
      <c r="A805" t="s">
        <v>801</v>
      </c>
    </row>
    <row r="806" spans="1:1" x14ac:dyDescent="0.3">
      <c r="A806" t="s">
        <v>802</v>
      </c>
    </row>
    <row r="807" spans="1:1" x14ac:dyDescent="0.3">
      <c r="A807" t="s">
        <v>803</v>
      </c>
    </row>
    <row r="808" spans="1:1" x14ac:dyDescent="0.3">
      <c r="A808" t="s">
        <v>804</v>
      </c>
    </row>
    <row r="809" spans="1:1" x14ac:dyDescent="0.3">
      <c r="A809" t="s">
        <v>805</v>
      </c>
    </row>
    <row r="810" spans="1:1" x14ac:dyDescent="0.3">
      <c r="A810" t="s">
        <v>806</v>
      </c>
    </row>
    <row r="811" spans="1:1" x14ac:dyDescent="0.3">
      <c r="A811" t="s">
        <v>807</v>
      </c>
    </row>
    <row r="812" spans="1:1" x14ac:dyDescent="0.3">
      <c r="A812" t="s">
        <v>808</v>
      </c>
    </row>
    <row r="813" spans="1:1" x14ac:dyDescent="0.3">
      <c r="A813" t="s">
        <v>809</v>
      </c>
    </row>
    <row r="814" spans="1:1" x14ac:dyDescent="0.3">
      <c r="A814" t="s">
        <v>810</v>
      </c>
    </row>
    <row r="815" spans="1:1" x14ac:dyDescent="0.3">
      <c r="A815" t="s">
        <v>811</v>
      </c>
    </row>
    <row r="816" spans="1:1" x14ac:dyDescent="0.3">
      <c r="A816" t="s">
        <v>812</v>
      </c>
    </row>
    <row r="817" spans="1:1" x14ac:dyDescent="0.3">
      <c r="A817" t="s">
        <v>813</v>
      </c>
    </row>
    <row r="818" spans="1:1" x14ac:dyDescent="0.3">
      <c r="A818" t="s">
        <v>814</v>
      </c>
    </row>
    <row r="819" spans="1:1" x14ac:dyDescent="0.3">
      <c r="A819" t="s">
        <v>815</v>
      </c>
    </row>
    <row r="820" spans="1:1" x14ac:dyDescent="0.3">
      <c r="A820" t="s">
        <v>816</v>
      </c>
    </row>
    <row r="821" spans="1:1" x14ac:dyDescent="0.3">
      <c r="A821" t="s">
        <v>817</v>
      </c>
    </row>
    <row r="822" spans="1:1" x14ac:dyDescent="0.3">
      <c r="A822" t="s">
        <v>818</v>
      </c>
    </row>
    <row r="823" spans="1:1" x14ac:dyDescent="0.3">
      <c r="A823" t="s">
        <v>819</v>
      </c>
    </row>
    <row r="824" spans="1:1" x14ac:dyDescent="0.3">
      <c r="A824" t="s">
        <v>820</v>
      </c>
    </row>
    <row r="825" spans="1:1" x14ac:dyDescent="0.3">
      <c r="A825" t="s">
        <v>821</v>
      </c>
    </row>
    <row r="826" spans="1:1" x14ac:dyDescent="0.3">
      <c r="A826" t="s">
        <v>822</v>
      </c>
    </row>
    <row r="827" spans="1:1" x14ac:dyDescent="0.3">
      <c r="A827" t="s">
        <v>823</v>
      </c>
    </row>
    <row r="828" spans="1:1" x14ac:dyDescent="0.3">
      <c r="A828" t="s">
        <v>824</v>
      </c>
    </row>
    <row r="829" spans="1:1" x14ac:dyDescent="0.3">
      <c r="A829" t="s">
        <v>825</v>
      </c>
    </row>
    <row r="830" spans="1:1" x14ac:dyDescent="0.3">
      <c r="A830" t="s">
        <v>826</v>
      </c>
    </row>
    <row r="831" spans="1:1" x14ac:dyDescent="0.3">
      <c r="A831" t="s">
        <v>827</v>
      </c>
    </row>
    <row r="832" spans="1:1" x14ac:dyDescent="0.3">
      <c r="A832" t="s">
        <v>828</v>
      </c>
    </row>
    <row r="833" spans="1:1" x14ac:dyDescent="0.3">
      <c r="A833" t="s">
        <v>829</v>
      </c>
    </row>
    <row r="834" spans="1:1" x14ac:dyDescent="0.3">
      <c r="A834" t="s">
        <v>830</v>
      </c>
    </row>
    <row r="835" spans="1:1" x14ac:dyDescent="0.3">
      <c r="A835" t="s">
        <v>831</v>
      </c>
    </row>
    <row r="836" spans="1:1" x14ac:dyDescent="0.3">
      <c r="A836" t="s">
        <v>832</v>
      </c>
    </row>
    <row r="837" spans="1:1" x14ac:dyDescent="0.3">
      <c r="A837" t="s">
        <v>833</v>
      </c>
    </row>
    <row r="838" spans="1:1" x14ac:dyDescent="0.3">
      <c r="A838" t="s">
        <v>834</v>
      </c>
    </row>
    <row r="839" spans="1:1" x14ac:dyDescent="0.3">
      <c r="A839" t="s">
        <v>835</v>
      </c>
    </row>
    <row r="840" spans="1:1" x14ac:dyDescent="0.3">
      <c r="A840" t="s">
        <v>836</v>
      </c>
    </row>
    <row r="841" spans="1:1" x14ac:dyDescent="0.3">
      <c r="A841" t="s">
        <v>837</v>
      </c>
    </row>
    <row r="842" spans="1:1" x14ac:dyDescent="0.3">
      <c r="A842" t="s">
        <v>838</v>
      </c>
    </row>
    <row r="843" spans="1:1" x14ac:dyDescent="0.3">
      <c r="A843" t="s">
        <v>839</v>
      </c>
    </row>
    <row r="844" spans="1:1" x14ac:dyDescent="0.3">
      <c r="A844" t="s">
        <v>840</v>
      </c>
    </row>
    <row r="845" spans="1:1" x14ac:dyDescent="0.3">
      <c r="A845" t="s">
        <v>841</v>
      </c>
    </row>
    <row r="846" spans="1:1" x14ac:dyDescent="0.3">
      <c r="A846" t="s">
        <v>842</v>
      </c>
    </row>
    <row r="847" spans="1:1" x14ac:dyDescent="0.3">
      <c r="A847" t="s">
        <v>843</v>
      </c>
    </row>
    <row r="848" spans="1:1" x14ac:dyDescent="0.3">
      <c r="A848" t="s">
        <v>844</v>
      </c>
    </row>
    <row r="849" spans="1:1" x14ac:dyDescent="0.3">
      <c r="A849" t="s">
        <v>845</v>
      </c>
    </row>
    <row r="850" spans="1:1" x14ac:dyDescent="0.3">
      <c r="A850" t="s">
        <v>846</v>
      </c>
    </row>
    <row r="851" spans="1:1" x14ac:dyDescent="0.3">
      <c r="A851" t="s">
        <v>847</v>
      </c>
    </row>
    <row r="852" spans="1:1" x14ac:dyDescent="0.3">
      <c r="A852" t="s">
        <v>848</v>
      </c>
    </row>
    <row r="853" spans="1:1" x14ac:dyDescent="0.3">
      <c r="A853" t="s">
        <v>849</v>
      </c>
    </row>
    <row r="854" spans="1:1" x14ac:dyDescent="0.3">
      <c r="A854" t="s">
        <v>850</v>
      </c>
    </row>
    <row r="855" spans="1:1" x14ac:dyDescent="0.3">
      <c r="A855" t="s">
        <v>851</v>
      </c>
    </row>
    <row r="856" spans="1:1" x14ac:dyDescent="0.3">
      <c r="A856" t="s">
        <v>852</v>
      </c>
    </row>
    <row r="857" spans="1:1" x14ac:dyDescent="0.3">
      <c r="A857" t="s">
        <v>853</v>
      </c>
    </row>
    <row r="858" spans="1:1" x14ac:dyDescent="0.3">
      <c r="A858" t="s">
        <v>854</v>
      </c>
    </row>
    <row r="859" spans="1:1" x14ac:dyDescent="0.3">
      <c r="A859" t="s">
        <v>855</v>
      </c>
    </row>
    <row r="860" spans="1:1" x14ac:dyDescent="0.3">
      <c r="A860" t="s">
        <v>856</v>
      </c>
    </row>
    <row r="861" spans="1:1" x14ac:dyDescent="0.3">
      <c r="A861" t="s">
        <v>857</v>
      </c>
    </row>
    <row r="862" spans="1:1" x14ac:dyDescent="0.3">
      <c r="A862" t="s">
        <v>858</v>
      </c>
    </row>
    <row r="863" spans="1:1" x14ac:dyDescent="0.3">
      <c r="A863" t="s">
        <v>859</v>
      </c>
    </row>
    <row r="864" spans="1:1" x14ac:dyDescent="0.3">
      <c r="A864" t="s">
        <v>860</v>
      </c>
    </row>
    <row r="865" spans="1:1" x14ac:dyDescent="0.3">
      <c r="A865" t="s">
        <v>861</v>
      </c>
    </row>
    <row r="866" spans="1:1" x14ac:dyDescent="0.3">
      <c r="A866" t="s">
        <v>862</v>
      </c>
    </row>
    <row r="867" spans="1:1" x14ac:dyDescent="0.3">
      <c r="A867" t="s">
        <v>863</v>
      </c>
    </row>
    <row r="868" spans="1:1" x14ac:dyDescent="0.3">
      <c r="A868" t="s">
        <v>864</v>
      </c>
    </row>
    <row r="869" spans="1:1" x14ac:dyDescent="0.3">
      <c r="A869" t="s">
        <v>865</v>
      </c>
    </row>
    <row r="870" spans="1:1" x14ac:dyDescent="0.3">
      <c r="A870" t="s">
        <v>866</v>
      </c>
    </row>
    <row r="871" spans="1:1" x14ac:dyDescent="0.3">
      <c r="A871" t="s">
        <v>867</v>
      </c>
    </row>
    <row r="872" spans="1:1" x14ac:dyDescent="0.3">
      <c r="A872" t="s">
        <v>868</v>
      </c>
    </row>
    <row r="873" spans="1:1" x14ac:dyDescent="0.3">
      <c r="A873" t="s">
        <v>869</v>
      </c>
    </row>
    <row r="874" spans="1:1" x14ac:dyDescent="0.3">
      <c r="A874" t="s">
        <v>870</v>
      </c>
    </row>
    <row r="875" spans="1:1" x14ac:dyDescent="0.3">
      <c r="A875" t="s">
        <v>871</v>
      </c>
    </row>
    <row r="876" spans="1:1" x14ac:dyDescent="0.3">
      <c r="A876" t="s">
        <v>872</v>
      </c>
    </row>
    <row r="877" spans="1:1" x14ac:dyDescent="0.3">
      <c r="A877" t="s">
        <v>873</v>
      </c>
    </row>
    <row r="878" spans="1:1" x14ac:dyDescent="0.3">
      <c r="A878" t="s">
        <v>874</v>
      </c>
    </row>
    <row r="879" spans="1:1" x14ac:dyDescent="0.3">
      <c r="A879" t="s">
        <v>875</v>
      </c>
    </row>
    <row r="880" spans="1:1" x14ac:dyDescent="0.3">
      <c r="A880" t="s">
        <v>876</v>
      </c>
    </row>
    <row r="881" spans="1:1" x14ac:dyDescent="0.3">
      <c r="A881" t="s">
        <v>877</v>
      </c>
    </row>
    <row r="882" spans="1:1" x14ac:dyDescent="0.3">
      <c r="A882" t="s">
        <v>878</v>
      </c>
    </row>
    <row r="883" spans="1:1" x14ac:dyDescent="0.3">
      <c r="A883" t="s">
        <v>879</v>
      </c>
    </row>
    <row r="884" spans="1:1" x14ac:dyDescent="0.3">
      <c r="A884" t="s">
        <v>880</v>
      </c>
    </row>
    <row r="885" spans="1:1" x14ac:dyDescent="0.3">
      <c r="A885" t="s">
        <v>881</v>
      </c>
    </row>
    <row r="886" spans="1:1" x14ac:dyDescent="0.3">
      <c r="A886" t="s">
        <v>882</v>
      </c>
    </row>
    <row r="887" spans="1:1" x14ac:dyDescent="0.3">
      <c r="A887" t="s">
        <v>883</v>
      </c>
    </row>
    <row r="888" spans="1:1" x14ac:dyDescent="0.3">
      <c r="A888" t="s">
        <v>884</v>
      </c>
    </row>
    <row r="889" spans="1:1" x14ac:dyDescent="0.3">
      <c r="A889" t="s">
        <v>885</v>
      </c>
    </row>
    <row r="890" spans="1:1" x14ac:dyDescent="0.3">
      <c r="A890" t="s">
        <v>886</v>
      </c>
    </row>
    <row r="891" spans="1:1" x14ac:dyDescent="0.3">
      <c r="A891" t="s">
        <v>887</v>
      </c>
    </row>
    <row r="892" spans="1:1" x14ac:dyDescent="0.3">
      <c r="A892" t="s">
        <v>888</v>
      </c>
    </row>
    <row r="893" spans="1:1" x14ac:dyDescent="0.3">
      <c r="A893" t="s">
        <v>889</v>
      </c>
    </row>
    <row r="894" spans="1:1" x14ac:dyDescent="0.3">
      <c r="A894" t="s">
        <v>890</v>
      </c>
    </row>
    <row r="895" spans="1:1" x14ac:dyDescent="0.3">
      <c r="A895" t="s">
        <v>891</v>
      </c>
    </row>
    <row r="896" spans="1:1" x14ac:dyDescent="0.3">
      <c r="A896" t="s">
        <v>892</v>
      </c>
    </row>
    <row r="897" spans="1:1" x14ac:dyDescent="0.3">
      <c r="A897" t="s">
        <v>893</v>
      </c>
    </row>
    <row r="898" spans="1:1" x14ac:dyDescent="0.3">
      <c r="A898" t="s">
        <v>894</v>
      </c>
    </row>
    <row r="899" spans="1:1" x14ac:dyDescent="0.3">
      <c r="A899" t="s">
        <v>895</v>
      </c>
    </row>
    <row r="900" spans="1:1" x14ac:dyDescent="0.3">
      <c r="A900" t="s">
        <v>896</v>
      </c>
    </row>
    <row r="901" spans="1:1" x14ac:dyDescent="0.3">
      <c r="A901" t="s">
        <v>897</v>
      </c>
    </row>
    <row r="902" spans="1:1" x14ac:dyDescent="0.3">
      <c r="A902" t="s">
        <v>898</v>
      </c>
    </row>
    <row r="903" spans="1:1" x14ac:dyDescent="0.3">
      <c r="A903" t="s">
        <v>899</v>
      </c>
    </row>
    <row r="904" spans="1:1" x14ac:dyDescent="0.3">
      <c r="A904" t="s">
        <v>900</v>
      </c>
    </row>
    <row r="905" spans="1:1" x14ac:dyDescent="0.3">
      <c r="A905" t="s">
        <v>901</v>
      </c>
    </row>
    <row r="906" spans="1:1" x14ac:dyDescent="0.3">
      <c r="A906" t="s">
        <v>902</v>
      </c>
    </row>
    <row r="907" spans="1:1" x14ac:dyDescent="0.3">
      <c r="A907" t="s">
        <v>903</v>
      </c>
    </row>
    <row r="908" spans="1:1" x14ac:dyDescent="0.3">
      <c r="A908" t="s">
        <v>904</v>
      </c>
    </row>
    <row r="909" spans="1:1" x14ac:dyDescent="0.3">
      <c r="A909" t="s">
        <v>905</v>
      </c>
    </row>
    <row r="910" spans="1:1" x14ac:dyDescent="0.3">
      <c r="A910" t="s">
        <v>906</v>
      </c>
    </row>
    <row r="911" spans="1:1" x14ac:dyDescent="0.3">
      <c r="A911" t="s">
        <v>907</v>
      </c>
    </row>
    <row r="912" spans="1:1" x14ac:dyDescent="0.3">
      <c r="A912" t="s">
        <v>908</v>
      </c>
    </row>
    <row r="913" spans="1:1" x14ac:dyDescent="0.3">
      <c r="A913" t="s">
        <v>909</v>
      </c>
    </row>
    <row r="914" spans="1:1" x14ac:dyDescent="0.3">
      <c r="A914" t="s">
        <v>910</v>
      </c>
    </row>
    <row r="915" spans="1:1" x14ac:dyDescent="0.3">
      <c r="A915" t="s">
        <v>911</v>
      </c>
    </row>
    <row r="916" spans="1:1" x14ac:dyDescent="0.3">
      <c r="A916" t="s">
        <v>912</v>
      </c>
    </row>
    <row r="917" spans="1:1" x14ac:dyDescent="0.3">
      <c r="A917" t="s">
        <v>913</v>
      </c>
    </row>
    <row r="918" spans="1:1" x14ac:dyDescent="0.3">
      <c r="A918" t="s">
        <v>914</v>
      </c>
    </row>
    <row r="919" spans="1:1" x14ac:dyDescent="0.3">
      <c r="A919" t="s">
        <v>915</v>
      </c>
    </row>
    <row r="920" spans="1:1" x14ac:dyDescent="0.3">
      <c r="A920" t="s">
        <v>916</v>
      </c>
    </row>
    <row r="921" spans="1:1" x14ac:dyDescent="0.3">
      <c r="A921" t="s">
        <v>917</v>
      </c>
    </row>
    <row r="922" spans="1:1" x14ac:dyDescent="0.3">
      <c r="A922" t="s">
        <v>918</v>
      </c>
    </row>
    <row r="923" spans="1:1" x14ac:dyDescent="0.3">
      <c r="A923" t="s">
        <v>919</v>
      </c>
    </row>
    <row r="924" spans="1:1" x14ac:dyDescent="0.3">
      <c r="A924" t="s">
        <v>920</v>
      </c>
    </row>
    <row r="925" spans="1:1" x14ac:dyDescent="0.3">
      <c r="A925" t="s">
        <v>921</v>
      </c>
    </row>
    <row r="926" spans="1:1" x14ac:dyDescent="0.3">
      <c r="A926" t="s">
        <v>922</v>
      </c>
    </row>
    <row r="927" spans="1:1" x14ac:dyDescent="0.3">
      <c r="A927" t="s">
        <v>923</v>
      </c>
    </row>
    <row r="928" spans="1:1" x14ac:dyDescent="0.3">
      <c r="A928" t="s">
        <v>924</v>
      </c>
    </row>
    <row r="929" spans="1:1" x14ac:dyDescent="0.3">
      <c r="A929" t="s">
        <v>925</v>
      </c>
    </row>
    <row r="930" spans="1:1" x14ac:dyDescent="0.3">
      <c r="A930" t="s">
        <v>926</v>
      </c>
    </row>
    <row r="931" spans="1:1" x14ac:dyDescent="0.3">
      <c r="A931" t="s">
        <v>927</v>
      </c>
    </row>
    <row r="932" spans="1:1" x14ac:dyDescent="0.3">
      <c r="A932" t="s">
        <v>928</v>
      </c>
    </row>
    <row r="933" spans="1:1" x14ac:dyDescent="0.3">
      <c r="A933" t="s">
        <v>929</v>
      </c>
    </row>
    <row r="934" spans="1:1" x14ac:dyDescent="0.3">
      <c r="A934" t="s">
        <v>930</v>
      </c>
    </row>
    <row r="935" spans="1:1" x14ac:dyDescent="0.3">
      <c r="A935" t="s">
        <v>931</v>
      </c>
    </row>
    <row r="936" spans="1:1" x14ac:dyDescent="0.3">
      <c r="A936" t="s">
        <v>932</v>
      </c>
    </row>
    <row r="937" spans="1:1" x14ac:dyDescent="0.3">
      <c r="A937" t="s">
        <v>933</v>
      </c>
    </row>
    <row r="938" spans="1:1" x14ac:dyDescent="0.3">
      <c r="A938" t="s">
        <v>934</v>
      </c>
    </row>
    <row r="939" spans="1:1" x14ac:dyDescent="0.3">
      <c r="A939" t="s">
        <v>935</v>
      </c>
    </row>
    <row r="940" spans="1:1" x14ac:dyDescent="0.3">
      <c r="A940" t="s">
        <v>936</v>
      </c>
    </row>
    <row r="941" spans="1:1" x14ac:dyDescent="0.3">
      <c r="A941" t="s">
        <v>937</v>
      </c>
    </row>
    <row r="942" spans="1:1" x14ac:dyDescent="0.3">
      <c r="A942" t="s">
        <v>938</v>
      </c>
    </row>
    <row r="943" spans="1:1" x14ac:dyDescent="0.3">
      <c r="A943" t="s">
        <v>939</v>
      </c>
    </row>
    <row r="944" spans="1:1" x14ac:dyDescent="0.3">
      <c r="A944" t="s">
        <v>940</v>
      </c>
    </row>
    <row r="945" spans="1:1" x14ac:dyDescent="0.3">
      <c r="A945" t="s">
        <v>941</v>
      </c>
    </row>
    <row r="946" spans="1:1" x14ac:dyDescent="0.3">
      <c r="A946" t="s">
        <v>942</v>
      </c>
    </row>
    <row r="947" spans="1:1" x14ac:dyDescent="0.3">
      <c r="A947" t="s">
        <v>943</v>
      </c>
    </row>
    <row r="948" spans="1:1" x14ac:dyDescent="0.3">
      <c r="A948" t="s">
        <v>944</v>
      </c>
    </row>
    <row r="949" spans="1:1" x14ac:dyDescent="0.3">
      <c r="A949" t="s">
        <v>945</v>
      </c>
    </row>
    <row r="950" spans="1:1" x14ac:dyDescent="0.3">
      <c r="A950" t="s">
        <v>946</v>
      </c>
    </row>
    <row r="951" spans="1:1" x14ac:dyDescent="0.3">
      <c r="A951" t="s">
        <v>947</v>
      </c>
    </row>
    <row r="952" spans="1:1" x14ac:dyDescent="0.3">
      <c r="A952" t="s">
        <v>948</v>
      </c>
    </row>
    <row r="953" spans="1:1" x14ac:dyDescent="0.3">
      <c r="A953" t="s">
        <v>949</v>
      </c>
    </row>
    <row r="954" spans="1:1" x14ac:dyDescent="0.3">
      <c r="A954" t="s">
        <v>950</v>
      </c>
    </row>
    <row r="955" spans="1:1" x14ac:dyDescent="0.3">
      <c r="A955" t="s">
        <v>951</v>
      </c>
    </row>
    <row r="956" spans="1:1" x14ac:dyDescent="0.3">
      <c r="A956" t="s">
        <v>952</v>
      </c>
    </row>
    <row r="957" spans="1:1" x14ac:dyDescent="0.3">
      <c r="A957" t="s">
        <v>953</v>
      </c>
    </row>
    <row r="958" spans="1:1" x14ac:dyDescent="0.3">
      <c r="A958" t="s">
        <v>954</v>
      </c>
    </row>
    <row r="959" spans="1:1" x14ac:dyDescent="0.3">
      <c r="A959" t="s">
        <v>955</v>
      </c>
    </row>
    <row r="960" spans="1:1" x14ac:dyDescent="0.3">
      <c r="A960" t="s">
        <v>956</v>
      </c>
    </row>
    <row r="961" spans="1:1" x14ac:dyDescent="0.3">
      <c r="A961" t="s">
        <v>957</v>
      </c>
    </row>
    <row r="962" spans="1:1" x14ac:dyDescent="0.3">
      <c r="A962" t="s">
        <v>958</v>
      </c>
    </row>
    <row r="963" spans="1:1" x14ac:dyDescent="0.3">
      <c r="A963" t="s">
        <v>959</v>
      </c>
    </row>
    <row r="964" spans="1:1" x14ac:dyDescent="0.3">
      <c r="A964" t="s">
        <v>960</v>
      </c>
    </row>
    <row r="965" spans="1:1" x14ac:dyDescent="0.3">
      <c r="A965" t="s">
        <v>961</v>
      </c>
    </row>
    <row r="966" spans="1:1" x14ac:dyDescent="0.3">
      <c r="A966" t="s">
        <v>962</v>
      </c>
    </row>
    <row r="967" spans="1:1" x14ac:dyDescent="0.3">
      <c r="A967" t="s">
        <v>963</v>
      </c>
    </row>
    <row r="968" spans="1:1" x14ac:dyDescent="0.3">
      <c r="A968" t="s">
        <v>964</v>
      </c>
    </row>
    <row r="969" spans="1:1" x14ac:dyDescent="0.3">
      <c r="A969" t="s">
        <v>965</v>
      </c>
    </row>
    <row r="970" spans="1:1" x14ac:dyDescent="0.3">
      <c r="A970" t="s">
        <v>966</v>
      </c>
    </row>
    <row r="971" spans="1:1" x14ac:dyDescent="0.3">
      <c r="A971" t="s">
        <v>967</v>
      </c>
    </row>
    <row r="972" spans="1:1" x14ac:dyDescent="0.3">
      <c r="A972" t="s">
        <v>968</v>
      </c>
    </row>
    <row r="973" spans="1:1" x14ac:dyDescent="0.3">
      <c r="A973" t="s">
        <v>969</v>
      </c>
    </row>
    <row r="974" spans="1:1" x14ac:dyDescent="0.3">
      <c r="A974" t="s">
        <v>970</v>
      </c>
    </row>
    <row r="975" spans="1:1" x14ac:dyDescent="0.3">
      <c r="A975" t="s">
        <v>971</v>
      </c>
    </row>
    <row r="976" spans="1:1" x14ac:dyDescent="0.3">
      <c r="A976" t="s">
        <v>972</v>
      </c>
    </row>
    <row r="977" spans="1:1" x14ac:dyDescent="0.3">
      <c r="A977" t="s">
        <v>973</v>
      </c>
    </row>
    <row r="978" spans="1:1" x14ac:dyDescent="0.3">
      <c r="A978" t="s">
        <v>974</v>
      </c>
    </row>
    <row r="979" spans="1:1" x14ac:dyDescent="0.3">
      <c r="A979" t="s">
        <v>975</v>
      </c>
    </row>
    <row r="980" spans="1:1" x14ac:dyDescent="0.3">
      <c r="A980" t="s">
        <v>976</v>
      </c>
    </row>
    <row r="981" spans="1:1" x14ac:dyDescent="0.3">
      <c r="A981" t="s">
        <v>977</v>
      </c>
    </row>
    <row r="982" spans="1:1" x14ac:dyDescent="0.3">
      <c r="A982" t="s">
        <v>978</v>
      </c>
    </row>
    <row r="983" spans="1:1" x14ac:dyDescent="0.3">
      <c r="A983" t="s">
        <v>979</v>
      </c>
    </row>
    <row r="984" spans="1:1" x14ac:dyDescent="0.3">
      <c r="A984" t="s">
        <v>980</v>
      </c>
    </row>
    <row r="985" spans="1:1" x14ac:dyDescent="0.3">
      <c r="A985" t="s">
        <v>981</v>
      </c>
    </row>
    <row r="986" spans="1:1" x14ac:dyDescent="0.3">
      <c r="A986" t="s">
        <v>982</v>
      </c>
    </row>
    <row r="987" spans="1:1" x14ac:dyDescent="0.3">
      <c r="A987" t="s">
        <v>983</v>
      </c>
    </row>
    <row r="988" spans="1:1" x14ac:dyDescent="0.3">
      <c r="A988" t="s">
        <v>984</v>
      </c>
    </row>
    <row r="989" spans="1:1" x14ac:dyDescent="0.3">
      <c r="A989" t="s">
        <v>985</v>
      </c>
    </row>
    <row r="990" spans="1:1" x14ac:dyDescent="0.3">
      <c r="A990" t="s">
        <v>986</v>
      </c>
    </row>
    <row r="991" spans="1:1" x14ac:dyDescent="0.3">
      <c r="A991" t="s">
        <v>987</v>
      </c>
    </row>
    <row r="992" spans="1:1" x14ac:dyDescent="0.3">
      <c r="A992" t="s">
        <v>988</v>
      </c>
    </row>
    <row r="993" spans="1:1" x14ac:dyDescent="0.3">
      <c r="A993" t="s">
        <v>989</v>
      </c>
    </row>
    <row r="994" spans="1:1" x14ac:dyDescent="0.3">
      <c r="A994" t="s">
        <v>990</v>
      </c>
    </row>
    <row r="995" spans="1:1" x14ac:dyDescent="0.3">
      <c r="A995" t="s">
        <v>991</v>
      </c>
    </row>
    <row r="996" spans="1:1" x14ac:dyDescent="0.3">
      <c r="A996" t="s">
        <v>992</v>
      </c>
    </row>
    <row r="997" spans="1:1" x14ac:dyDescent="0.3">
      <c r="A997" t="s">
        <v>993</v>
      </c>
    </row>
    <row r="998" spans="1:1" x14ac:dyDescent="0.3">
      <c r="A998" t="s">
        <v>994</v>
      </c>
    </row>
    <row r="999" spans="1:1" x14ac:dyDescent="0.3">
      <c r="A999" t="s">
        <v>995</v>
      </c>
    </row>
    <row r="1000" spans="1:1" x14ac:dyDescent="0.3">
      <c r="A1000" t="s">
        <v>996</v>
      </c>
    </row>
    <row r="1001" spans="1:1" x14ac:dyDescent="0.3">
      <c r="A1001" t="s">
        <v>997</v>
      </c>
    </row>
    <row r="1002" spans="1:1" x14ac:dyDescent="0.3">
      <c r="A1002" t="s">
        <v>998</v>
      </c>
    </row>
    <row r="1003" spans="1:1" x14ac:dyDescent="0.3">
      <c r="A1003" t="s">
        <v>999</v>
      </c>
    </row>
    <row r="1004" spans="1:1" x14ac:dyDescent="0.3">
      <c r="A1004" t="s">
        <v>1000</v>
      </c>
    </row>
    <row r="1005" spans="1:1" x14ac:dyDescent="0.3">
      <c r="A1005" t="s">
        <v>1001</v>
      </c>
    </row>
    <row r="1006" spans="1:1" x14ac:dyDescent="0.3">
      <c r="A1006" t="s">
        <v>1002</v>
      </c>
    </row>
    <row r="1007" spans="1:1" x14ac:dyDescent="0.3">
      <c r="A1007" t="s">
        <v>1003</v>
      </c>
    </row>
    <row r="1008" spans="1:1" x14ac:dyDescent="0.3">
      <c r="A1008" t="s">
        <v>1004</v>
      </c>
    </row>
    <row r="1009" spans="1:1" x14ac:dyDescent="0.3">
      <c r="A1009" t="s">
        <v>1005</v>
      </c>
    </row>
    <row r="1010" spans="1:1" x14ac:dyDescent="0.3">
      <c r="A1010" t="s">
        <v>1006</v>
      </c>
    </row>
    <row r="1011" spans="1:1" x14ac:dyDescent="0.3">
      <c r="A1011" t="s">
        <v>1007</v>
      </c>
    </row>
    <row r="1012" spans="1:1" x14ac:dyDescent="0.3">
      <c r="A1012" t="s">
        <v>1008</v>
      </c>
    </row>
    <row r="1013" spans="1:1" x14ac:dyDescent="0.3">
      <c r="A1013" t="s">
        <v>1009</v>
      </c>
    </row>
    <row r="1014" spans="1:1" x14ac:dyDescent="0.3">
      <c r="A1014" t="s">
        <v>1010</v>
      </c>
    </row>
    <row r="1015" spans="1:1" x14ac:dyDescent="0.3">
      <c r="A1015" t="s">
        <v>1011</v>
      </c>
    </row>
    <row r="1016" spans="1:1" x14ac:dyDescent="0.3">
      <c r="A1016" t="s">
        <v>1012</v>
      </c>
    </row>
    <row r="1017" spans="1:1" x14ac:dyDescent="0.3">
      <c r="A1017" t="s">
        <v>1013</v>
      </c>
    </row>
    <row r="1018" spans="1:1" x14ac:dyDescent="0.3">
      <c r="A1018" t="s">
        <v>1014</v>
      </c>
    </row>
    <row r="1019" spans="1:1" x14ac:dyDescent="0.3">
      <c r="A1019" t="s">
        <v>1015</v>
      </c>
    </row>
    <row r="1020" spans="1:1" x14ac:dyDescent="0.3">
      <c r="A1020" t="s">
        <v>1016</v>
      </c>
    </row>
    <row r="1021" spans="1:1" x14ac:dyDescent="0.3">
      <c r="A1021" t="s">
        <v>1017</v>
      </c>
    </row>
    <row r="1022" spans="1:1" x14ac:dyDescent="0.3">
      <c r="A1022" t="s">
        <v>1018</v>
      </c>
    </row>
    <row r="1023" spans="1:1" x14ac:dyDescent="0.3">
      <c r="A1023" t="s">
        <v>1019</v>
      </c>
    </row>
    <row r="1024" spans="1:1" x14ac:dyDescent="0.3">
      <c r="A1024" t="s">
        <v>1020</v>
      </c>
    </row>
    <row r="1025" spans="1:1" x14ac:dyDescent="0.3">
      <c r="A1025" t="s">
        <v>1021</v>
      </c>
    </row>
    <row r="1026" spans="1:1" x14ac:dyDescent="0.3">
      <c r="A1026" t="s">
        <v>1022</v>
      </c>
    </row>
    <row r="1027" spans="1:1" x14ac:dyDescent="0.3">
      <c r="A1027" t="s">
        <v>1023</v>
      </c>
    </row>
    <row r="1028" spans="1:1" x14ac:dyDescent="0.3">
      <c r="A1028" t="s">
        <v>1024</v>
      </c>
    </row>
    <row r="1029" spans="1:1" x14ac:dyDescent="0.3">
      <c r="A1029" t="s">
        <v>1025</v>
      </c>
    </row>
    <row r="1030" spans="1:1" x14ac:dyDescent="0.3">
      <c r="A1030" t="s">
        <v>1026</v>
      </c>
    </row>
    <row r="1031" spans="1:1" x14ac:dyDescent="0.3">
      <c r="A1031" t="s">
        <v>1027</v>
      </c>
    </row>
    <row r="1032" spans="1:1" x14ac:dyDescent="0.3">
      <c r="A1032" t="s">
        <v>1028</v>
      </c>
    </row>
    <row r="1033" spans="1:1" x14ac:dyDescent="0.3">
      <c r="A1033" t="s">
        <v>1029</v>
      </c>
    </row>
    <row r="1034" spans="1:1" x14ac:dyDescent="0.3">
      <c r="A1034" t="s">
        <v>1030</v>
      </c>
    </row>
    <row r="1035" spans="1:1" x14ac:dyDescent="0.3">
      <c r="A1035" t="s">
        <v>1031</v>
      </c>
    </row>
    <row r="1036" spans="1:1" x14ac:dyDescent="0.3">
      <c r="A1036" t="s">
        <v>1032</v>
      </c>
    </row>
    <row r="1037" spans="1:1" x14ac:dyDescent="0.3">
      <c r="A1037" t="s">
        <v>1033</v>
      </c>
    </row>
    <row r="1038" spans="1:1" x14ac:dyDescent="0.3">
      <c r="A1038" t="s">
        <v>1034</v>
      </c>
    </row>
    <row r="1039" spans="1:1" x14ac:dyDescent="0.3">
      <c r="A1039" t="s">
        <v>1035</v>
      </c>
    </row>
    <row r="1040" spans="1:1" x14ac:dyDescent="0.3">
      <c r="A1040" t="s">
        <v>1036</v>
      </c>
    </row>
    <row r="1041" spans="1:1" x14ac:dyDescent="0.3">
      <c r="A1041" t="s">
        <v>1037</v>
      </c>
    </row>
    <row r="1042" spans="1:1" x14ac:dyDescent="0.3">
      <c r="A1042" t="s">
        <v>1038</v>
      </c>
    </row>
    <row r="1043" spans="1:1" x14ac:dyDescent="0.3">
      <c r="A1043" t="s">
        <v>1039</v>
      </c>
    </row>
    <row r="1044" spans="1:1" x14ac:dyDescent="0.3">
      <c r="A1044" t="s">
        <v>1040</v>
      </c>
    </row>
    <row r="1045" spans="1:1" x14ac:dyDescent="0.3">
      <c r="A1045" t="s">
        <v>1041</v>
      </c>
    </row>
    <row r="1046" spans="1:1" x14ac:dyDescent="0.3">
      <c r="A1046" t="s">
        <v>1042</v>
      </c>
    </row>
    <row r="1047" spans="1:1" x14ac:dyDescent="0.3">
      <c r="A1047" t="s">
        <v>1043</v>
      </c>
    </row>
    <row r="1048" spans="1:1" x14ac:dyDescent="0.3">
      <c r="A1048" t="s">
        <v>1044</v>
      </c>
    </row>
    <row r="1049" spans="1:1" x14ac:dyDescent="0.3">
      <c r="A1049" t="s">
        <v>1045</v>
      </c>
    </row>
    <row r="1050" spans="1:1" x14ac:dyDescent="0.3">
      <c r="A1050" t="s">
        <v>1046</v>
      </c>
    </row>
    <row r="1051" spans="1:1" x14ac:dyDescent="0.3">
      <c r="A1051" t="s">
        <v>1047</v>
      </c>
    </row>
    <row r="1052" spans="1:1" x14ac:dyDescent="0.3">
      <c r="A1052" t="s">
        <v>1048</v>
      </c>
    </row>
    <row r="1053" spans="1:1" x14ac:dyDescent="0.3">
      <c r="A1053" t="s">
        <v>1049</v>
      </c>
    </row>
    <row r="1054" spans="1:1" x14ac:dyDescent="0.3">
      <c r="A1054" t="s">
        <v>1050</v>
      </c>
    </row>
    <row r="1055" spans="1:1" x14ac:dyDescent="0.3">
      <c r="A1055" t="s">
        <v>1051</v>
      </c>
    </row>
    <row r="1056" spans="1:1" x14ac:dyDescent="0.3">
      <c r="A1056" t="s">
        <v>1052</v>
      </c>
    </row>
    <row r="1057" spans="1:1" x14ac:dyDescent="0.3">
      <c r="A1057" t="s">
        <v>1053</v>
      </c>
    </row>
    <row r="1058" spans="1:1" x14ac:dyDescent="0.3">
      <c r="A1058" t="s">
        <v>1054</v>
      </c>
    </row>
    <row r="1059" spans="1:1" x14ac:dyDescent="0.3">
      <c r="A1059" t="s">
        <v>1055</v>
      </c>
    </row>
    <row r="1060" spans="1:1" x14ac:dyDescent="0.3">
      <c r="A1060" t="s">
        <v>1056</v>
      </c>
    </row>
    <row r="1061" spans="1:1" x14ac:dyDescent="0.3">
      <c r="A1061" t="s">
        <v>1057</v>
      </c>
    </row>
    <row r="1062" spans="1:1" x14ac:dyDescent="0.3">
      <c r="A1062" t="s">
        <v>1058</v>
      </c>
    </row>
    <row r="1063" spans="1:1" x14ac:dyDescent="0.3">
      <c r="A1063" t="s">
        <v>1059</v>
      </c>
    </row>
    <row r="1064" spans="1:1" x14ac:dyDescent="0.3">
      <c r="A1064" t="s">
        <v>1060</v>
      </c>
    </row>
    <row r="1065" spans="1:1" x14ac:dyDescent="0.3">
      <c r="A1065" t="s">
        <v>1061</v>
      </c>
    </row>
    <row r="1066" spans="1:1" x14ac:dyDescent="0.3">
      <c r="A1066" t="s">
        <v>1062</v>
      </c>
    </row>
    <row r="1067" spans="1:1" x14ac:dyDescent="0.3">
      <c r="A1067" t="s">
        <v>1063</v>
      </c>
    </row>
    <row r="1068" spans="1:1" x14ac:dyDescent="0.3">
      <c r="A1068" t="s">
        <v>1064</v>
      </c>
    </row>
    <row r="1069" spans="1:1" x14ac:dyDescent="0.3">
      <c r="A1069" t="s">
        <v>1065</v>
      </c>
    </row>
    <row r="1070" spans="1:1" x14ac:dyDescent="0.3">
      <c r="A1070" t="s">
        <v>1066</v>
      </c>
    </row>
    <row r="1071" spans="1:1" x14ac:dyDescent="0.3">
      <c r="A1071" t="s">
        <v>1067</v>
      </c>
    </row>
    <row r="1072" spans="1:1" x14ac:dyDescent="0.3">
      <c r="A1072" t="s">
        <v>1068</v>
      </c>
    </row>
    <row r="1073" spans="1:1" x14ac:dyDescent="0.3">
      <c r="A1073" t="s">
        <v>1069</v>
      </c>
    </row>
    <row r="1074" spans="1:1" x14ac:dyDescent="0.3">
      <c r="A1074" t="s">
        <v>1070</v>
      </c>
    </row>
    <row r="1075" spans="1:1" x14ac:dyDescent="0.3">
      <c r="A1075" t="s">
        <v>1071</v>
      </c>
    </row>
    <row r="1076" spans="1:1" x14ac:dyDescent="0.3">
      <c r="A1076" t="s">
        <v>1072</v>
      </c>
    </row>
    <row r="1077" spans="1:1" x14ac:dyDescent="0.3">
      <c r="A1077" t="s">
        <v>1073</v>
      </c>
    </row>
    <row r="1078" spans="1:1" x14ac:dyDescent="0.3">
      <c r="A1078" t="s">
        <v>1074</v>
      </c>
    </row>
    <row r="1079" spans="1:1" x14ac:dyDescent="0.3">
      <c r="A1079" t="s">
        <v>1075</v>
      </c>
    </row>
    <row r="1080" spans="1:1" x14ac:dyDescent="0.3">
      <c r="A1080" t="s">
        <v>1076</v>
      </c>
    </row>
    <row r="1081" spans="1:1" x14ac:dyDescent="0.3">
      <c r="A1081" t="s">
        <v>1077</v>
      </c>
    </row>
    <row r="1082" spans="1:1" x14ac:dyDescent="0.3">
      <c r="A1082" t="s">
        <v>1078</v>
      </c>
    </row>
    <row r="1083" spans="1:1" x14ac:dyDescent="0.3">
      <c r="A1083" t="s">
        <v>1079</v>
      </c>
    </row>
    <row r="1084" spans="1:1" x14ac:dyDescent="0.3">
      <c r="A1084" t="s">
        <v>1080</v>
      </c>
    </row>
    <row r="1085" spans="1:1" x14ac:dyDescent="0.3">
      <c r="A1085" t="s">
        <v>1081</v>
      </c>
    </row>
    <row r="1086" spans="1:1" x14ac:dyDescent="0.3">
      <c r="A1086" t="s">
        <v>1082</v>
      </c>
    </row>
    <row r="1087" spans="1:1" x14ac:dyDescent="0.3">
      <c r="A1087" t="s">
        <v>1083</v>
      </c>
    </row>
    <row r="1088" spans="1:1" x14ac:dyDescent="0.3">
      <c r="A1088" t="s">
        <v>1084</v>
      </c>
    </row>
    <row r="1089" spans="1:1" x14ac:dyDescent="0.3">
      <c r="A1089" t="s">
        <v>1085</v>
      </c>
    </row>
    <row r="1090" spans="1:1" x14ac:dyDescent="0.3">
      <c r="A1090" t="s">
        <v>1086</v>
      </c>
    </row>
    <row r="1091" spans="1:1" x14ac:dyDescent="0.3">
      <c r="A1091" t="s">
        <v>1087</v>
      </c>
    </row>
    <row r="1092" spans="1:1" x14ac:dyDescent="0.3">
      <c r="A1092" t="s">
        <v>1088</v>
      </c>
    </row>
    <row r="1093" spans="1:1" x14ac:dyDescent="0.3">
      <c r="A1093" t="s">
        <v>1089</v>
      </c>
    </row>
    <row r="1094" spans="1:1" x14ac:dyDescent="0.3">
      <c r="A1094" t="s">
        <v>1090</v>
      </c>
    </row>
    <row r="1095" spans="1:1" x14ac:dyDescent="0.3">
      <c r="A1095" t="s">
        <v>1091</v>
      </c>
    </row>
    <row r="1096" spans="1:1" x14ac:dyDescent="0.3">
      <c r="A1096" t="s">
        <v>1092</v>
      </c>
    </row>
    <row r="1097" spans="1:1" x14ac:dyDescent="0.3">
      <c r="A1097" t="s">
        <v>1093</v>
      </c>
    </row>
    <row r="1098" spans="1:1" x14ac:dyDescent="0.3">
      <c r="A1098" t="s">
        <v>1094</v>
      </c>
    </row>
    <row r="1099" spans="1:1" x14ac:dyDescent="0.3">
      <c r="A1099" t="s">
        <v>1095</v>
      </c>
    </row>
    <row r="1100" spans="1:1" x14ac:dyDescent="0.3">
      <c r="A1100" t="s">
        <v>1096</v>
      </c>
    </row>
    <row r="1101" spans="1:1" x14ac:dyDescent="0.3">
      <c r="A1101" t="s">
        <v>1097</v>
      </c>
    </row>
    <row r="1102" spans="1:1" x14ac:dyDescent="0.3">
      <c r="A1102" t="s">
        <v>1098</v>
      </c>
    </row>
    <row r="1103" spans="1:1" x14ac:dyDescent="0.3">
      <c r="A1103" t="s">
        <v>1099</v>
      </c>
    </row>
    <row r="1104" spans="1:1" x14ac:dyDescent="0.3">
      <c r="A1104" t="s">
        <v>1100</v>
      </c>
    </row>
    <row r="1105" spans="1:1" x14ac:dyDescent="0.3">
      <c r="A1105" t="s">
        <v>1101</v>
      </c>
    </row>
    <row r="1106" spans="1:1" x14ac:dyDescent="0.3">
      <c r="A1106" t="s">
        <v>1102</v>
      </c>
    </row>
    <row r="1107" spans="1:1" x14ac:dyDescent="0.3">
      <c r="A1107" t="s">
        <v>1103</v>
      </c>
    </row>
    <row r="1108" spans="1:1" x14ac:dyDescent="0.3">
      <c r="A1108" t="s">
        <v>1104</v>
      </c>
    </row>
    <row r="1109" spans="1:1" x14ac:dyDescent="0.3">
      <c r="A1109" t="s">
        <v>1105</v>
      </c>
    </row>
    <row r="1110" spans="1:1" x14ac:dyDescent="0.3">
      <c r="A1110" t="s">
        <v>1106</v>
      </c>
    </row>
    <row r="1111" spans="1:1" x14ac:dyDescent="0.3">
      <c r="A1111" t="s">
        <v>1107</v>
      </c>
    </row>
    <row r="1112" spans="1:1" x14ac:dyDescent="0.3">
      <c r="A1112" t="s">
        <v>1108</v>
      </c>
    </row>
    <row r="1113" spans="1:1" x14ac:dyDescent="0.3">
      <c r="A1113" t="s">
        <v>1109</v>
      </c>
    </row>
    <row r="1114" spans="1:1" x14ac:dyDescent="0.3">
      <c r="A1114" t="s">
        <v>1110</v>
      </c>
    </row>
    <row r="1115" spans="1:1" x14ac:dyDescent="0.3">
      <c r="A1115" t="s">
        <v>1111</v>
      </c>
    </row>
    <row r="1116" spans="1:1" x14ac:dyDescent="0.3">
      <c r="A1116" t="s">
        <v>1112</v>
      </c>
    </row>
    <row r="1117" spans="1:1" x14ac:dyDescent="0.3">
      <c r="A1117" t="s">
        <v>1113</v>
      </c>
    </row>
    <row r="1118" spans="1:1" x14ac:dyDescent="0.3">
      <c r="A1118" t="s">
        <v>1114</v>
      </c>
    </row>
    <row r="1119" spans="1:1" x14ac:dyDescent="0.3">
      <c r="A1119" t="s">
        <v>1115</v>
      </c>
    </row>
    <row r="1120" spans="1:1" x14ac:dyDescent="0.3">
      <c r="A1120" t="s">
        <v>1116</v>
      </c>
    </row>
    <row r="1121" spans="1:1" x14ac:dyDescent="0.3">
      <c r="A1121" t="s">
        <v>1117</v>
      </c>
    </row>
    <row r="1122" spans="1:1" x14ac:dyDescent="0.3">
      <c r="A1122" t="s">
        <v>1118</v>
      </c>
    </row>
    <row r="1123" spans="1:1" x14ac:dyDescent="0.3">
      <c r="A1123" t="s">
        <v>1119</v>
      </c>
    </row>
    <row r="1124" spans="1:1" x14ac:dyDescent="0.3">
      <c r="A1124" t="s">
        <v>1120</v>
      </c>
    </row>
    <row r="1125" spans="1:1" x14ac:dyDescent="0.3">
      <c r="A1125" t="s">
        <v>1121</v>
      </c>
    </row>
    <row r="1126" spans="1:1" x14ac:dyDescent="0.3">
      <c r="A1126" t="s">
        <v>1122</v>
      </c>
    </row>
    <row r="1127" spans="1:1" x14ac:dyDescent="0.3">
      <c r="A1127" t="s">
        <v>1123</v>
      </c>
    </row>
    <row r="1128" spans="1:1" x14ac:dyDescent="0.3">
      <c r="A1128" t="s">
        <v>1124</v>
      </c>
    </row>
    <row r="1129" spans="1:1" x14ac:dyDescent="0.3">
      <c r="A1129" t="s">
        <v>1125</v>
      </c>
    </row>
    <row r="1130" spans="1:1" x14ac:dyDescent="0.3">
      <c r="A1130" t="s">
        <v>1126</v>
      </c>
    </row>
    <row r="1131" spans="1:1" x14ac:dyDescent="0.3">
      <c r="A1131" t="s">
        <v>1127</v>
      </c>
    </row>
    <row r="1132" spans="1:1" x14ac:dyDescent="0.3">
      <c r="A1132" t="s">
        <v>1128</v>
      </c>
    </row>
    <row r="1133" spans="1:1" x14ac:dyDescent="0.3">
      <c r="A1133" t="s">
        <v>1129</v>
      </c>
    </row>
    <row r="1134" spans="1:1" x14ac:dyDescent="0.3">
      <c r="A1134" t="s">
        <v>1130</v>
      </c>
    </row>
    <row r="1135" spans="1:1" x14ac:dyDescent="0.3">
      <c r="A1135" t="s">
        <v>1131</v>
      </c>
    </row>
    <row r="1136" spans="1:1" x14ac:dyDescent="0.3">
      <c r="A1136" t="s">
        <v>1132</v>
      </c>
    </row>
    <row r="1137" spans="1:1" x14ac:dyDescent="0.3">
      <c r="A1137" t="s">
        <v>1133</v>
      </c>
    </row>
    <row r="1138" spans="1:1" x14ac:dyDescent="0.3">
      <c r="A1138" t="s">
        <v>1134</v>
      </c>
    </row>
    <row r="1139" spans="1:1" x14ac:dyDescent="0.3">
      <c r="A1139" t="s">
        <v>1135</v>
      </c>
    </row>
    <row r="1140" spans="1:1" x14ac:dyDescent="0.3">
      <c r="A1140" t="s">
        <v>1136</v>
      </c>
    </row>
    <row r="1141" spans="1:1" x14ac:dyDescent="0.3">
      <c r="A1141" t="s">
        <v>1137</v>
      </c>
    </row>
    <row r="1142" spans="1:1" x14ac:dyDescent="0.3">
      <c r="A1142" t="s">
        <v>1138</v>
      </c>
    </row>
    <row r="1143" spans="1:1" x14ac:dyDescent="0.3">
      <c r="A1143" t="s">
        <v>1139</v>
      </c>
    </row>
    <row r="1144" spans="1:1" x14ac:dyDescent="0.3">
      <c r="A1144" t="s">
        <v>1140</v>
      </c>
    </row>
    <row r="1145" spans="1:1" x14ac:dyDescent="0.3">
      <c r="A1145" t="s">
        <v>1141</v>
      </c>
    </row>
    <row r="1146" spans="1:1" x14ac:dyDescent="0.3">
      <c r="A1146" t="s">
        <v>1142</v>
      </c>
    </row>
    <row r="1147" spans="1:1" x14ac:dyDescent="0.3">
      <c r="A1147" t="s">
        <v>1143</v>
      </c>
    </row>
    <row r="1148" spans="1:1" x14ac:dyDescent="0.3">
      <c r="A1148" t="s">
        <v>1144</v>
      </c>
    </row>
    <row r="1149" spans="1:1" x14ac:dyDescent="0.3">
      <c r="A1149" t="s">
        <v>1145</v>
      </c>
    </row>
    <row r="1150" spans="1:1" x14ac:dyDescent="0.3">
      <c r="A1150" t="s">
        <v>1146</v>
      </c>
    </row>
    <row r="1151" spans="1:1" x14ac:dyDescent="0.3">
      <c r="A1151" t="s">
        <v>1147</v>
      </c>
    </row>
    <row r="1152" spans="1:1" x14ac:dyDescent="0.3">
      <c r="A1152" t="s">
        <v>1148</v>
      </c>
    </row>
    <row r="1153" spans="1:1" x14ac:dyDescent="0.3">
      <c r="A1153" t="s">
        <v>1149</v>
      </c>
    </row>
    <row r="1154" spans="1:1" x14ac:dyDescent="0.3">
      <c r="A1154" t="s">
        <v>1150</v>
      </c>
    </row>
    <row r="1155" spans="1:1" x14ac:dyDescent="0.3">
      <c r="A1155" t="s">
        <v>1151</v>
      </c>
    </row>
    <row r="1156" spans="1:1" x14ac:dyDescent="0.3">
      <c r="A1156" t="s">
        <v>1152</v>
      </c>
    </row>
    <row r="1157" spans="1:1" x14ac:dyDescent="0.3">
      <c r="A1157" t="s">
        <v>1153</v>
      </c>
    </row>
    <row r="1158" spans="1:1" x14ac:dyDescent="0.3">
      <c r="A1158" t="s">
        <v>1154</v>
      </c>
    </row>
    <row r="1159" spans="1:1" x14ac:dyDescent="0.3">
      <c r="A1159" t="s">
        <v>1155</v>
      </c>
    </row>
    <row r="1160" spans="1:1" x14ac:dyDescent="0.3">
      <c r="A1160" t="s">
        <v>1156</v>
      </c>
    </row>
    <row r="1161" spans="1:1" x14ac:dyDescent="0.3">
      <c r="A1161" t="s">
        <v>1157</v>
      </c>
    </row>
    <row r="1162" spans="1:1" x14ac:dyDescent="0.3">
      <c r="A1162" t="s">
        <v>1158</v>
      </c>
    </row>
    <row r="1163" spans="1:1" x14ac:dyDescent="0.3">
      <c r="A1163" t="s">
        <v>1159</v>
      </c>
    </row>
    <row r="1164" spans="1:1" x14ac:dyDescent="0.3">
      <c r="A1164" t="s">
        <v>1160</v>
      </c>
    </row>
    <row r="1165" spans="1:1" x14ac:dyDescent="0.3">
      <c r="A1165" t="s">
        <v>1161</v>
      </c>
    </row>
    <row r="1166" spans="1:1" x14ac:dyDescent="0.3">
      <c r="A1166" t="s">
        <v>1162</v>
      </c>
    </row>
    <row r="1167" spans="1:1" x14ac:dyDescent="0.3">
      <c r="A1167" t="s">
        <v>1163</v>
      </c>
    </row>
    <row r="1168" spans="1:1" x14ac:dyDescent="0.3">
      <c r="A1168" t="s">
        <v>1164</v>
      </c>
    </row>
    <row r="1169" spans="1:1" x14ac:dyDescent="0.3">
      <c r="A1169" t="s">
        <v>1165</v>
      </c>
    </row>
    <row r="1170" spans="1:1" x14ac:dyDescent="0.3">
      <c r="A1170" t="s">
        <v>1166</v>
      </c>
    </row>
    <row r="1171" spans="1:1" x14ac:dyDescent="0.3">
      <c r="A1171" t="s">
        <v>1167</v>
      </c>
    </row>
    <row r="1172" spans="1:1" x14ac:dyDescent="0.3">
      <c r="A1172" t="s">
        <v>1168</v>
      </c>
    </row>
    <row r="1173" spans="1:1" x14ac:dyDescent="0.3">
      <c r="A1173" t="s">
        <v>1169</v>
      </c>
    </row>
    <row r="1174" spans="1:1" x14ac:dyDescent="0.3">
      <c r="A1174" t="s">
        <v>1170</v>
      </c>
    </row>
    <row r="1175" spans="1:1" x14ac:dyDescent="0.3">
      <c r="A1175" t="s">
        <v>1171</v>
      </c>
    </row>
    <row r="1176" spans="1:1" x14ac:dyDescent="0.3">
      <c r="A1176" t="s">
        <v>1172</v>
      </c>
    </row>
    <row r="1177" spans="1:1" x14ac:dyDescent="0.3">
      <c r="A1177" t="s">
        <v>1173</v>
      </c>
    </row>
    <row r="1178" spans="1:1" x14ac:dyDescent="0.3">
      <c r="A1178" t="s">
        <v>1174</v>
      </c>
    </row>
    <row r="1179" spans="1:1" x14ac:dyDescent="0.3">
      <c r="A1179" t="s">
        <v>1175</v>
      </c>
    </row>
    <row r="1180" spans="1:1" x14ac:dyDescent="0.3">
      <c r="A1180" t="s">
        <v>1176</v>
      </c>
    </row>
    <row r="1181" spans="1:1" x14ac:dyDescent="0.3">
      <c r="A1181" t="s">
        <v>1177</v>
      </c>
    </row>
    <row r="1182" spans="1:1" x14ac:dyDescent="0.3">
      <c r="A1182" t="s">
        <v>1178</v>
      </c>
    </row>
    <row r="1183" spans="1:1" x14ac:dyDescent="0.3">
      <c r="A1183" t="s">
        <v>1179</v>
      </c>
    </row>
    <row r="1184" spans="1:1" x14ac:dyDescent="0.3">
      <c r="A1184" t="s">
        <v>1180</v>
      </c>
    </row>
    <row r="1185" spans="1:1" x14ac:dyDescent="0.3">
      <c r="A1185" t="s">
        <v>1181</v>
      </c>
    </row>
    <row r="1186" spans="1:1" x14ac:dyDescent="0.3">
      <c r="A1186" t="s">
        <v>1182</v>
      </c>
    </row>
    <row r="1187" spans="1:1" x14ac:dyDescent="0.3">
      <c r="A1187" t="s">
        <v>1183</v>
      </c>
    </row>
    <row r="1188" spans="1:1" x14ac:dyDescent="0.3">
      <c r="A1188" t="s">
        <v>1184</v>
      </c>
    </row>
    <row r="1189" spans="1:1" x14ac:dyDescent="0.3">
      <c r="A1189" t="s">
        <v>1185</v>
      </c>
    </row>
    <row r="1190" spans="1:1" x14ac:dyDescent="0.3">
      <c r="A1190" t="s">
        <v>1186</v>
      </c>
    </row>
    <row r="1191" spans="1:1" x14ac:dyDescent="0.3">
      <c r="A1191" t="s">
        <v>1187</v>
      </c>
    </row>
    <row r="1192" spans="1:1" x14ac:dyDescent="0.3">
      <c r="A1192" t="s">
        <v>1188</v>
      </c>
    </row>
    <row r="1193" spans="1:1" x14ac:dyDescent="0.3">
      <c r="A1193" t="s">
        <v>1189</v>
      </c>
    </row>
    <row r="1194" spans="1:1" x14ac:dyDescent="0.3">
      <c r="A1194" t="s">
        <v>1190</v>
      </c>
    </row>
    <row r="1195" spans="1:1" x14ac:dyDescent="0.3">
      <c r="A1195" t="s">
        <v>1191</v>
      </c>
    </row>
    <row r="1196" spans="1:1" x14ac:dyDescent="0.3">
      <c r="A1196" t="s">
        <v>1192</v>
      </c>
    </row>
    <row r="1197" spans="1:1" x14ac:dyDescent="0.3">
      <c r="A1197" t="s">
        <v>1193</v>
      </c>
    </row>
    <row r="1198" spans="1:1" x14ac:dyDescent="0.3">
      <c r="A1198" t="s">
        <v>1194</v>
      </c>
    </row>
    <row r="1199" spans="1:1" x14ac:dyDescent="0.3">
      <c r="A1199" t="s">
        <v>1195</v>
      </c>
    </row>
    <row r="1200" spans="1:1" x14ac:dyDescent="0.3">
      <c r="A1200" t="s">
        <v>1196</v>
      </c>
    </row>
    <row r="1201" spans="1:1" x14ac:dyDescent="0.3">
      <c r="A1201" t="s">
        <v>1197</v>
      </c>
    </row>
    <row r="1202" spans="1:1" x14ac:dyDescent="0.3">
      <c r="A1202" t="s">
        <v>1198</v>
      </c>
    </row>
    <row r="1203" spans="1:1" x14ac:dyDescent="0.3">
      <c r="A1203" t="s">
        <v>1199</v>
      </c>
    </row>
    <row r="1204" spans="1:1" x14ac:dyDescent="0.3">
      <c r="A1204" t="s">
        <v>1200</v>
      </c>
    </row>
    <row r="1205" spans="1:1" x14ac:dyDescent="0.3">
      <c r="A1205" t="s">
        <v>1201</v>
      </c>
    </row>
    <row r="1206" spans="1:1" x14ac:dyDescent="0.3">
      <c r="A1206" t="s">
        <v>1202</v>
      </c>
    </row>
    <row r="1207" spans="1:1" x14ac:dyDescent="0.3">
      <c r="A1207" t="s">
        <v>1203</v>
      </c>
    </row>
    <row r="1208" spans="1:1" x14ac:dyDescent="0.3">
      <c r="A1208" t="s">
        <v>1204</v>
      </c>
    </row>
    <row r="1209" spans="1:1" x14ac:dyDescent="0.3">
      <c r="A1209" t="s">
        <v>1205</v>
      </c>
    </row>
    <row r="1210" spans="1:1" x14ac:dyDescent="0.3">
      <c r="A1210" t="s">
        <v>1206</v>
      </c>
    </row>
    <row r="1211" spans="1:1" x14ac:dyDescent="0.3">
      <c r="A1211" t="s">
        <v>1207</v>
      </c>
    </row>
    <row r="1212" spans="1:1" x14ac:dyDescent="0.3">
      <c r="A1212" t="s">
        <v>1208</v>
      </c>
    </row>
    <row r="1213" spans="1:1" x14ac:dyDescent="0.3">
      <c r="A1213" t="s">
        <v>1209</v>
      </c>
    </row>
    <row r="1214" spans="1:1" x14ac:dyDescent="0.3">
      <c r="A1214" t="s">
        <v>1210</v>
      </c>
    </row>
    <row r="1215" spans="1:1" x14ac:dyDescent="0.3">
      <c r="A1215" t="s">
        <v>1211</v>
      </c>
    </row>
    <row r="1216" spans="1:1" x14ac:dyDescent="0.3">
      <c r="A1216" t="s">
        <v>1212</v>
      </c>
    </row>
    <row r="1217" spans="1:1" x14ac:dyDescent="0.3">
      <c r="A1217" t="s">
        <v>1213</v>
      </c>
    </row>
    <row r="1218" spans="1:1" x14ac:dyDescent="0.3">
      <c r="A1218" t="s">
        <v>1214</v>
      </c>
    </row>
    <row r="1219" spans="1:1" x14ac:dyDescent="0.3">
      <c r="A1219" t="s">
        <v>1215</v>
      </c>
    </row>
    <row r="1220" spans="1:1" x14ac:dyDescent="0.3">
      <c r="A1220" t="s">
        <v>1216</v>
      </c>
    </row>
    <row r="1221" spans="1:1" x14ac:dyDescent="0.3">
      <c r="A1221" t="s">
        <v>1217</v>
      </c>
    </row>
    <row r="1222" spans="1:1" x14ac:dyDescent="0.3">
      <c r="A1222" t="s">
        <v>1218</v>
      </c>
    </row>
    <row r="1223" spans="1:1" x14ac:dyDescent="0.3">
      <c r="A1223" t="s">
        <v>1219</v>
      </c>
    </row>
    <row r="1224" spans="1:1" x14ac:dyDescent="0.3">
      <c r="A1224" t="s">
        <v>1220</v>
      </c>
    </row>
    <row r="1225" spans="1:1" x14ac:dyDescent="0.3">
      <c r="A1225" t="s">
        <v>1221</v>
      </c>
    </row>
    <row r="1226" spans="1:1" x14ac:dyDescent="0.3">
      <c r="A1226" t="s">
        <v>1222</v>
      </c>
    </row>
    <row r="1227" spans="1:1" x14ac:dyDescent="0.3">
      <c r="A1227" t="s">
        <v>1223</v>
      </c>
    </row>
    <row r="1228" spans="1:1" x14ac:dyDescent="0.3">
      <c r="A1228" t="s">
        <v>1224</v>
      </c>
    </row>
    <row r="1229" spans="1:1" x14ac:dyDescent="0.3">
      <c r="A1229" t="s">
        <v>1225</v>
      </c>
    </row>
    <row r="1230" spans="1:1" x14ac:dyDescent="0.3">
      <c r="A1230" t="s">
        <v>1226</v>
      </c>
    </row>
    <row r="1231" spans="1:1" x14ac:dyDescent="0.3">
      <c r="A1231" t="s">
        <v>1227</v>
      </c>
    </row>
    <row r="1232" spans="1:1" x14ac:dyDescent="0.3">
      <c r="A1232" t="s">
        <v>1228</v>
      </c>
    </row>
    <row r="1233" spans="1:1" x14ac:dyDescent="0.3">
      <c r="A1233" t="s">
        <v>1229</v>
      </c>
    </row>
    <row r="1234" spans="1:1" x14ac:dyDescent="0.3">
      <c r="A1234" t="s">
        <v>1230</v>
      </c>
    </row>
    <row r="1235" spans="1:1" x14ac:dyDescent="0.3">
      <c r="A1235" t="s">
        <v>1231</v>
      </c>
    </row>
    <row r="1236" spans="1:1" x14ac:dyDescent="0.3">
      <c r="A1236" t="s">
        <v>1232</v>
      </c>
    </row>
    <row r="1237" spans="1:1" x14ac:dyDescent="0.3">
      <c r="A1237" t="s">
        <v>1233</v>
      </c>
    </row>
    <row r="1238" spans="1:1" x14ac:dyDescent="0.3">
      <c r="A1238" t="s">
        <v>1234</v>
      </c>
    </row>
    <row r="1239" spans="1:1" x14ac:dyDescent="0.3">
      <c r="A1239" t="s">
        <v>1235</v>
      </c>
    </row>
    <row r="1240" spans="1:1" x14ac:dyDescent="0.3">
      <c r="A1240" t="s">
        <v>1236</v>
      </c>
    </row>
    <row r="1241" spans="1:1" x14ac:dyDescent="0.3">
      <c r="A1241" t="s">
        <v>1237</v>
      </c>
    </row>
    <row r="1242" spans="1:1" x14ac:dyDescent="0.3">
      <c r="A1242" t="s">
        <v>1238</v>
      </c>
    </row>
    <row r="1243" spans="1:1" x14ac:dyDescent="0.3">
      <c r="A1243" t="s">
        <v>1239</v>
      </c>
    </row>
    <row r="1244" spans="1:1" x14ac:dyDescent="0.3">
      <c r="A1244" t="s">
        <v>1240</v>
      </c>
    </row>
    <row r="1245" spans="1:1" x14ac:dyDescent="0.3">
      <c r="A1245" t="s">
        <v>1241</v>
      </c>
    </row>
    <row r="1246" spans="1:1" x14ac:dyDescent="0.3">
      <c r="A1246" t="s">
        <v>1242</v>
      </c>
    </row>
    <row r="1247" spans="1:1" x14ac:dyDescent="0.3">
      <c r="A1247" t="s">
        <v>1243</v>
      </c>
    </row>
    <row r="1248" spans="1:1" x14ac:dyDescent="0.3">
      <c r="A1248" t="s">
        <v>1244</v>
      </c>
    </row>
    <row r="1249" spans="1:1" x14ac:dyDescent="0.3">
      <c r="A1249" t="s">
        <v>1245</v>
      </c>
    </row>
    <row r="1250" spans="1:1" x14ac:dyDescent="0.3">
      <c r="A1250" t="s">
        <v>1246</v>
      </c>
    </row>
    <row r="1251" spans="1:1" x14ac:dyDescent="0.3">
      <c r="A1251" t="s">
        <v>1247</v>
      </c>
    </row>
    <row r="1252" spans="1:1" x14ac:dyDescent="0.3">
      <c r="A1252" t="s">
        <v>1248</v>
      </c>
    </row>
    <row r="1253" spans="1:1" x14ac:dyDescent="0.3">
      <c r="A1253" t="s">
        <v>1249</v>
      </c>
    </row>
    <row r="1254" spans="1:1" x14ac:dyDescent="0.3">
      <c r="A1254" t="s">
        <v>1250</v>
      </c>
    </row>
    <row r="1255" spans="1:1" x14ac:dyDescent="0.3">
      <c r="A1255" t="s">
        <v>1251</v>
      </c>
    </row>
    <row r="1256" spans="1:1" x14ac:dyDescent="0.3">
      <c r="A1256" t="s">
        <v>1252</v>
      </c>
    </row>
    <row r="1257" spans="1:1" x14ac:dyDescent="0.3">
      <c r="A1257" t="s">
        <v>1253</v>
      </c>
    </row>
    <row r="1258" spans="1:1" x14ac:dyDescent="0.3">
      <c r="A1258" t="s">
        <v>1254</v>
      </c>
    </row>
    <row r="1259" spans="1:1" x14ac:dyDescent="0.3">
      <c r="A1259" t="s">
        <v>1255</v>
      </c>
    </row>
    <row r="1260" spans="1:1" x14ac:dyDescent="0.3">
      <c r="A1260" t="s">
        <v>1256</v>
      </c>
    </row>
    <row r="1261" spans="1:1" x14ac:dyDescent="0.3">
      <c r="A1261" t="s">
        <v>1257</v>
      </c>
    </row>
    <row r="1262" spans="1:1" x14ac:dyDescent="0.3">
      <c r="A1262" t="s">
        <v>1258</v>
      </c>
    </row>
    <row r="1263" spans="1:1" x14ac:dyDescent="0.3">
      <c r="A1263" t="s">
        <v>1259</v>
      </c>
    </row>
    <row r="1264" spans="1:1" x14ac:dyDescent="0.3">
      <c r="A1264" t="s">
        <v>1260</v>
      </c>
    </row>
    <row r="1265" spans="1:1" x14ac:dyDescent="0.3">
      <c r="A1265" t="s">
        <v>1261</v>
      </c>
    </row>
    <row r="1266" spans="1:1" x14ac:dyDescent="0.3">
      <c r="A1266" t="s">
        <v>1262</v>
      </c>
    </row>
    <row r="1267" spans="1:1" x14ac:dyDescent="0.3">
      <c r="A1267" t="s">
        <v>1263</v>
      </c>
    </row>
    <row r="1268" spans="1:1" x14ac:dyDescent="0.3">
      <c r="A1268" t="s">
        <v>1264</v>
      </c>
    </row>
    <row r="1269" spans="1:1" x14ac:dyDescent="0.3">
      <c r="A1269" t="s">
        <v>1265</v>
      </c>
    </row>
    <row r="1270" spans="1:1" x14ac:dyDescent="0.3">
      <c r="A1270" t="s">
        <v>1266</v>
      </c>
    </row>
    <row r="1271" spans="1:1" x14ac:dyDescent="0.3">
      <c r="A1271" t="s">
        <v>1267</v>
      </c>
    </row>
    <row r="1272" spans="1:1" x14ac:dyDescent="0.3">
      <c r="A1272" t="s">
        <v>1268</v>
      </c>
    </row>
    <row r="1273" spans="1:1" x14ac:dyDescent="0.3">
      <c r="A1273" t="s">
        <v>1269</v>
      </c>
    </row>
    <row r="1274" spans="1:1" x14ac:dyDescent="0.3">
      <c r="A1274" t="s">
        <v>1270</v>
      </c>
    </row>
    <row r="1275" spans="1:1" x14ac:dyDescent="0.3">
      <c r="A1275" t="s">
        <v>1271</v>
      </c>
    </row>
    <row r="1276" spans="1:1" x14ac:dyDescent="0.3">
      <c r="A1276" t="s">
        <v>1272</v>
      </c>
    </row>
    <row r="1277" spans="1:1" x14ac:dyDescent="0.3">
      <c r="A1277" t="s">
        <v>1273</v>
      </c>
    </row>
    <row r="1278" spans="1:1" x14ac:dyDescent="0.3">
      <c r="A1278" t="s">
        <v>1274</v>
      </c>
    </row>
    <row r="1279" spans="1:1" x14ac:dyDescent="0.3">
      <c r="A1279" t="s">
        <v>1275</v>
      </c>
    </row>
    <row r="1280" spans="1:1" x14ac:dyDescent="0.3">
      <c r="A1280" t="s">
        <v>1276</v>
      </c>
    </row>
    <row r="1281" spans="1:1" x14ac:dyDescent="0.3">
      <c r="A1281" t="s">
        <v>1277</v>
      </c>
    </row>
    <row r="1282" spans="1:1" x14ac:dyDescent="0.3">
      <c r="A1282" t="s">
        <v>1278</v>
      </c>
    </row>
    <row r="1283" spans="1:1" x14ac:dyDescent="0.3">
      <c r="A1283" t="s">
        <v>1279</v>
      </c>
    </row>
    <row r="1284" spans="1:1" x14ac:dyDescent="0.3">
      <c r="A1284" t="s">
        <v>1280</v>
      </c>
    </row>
    <row r="1285" spans="1:1" x14ac:dyDescent="0.3">
      <c r="A1285" t="s">
        <v>1281</v>
      </c>
    </row>
    <row r="1286" spans="1:1" x14ac:dyDescent="0.3">
      <c r="A1286" t="s">
        <v>1282</v>
      </c>
    </row>
    <row r="1287" spans="1:1" x14ac:dyDescent="0.3">
      <c r="A1287" t="s">
        <v>1283</v>
      </c>
    </row>
    <row r="1288" spans="1:1" x14ac:dyDescent="0.3">
      <c r="A1288" t="s">
        <v>1284</v>
      </c>
    </row>
    <row r="1289" spans="1:1" x14ac:dyDescent="0.3">
      <c r="A1289" t="s">
        <v>1285</v>
      </c>
    </row>
    <row r="1290" spans="1:1" x14ac:dyDescent="0.3">
      <c r="A1290" t="s">
        <v>1286</v>
      </c>
    </row>
    <row r="1291" spans="1:1" x14ac:dyDescent="0.3">
      <c r="A1291" t="s">
        <v>1287</v>
      </c>
    </row>
    <row r="1292" spans="1:1" x14ac:dyDescent="0.3">
      <c r="A1292" t="s">
        <v>1288</v>
      </c>
    </row>
    <row r="1293" spans="1:1" x14ac:dyDescent="0.3">
      <c r="A1293" t="s">
        <v>1289</v>
      </c>
    </row>
    <row r="1294" spans="1:1" x14ac:dyDescent="0.3">
      <c r="A1294" t="s">
        <v>1290</v>
      </c>
    </row>
    <row r="1295" spans="1:1" x14ac:dyDescent="0.3">
      <c r="A1295" t="s">
        <v>1291</v>
      </c>
    </row>
    <row r="1296" spans="1:1" x14ac:dyDescent="0.3">
      <c r="A1296" t="s">
        <v>1292</v>
      </c>
    </row>
    <row r="1297" spans="1:1" x14ac:dyDescent="0.3">
      <c r="A1297" t="s">
        <v>1293</v>
      </c>
    </row>
    <row r="1298" spans="1:1" x14ac:dyDescent="0.3">
      <c r="A1298" t="s">
        <v>1294</v>
      </c>
    </row>
    <row r="1299" spans="1:1" x14ac:dyDescent="0.3">
      <c r="A1299" t="s">
        <v>1295</v>
      </c>
    </row>
    <row r="1300" spans="1:1" x14ac:dyDescent="0.3">
      <c r="A1300" t="s">
        <v>1296</v>
      </c>
    </row>
    <row r="1301" spans="1:1" x14ac:dyDescent="0.3">
      <c r="A1301" t="s">
        <v>1297</v>
      </c>
    </row>
    <row r="1302" spans="1:1" x14ac:dyDescent="0.3">
      <c r="A1302" t="s">
        <v>1298</v>
      </c>
    </row>
    <row r="1303" spans="1:1" x14ac:dyDescent="0.3">
      <c r="A1303" t="s">
        <v>1299</v>
      </c>
    </row>
    <row r="1304" spans="1:1" x14ac:dyDescent="0.3">
      <c r="A1304" t="s">
        <v>1300</v>
      </c>
    </row>
    <row r="1305" spans="1:1" x14ac:dyDescent="0.3">
      <c r="A1305" t="s">
        <v>1301</v>
      </c>
    </row>
    <row r="1306" spans="1:1" x14ac:dyDescent="0.3">
      <c r="A1306" t="s">
        <v>1302</v>
      </c>
    </row>
    <row r="1307" spans="1:1" x14ac:dyDescent="0.3">
      <c r="A1307" t="s">
        <v>1303</v>
      </c>
    </row>
    <row r="1308" spans="1:1" x14ac:dyDescent="0.3">
      <c r="A1308" t="s">
        <v>1304</v>
      </c>
    </row>
    <row r="1309" spans="1:1" x14ac:dyDescent="0.3">
      <c r="A1309" t="s">
        <v>1305</v>
      </c>
    </row>
    <row r="1310" spans="1:1" x14ac:dyDescent="0.3">
      <c r="A1310" t="s">
        <v>1306</v>
      </c>
    </row>
    <row r="1311" spans="1:1" x14ac:dyDescent="0.3">
      <c r="A1311" t="s">
        <v>1307</v>
      </c>
    </row>
    <row r="1312" spans="1:1" x14ac:dyDescent="0.3">
      <c r="A1312" t="s">
        <v>1308</v>
      </c>
    </row>
    <row r="1313" spans="1:1" x14ac:dyDescent="0.3">
      <c r="A1313" t="s">
        <v>1309</v>
      </c>
    </row>
    <row r="1314" spans="1:1" x14ac:dyDescent="0.3">
      <c r="A1314" t="s">
        <v>1310</v>
      </c>
    </row>
    <row r="1315" spans="1:1" x14ac:dyDescent="0.3">
      <c r="A1315" t="s">
        <v>1311</v>
      </c>
    </row>
    <row r="1316" spans="1:1" x14ac:dyDescent="0.3">
      <c r="A1316" t="s">
        <v>1312</v>
      </c>
    </row>
    <row r="1317" spans="1:1" x14ac:dyDescent="0.3">
      <c r="A1317" t="s">
        <v>1313</v>
      </c>
    </row>
    <row r="1318" spans="1:1" x14ac:dyDescent="0.3">
      <c r="A1318" t="s">
        <v>1314</v>
      </c>
    </row>
    <row r="1319" spans="1:1" x14ac:dyDescent="0.3">
      <c r="A1319" t="s">
        <v>1315</v>
      </c>
    </row>
    <row r="1320" spans="1:1" x14ac:dyDescent="0.3">
      <c r="A1320" t="s">
        <v>1316</v>
      </c>
    </row>
    <row r="1321" spans="1:1" x14ac:dyDescent="0.3">
      <c r="A1321" t="s">
        <v>1317</v>
      </c>
    </row>
    <row r="1322" spans="1:1" x14ac:dyDescent="0.3">
      <c r="A1322" t="s">
        <v>1318</v>
      </c>
    </row>
    <row r="1323" spans="1:1" x14ac:dyDescent="0.3">
      <c r="A1323" t="s">
        <v>1319</v>
      </c>
    </row>
    <row r="1324" spans="1:1" x14ac:dyDescent="0.3">
      <c r="A1324" t="s">
        <v>1320</v>
      </c>
    </row>
    <row r="1325" spans="1:1" x14ac:dyDescent="0.3">
      <c r="A1325" t="s">
        <v>1321</v>
      </c>
    </row>
    <row r="1326" spans="1:1" x14ac:dyDescent="0.3">
      <c r="A1326" t="s">
        <v>1322</v>
      </c>
    </row>
    <row r="1327" spans="1:1" x14ac:dyDescent="0.3">
      <c r="A1327" t="s">
        <v>1323</v>
      </c>
    </row>
    <row r="1328" spans="1:1" x14ac:dyDescent="0.3">
      <c r="A1328" t="s">
        <v>1324</v>
      </c>
    </row>
    <row r="1329" spans="1:1" x14ac:dyDescent="0.3">
      <c r="A1329" t="s">
        <v>1325</v>
      </c>
    </row>
    <row r="1330" spans="1:1" x14ac:dyDescent="0.3">
      <c r="A1330" t="s">
        <v>1326</v>
      </c>
    </row>
    <row r="1331" spans="1:1" x14ac:dyDescent="0.3">
      <c r="A1331" t="s">
        <v>1327</v>
      </c>
    </row>
    <row r="1332" spans="1:1" x14ac:dyDescent="0.3">
      <c r="A1332" t="s">
        <v>1328</v>
      </c>
    </row>
    <row r="1333" spans="1:1" x14ac:dyDescent="0.3">
      <c r="A1333" t="s">
        <v>1329</v>
      </c>
    </row>
    <row r="1334" spans="1:1" x14ac:dyDescent="0.3">
      <c r="A1334" t="s">
        <v>1330</v>
      </c>
    </row>
    <row r="1335" spans="1:1" x14ac:dyDescent="0.3">
      <c r="A1335" t="s">
        <v>1331</v>
      </c>
    </row>
    <row r="1336" spans="1:1" x14ac:dyDescent="0.3">
      <c r="A1336" t="s">
        <v>1332</v>
      </c>
    </row>
    <row r="1337" spans="1:1" x14ac:dyDescent="0.3">
      <c r="A1337" t="s">
        <v>1333</v>
      </c>
    </row>
    <row r="1338" spans="1:1" x14ac:dyDescent="0.3">
      <c r="A1338" t="s">
        <v>1334</v>
      </c>
    </row>
    <row r="1339" spans="1:1" x14ac:dyDescent="0.3">
      <c r="A1339" t="s">
        <v>1335</v>
      </c>
    </row>
    <row r="1340" spans="1:1" x14ac:dyDescent="0.3">
      <c r="A1340" t="s">
        <v>1336</v>
      </c>
    </row>
    <row r="1341" spans="1:1" x14ac:dyDescent="0.3">
      <c r="A1341" t="s">
        <v>1337</v>
      </c>
    </row>
    <row r="1342" spans="1:1" x14ac:dyDescent="0.3">
      <c r="A1342" t="s">
        <v>1338</v>
      </c>
    </row>
    <row r="1343" spans="1:1" x14ac:dyDescent="0.3">
      <c r="A1343" t="s">
        <v>1339</v>
      </c>
    </row>
    <row r="1344" spans="1:1" x14ac:dyDescent="0.3">
      <c r="A1344" t="s">
        <v>1340</v>
      </c>
    </row>
    <row r="1345" spans="1:1" x14ac:dyDescent="0.3">
      <c r="A1345" t="s">
        <v>1341</v>
      </c>
    </row>
    <row r="1346" spans="1:1" x14ac:dyDescent="0.3">
      <c r="A1346" t="s">
        <v>1342</v>
      </c>
    </row>
    <row r="1347" spans="1:1" x14ac:dyDescent="0.3">
      <c r="A1347" t="s">
        <v>1343</v>
      </c>
    </row>
    <row r="1348" spans="1:1" x14ac:dyDescent="0.3">
      <c r="A1348" t="s">
        <v>1344</v>
      </c>
    </row>
    <row r="1349" spans="1:1" x14ac:dyDescent="0.3">
      <c r="A1349" t="s">
        <v>1345</v>
      </c>
    </row>
    <row r="1350" spans="1:1" x14ac:dyDescent="0.3">
      <c r="A1350" t="s">
        <v>1346</v>
      </c>
    </row>
    <row r="1351" spans="1:1" x14ac:dyDescent="0.3">
      <c r="A1351" t="s">
        <v>1347</v>
      </c>
    </row>
    <row r="1352" spans="1:1" x14ac:dyDescent="0.3">
      <c r="A1352" t="s">
        <v>1348</v>
      </c>
    </row>
    <row r="1353" spans="1:1" x14ac:dyDescent="0.3">
      <c r="A1353" t="s">
        <v>1349</v>
      </c>
    </row>
    <row r="1354" spans="1:1" x14ac:dyDescent="0.3">
      <c r="A1354" t="s">
        <v>1350</v>
      </c>
    </row>
    <row r="1355" spans="1:1" x14ac:dyDescent="0.3">
      <c r="A1355" t="s">
        <v>1351</v>
      </c>
    </row>
    <row r="1356" spans="1:1" x14ac:dyDescent="0.3">
      <c r="A1356" t="s">
        <v>1352</v>
      </c>
    </row>
    <row r="1357" spans="1:1" x14ac:dyDescent="0.3">
      <c r="A1357" t="s">
        <v>1353</v>
      </c>
    </row>
    <row r="1358" spans="1:1" x14ac:dyDescent="0.3">
      <c r="A1358" t="s">
        <v>1354</v>
      </c>
    </row>
    <row r="1359" spans="1:1" x14ac:dyDescent="0.3">
      <c r="A1359" t="s">
        <v>1355</v>
      </c>
    </row>
    <row r="1360" spans="1:1" x14ac:dyDescent="0.3">
      <c r="A1360" t="s">
        <v>1356</v>
      </c>
    </row>
    <row r="1361" spans="1:1" x14ac:dyDescent="0.3">
      <c r="A1361" t="s">
        <v>1357</v>
      </c>
    </row>
    <row r="1362" spans="1:1" x14ac:dyDescent="0.3">
      <c r="A1362" t="s">
        <v>1358</v>
      </c>
    </row>
    <row r="1363" spans="1:1" x14ac:dyDescent="0.3">
      <c r="A1363" t="s">
        <v>1359</v>
      </c>
    </row>
    <row r="1364" spans="1:1" x14ac:dyDescent="0.3">
      <c r="A1364" t="s">
        <v>1360</v>
      </c>
    </row>
    <row r="1365" spans="1:1" x14ac:dyDescent="0.3">
      <c r="A1365" t="s">
        <v>1361</v>
      </c>
    </row>
    <row r="1366" spans="1:1" x14ac:dyDescent="0.3">
      <c r="A1366" t="s">
        <v>1362</v>
      </c>
    </row>
    <row r="1367" spans="1:1" x14ac:dyDescent="0.3">
      <c r="A1367" t="s">
        <v>1363</v>
      </c>
    </row>
    <row r="1368" spans="1:1" x14ac:dyDescent="0.3">
      <c r="A1368" t="s">
        <v>1364</v>
      </c>
    </row>
    <row r="1369" spans="1:1" x14ac:dyDescent="0.3">
      <c r="A1369" t="s">
        <v>1365</v>
      </c>
    </row>
    <row r="1370" spans="1:1" x14ac:dyDescent="0.3">
      <c r="A1370" t="s">
        <v>1366</v>
      </c>
    </row>
    <row r="1371" spans="1:1" x14ac:dyDescent="0.3">
      <c r="A1371" t="s">
        <v>1367</v>
      </c>
    </row>
    <row r="1372" spans="1:1" x14ac:dyDescent="0.3">
      <c r="A1372" t="s">
        <v>1368</v>
      </c>
    </row>
    <row r="1373" spans="1:1" x14ac:dyDescent="0.3">
      <c r="A1373" t="s">
        <v>1369</v>
      </c>
    </row>
    <row r="1374" spans="1:1" x14ac:dyDescent="0.3">
      <c r="A1374" t="s">
        <v>1370</v>
      </c>
    </row>
    <row r="1375" spans="1:1" x14ac:dyDescent="0.3">
      <c r="A1375" t="s">
        <v>1371</v>
      </c>
    </row>
    <row r="1376" spans="1:1" x14ac:dyDescent="0.3">
      <c r="A1376" t="s">
        <v>1372</v>
      </c>
    </row>
    <row r="1377" spans="1:1" x14ac:dyDescent="0.3">
      <c r="A1377" t="s">
        <v>1373</v>
      </c>
    </row>
    <row r="1378" spans="1:1" x14ac:dyDescent="0.3">
      <c r="A1378" t="s">
        <v>1374</v>
      </c>
    </row>
    <row r="1379" spans="1:1" x14ac:dyDescent="0.3">
      <c r="A1379" t="s">
        <v>1375</v>
      </c>
    </row>
    <row r="1380" spans="1:1" x14ac:dyDescent="0.3">
      <c r="A1380" t="s">
        <v>1376</v>
      </c>
    </row>
    <row r="1381" spans="1:1" x14ac:dyDescent="0.3">
      <c r="A1381" t="s">
        <v>1377</v>
      </c>
    </row>
    <row r="1382" spans="1:1" x14ac:dyDescent="0.3">
      <c r="A1382" t="s">
        <v>1378</v>
      </c>
    </row>
    <row r="1383" spans="1:1" x14ac:dyDescent="0.3">
      <c r="A1383" t="s">
        <v>1379</v>
      </c>
    </row>
    <row r="1384" spans="1:1" x14ac:dyDescent="0.3">
      <c r="A1384" t="s">
        <v>1380</v>
      </c>
    </row>
    <row r="1385" spans="1:1" x14ac:dyDescent="0.3">
      <c r="A1385" t="s">
        <v>1381</v>
      </c>
    </row>
    <row r="1386" spans="1:1" x14ac:dyDescent="0.3">
      <c r="A1386" t="s">
        <v>1382</v>
      </c>
    </row>
    <row r="1387" spans="1:1" x14ac:dyDescent="0.3">
      <c r="A1387" t="s">
        <v>1383</v>
      </c>
    </row>
    <row r="1388" spans="1:1" x14ac:dyDescent="0.3">
      <c r="A1388" t="s">
        <v>1384</v>
      </c>
    </row>
    <row r="1389" spans="1:1" x14ac:dyDescent="0.3">
      <c r="A1389" t="s">
        <v>1385</v>
      </c>
    </row>
    <row r="1390" spans="1:1" x14ac:dyDescent="0.3">
      <c r="A1390" t="s">
        <v>1386</v>
      </c>
    </row>
    <row r="1391" spans="1:1" x14ac:dyDescent="0.3">
      <c r="A1391" t="s">
        <v>1387</v>
      </c>
    </row>
    <row r="1392" spans="1:1" x14ac:dyDescent="0.3">
      <c r="A1392" t="s">
        <v>1388</v>
      </c>
    </row>
    <row r="1393" spans="1:1" x14ac:dyDescent="0.3">
      <c r="A1393" t="s">
        <v>1389</v>
      </c>
    </row>
    <row r="1394" spans="1:1" x14ac:dyDescent="0.3">
      <c r="A1394" t="s">
        <v>1390</v>
      </c>
    </row>
    <row r="1395" spans="1:1" x14ac:dyDescent="0.3">
      <c r="A1395" t="s">
        <v>1391</v>
      </c>
    </row>
    <row r="1396" spans="1:1" x14ac:dyDescent="0.3">
      <c r="A1396" t="s">
        <v>1392</v>
      </c>
    </row>
    <row r="1397" spans="1:1" x14ac:dyDescent="0.3">
      <c r="A1397" t="s">
        <v>1393</v>
      </c>
    </row>
    <row r="1398" spans="1:1" x14ac:dyDescent="0.3">
      <c r="A1398" t="s">
        <v>1394</v>
      </c>
    </row>
    <row r="1399" spans="1:1" x14ac:dyDescent="0.3">
      <c r="A1399" t="s">
        <v>1395</v>
      </c>
    </row>
    <row r="1400" spans="1:1" x14ac:dyDescent="0.3">
      <c r="A1400" t="s">
        <v>1396</v>
      </c>
    </row>
    <row r="1401" spans="1:1" x14ac:dyDescent="0.3">
      <c r="A1401" t="s">
        <v>1397</v>
      </c>
    </row>
    <row r="1402" spans="1:1" x14ac:dyDescent="0.3">
      <c r="A1402" t="s">
        <v>1398</v>
      </c>
    </row>
    <row r="1403" spans="1:1" x14ac:dyDescent="0.3">
      <c r="A1403" t="s">
        <v>1399</v>
      </c>
    </row>
    <row r="1404" spans="1:1" x14ac:dyDescent="0.3">
      <c r="A1404" t="s">
        <v>1400</v>
      </c>
    </row>
    <row r="1405" spans="1:1" x14ac:dyDescent="0.3">
      <c r="A1405" t="s">
        <v>1401</v>
      </c>
    </row>
    <row r="1406" spans="1:1" x14ac:dyDescent="0.3">
      <c r="A1406" t="s">
        <v>1402</v>
      </c>
    </row>
    <row r="1407" spans="1:1" x14ac:dyDescent="0.3">
      <c r="A1407" t="s">
        <v>1403</v>
      </c>
    </row>
    <row r="1408" spans="1:1" x14ac:dyDescent="0.3">
      <c r="A1408" t="s">
        <v>1404</v>
      </c>
    </row>
    <row r="1409" spans="1:1" x14ac:dyDescent="0.3">
      <c r="A1409" t="s">
        <v>1405</v>
      </c>
    </row>
    <row r="1410" spans="1:1" x14ac:dyDescent="0.3">
      <c r="A1410" t="s">
        <v>1406</v>
      </c>
    </row>
    <row r="1411" spans="1:1" x14ac:dyDescent="0.3">
      <c r="A1411" t="s">
        <v>1407</v>
      </c>
    </row>
    <row r="1412" spans="1:1" x14ac:dyDescent="0.3">
      <c r="A1412" t="s">
        <v>1408</v>
      </c>
    </row>
    <row r="1413" spans="1:1" x14ac:dyDescent="0.3">
      <c r="A1413" t="s">
        <v>1409</v>
      </c>
    </row>
    <row r="1414" spans="1:1" x14ac:dyDescent="0.3">
      <c r="A1414" t="s">
        <v>1410</v>
      </c>
    </row>
    <row r="1415" spans="1:1" x14ac:dyDescent="0.3">
      <c r="A1415" t="s">
        <v>1411</v>
      </c>
    </row>
    <row r="1416" spans="1:1" x14ac:dyDescent="0.3">
      <c r="A1416" t="s">
        <v>1412</v>
      </c>
    </row>
    <row r="1417" spans="1:1" x14ac:dyDescent="0.3">
      <c r="A1417" t="s">
        <v>1413</v>
      </c>
    </row>
    <row r="1418" spans="1:1" x14ac:dyDescent="0.3">
      <c r="A1418" t="s">
        <v>1414</v>
      </c>
    </row>
    <row r="1419" spans="1:1" x14ac:dyDescent="0.3">
      <c r="A1419" t="s">
        <v>1415</v>
      </c>
    </row>
    <row r="1420" spans="1:1" x14ac:dyDescent="0.3">
      <c r="A1420" t="s">
        <v>1416</v>
      </c>
    </row>
    <row r="1421" spans="1:1" x14ac:dyDescent="0.3">
      <c r="A1421" t="s">
        <v>1417</v>
      </c>
    </row>
    <row r="1422" spans="1:1" x14ac:dyDescent="0.3">
      <c r="A1422" t="s">
        <v>1418</v>
      </c>
    </row>
    <row r="1423" spans="1:1" x14ac:dyDescent="0.3">
      <c r="A1423" t="s">
        <v>1419</v>
      </c>
    </row>
    <row r="1424" spans="1:1" x14ac:dyDescent="0.3">
      <c r="A1424" t="s">
        <v>1420</v>
      </c>
    </row>
    <row r="1425" spans="1:1" x14ac:dyDescent="0.3">
      <c r="A1425" t="s">
        <v>1421</v>
      </c>
    </row>
    <row r="1426" spans="1:1" x14ac:dyDescent="0.3">
      <c r="A1426" t="s">
        <v>1422</v>
      </c>
    </row>
    <row r="1427" spans="1:1" x14ac:dyDescent="0.3">
      <c r="A1427" t="s">
        <v>1423</v>
      </c>
    </row>
    <row r="1428" spans="1:1" x14ac:dyDescent="0.3">
      <c r="A1428" t="s">
        <v>1424</v>
      </c>
    </row>
    <row r="1429" spans="1:1" x14ac:dyDescent="0.3">
      <c r="A1429" t="s">
        <v>1425</v>
      </c>
    </row>
    <row r="1430" spans="1:1" x14ac:dyDescent="0.3">
      <c r="A1430" t="s">
        <v>1426</v>
      </c>
    </row>
    <row r="1431" spans="1:1" x14ac:dyDescent="0.3">
      <c r="A1431" t="s">
        <v>1427</v>
      </c>
    </row>
    <row r="1432" spans="1:1" x14ac:dyDescent="0.3">
      <c r="A1432" t="s">
        <v>1428</v>
      </c>
    </row>
    <row r="1433" spans="1:1" x14ac:dyDescent="0.3">
      <c r="A1433" t="s">
        <v>1429</v>
      </c>
    </row>
    <row r="1434" spans="1:1" x14ac:dyDescent="0.3">
      <c r="A1434" t="s">
        <v>1430</v>
      </c>
    </row>
    <row r="1435" spans="1:1" x14ac:dyDescent="0.3">
      <c r="A1435" t="s">
        <v>1431</v>
      </c>
    </row>
    <row r="1436" spans="1:1" x14ac:dyDescent="0.3">
      <c r="A1436" t="s">
        <v>1432</v>
      </c>
    </row>
    <row r="1437" spans="1:1" x14ac:dyDescent="0.3">
      <c r="A1437" t="s">
        <v>1433</v>
      </c>
    </row>
    <row r="1438" spans="1:1" x14ac:dyDescent="0.3">
      <c r="A1438" t="s">
        <v>1434</v>
      </c>
    </row>
    <row r="1439" spans="1:1" x14ac:dyDescent="0.3">
      <c r="A1439" t="s">
        <v>1435</v>
      </c>
    </row>
    <row r="1440" spans="1:1" x14ac:dyDescent="0.3">
      <c r="A1440" t="s">
        <v>1436</v>
      </c>
    </row>
    <row r="1441" spans="1:1" x14ac:dyDescent="0.3">
      <c r="A1441" t="s">
        <v>1437</v>
      </c>
    </row>
    <row r="1442" spans="1:1" x14ac:dyDescent="0.3">
      <c r="A1442" t="s">
        <v>1438</v>
      </c>
    </row>
    <row r="1443" spans="1:1" x14ac:dyDescent="0.3">
      <c r="A1443" t="s">
        <v>1439</v>
      </c>
    </row>
    <row r="1444" spans="1:1" x14ac:dyDescent="0.3">
      <c r="A1444" t="s">
        <v>1440</v>
      </c>
    </row>
    <row r="1445" spans="1:1" x14ac:dyDescent="0.3">
      <c r="A1445" t="s">
        <v>1441</v>
      </c>
    </row>
    <row r="1446" spans="1:1" x14ac:dyDescent="0.3">
      <c r="A1446" t="s">
        <v>1442</v>
      </c>
    </row>
    <row r="1447" spans="1:1" x14ac:dyDescent="0.3">
      <c r="A1447" t="s">
        <v>1443</v>
      </c>
    </row>
    <row r="1448" spans="1:1" x14ac:dyDescent="0.3">
      <c r="A1448" t="s">
        <v>1444</v>
      </c>
    </row>
    <row r="1449" spans="1:1" x14ac:dyDescent="0.3">
      <c r="A1449" t="s">
        <v>1445</v>
      </c>
    </row>
    <row r="1450" spans="1:1" x14ac:dyDescent="0.3">
      <c r="A1450" t="s">
        <v>1446</v>
      </c>
    </row>
    <row r="1451" spans="1:1" x14ac:dyDescent="0.3">
      <c r="A1451" t="s">
        <v>1447</v>
      </c>
    </row>
    <row r="1452" spans="1:1" x14ac:dyDescent="0.3">
      <c r="A1452" t="s">
        <v>1448</v>
      </c>
    </row>
    <row r="1453" spans="1:1" x14ac:dyDescent="0.3">
      <c r="A1453" t="s">
        <v>1449</v>
      </c>
    </row>
    <row r="1454" spans="1:1" x14ac:dyDescent="0.3">
      <c r="A1454" t="s">
        <v>1450</v>
      </c>
    </row>
    <row r="1455" spans="1:1" x14ac:dyDescent="0.3">
      <c r="A1455" t="s">
        <v>1451</v>
      </c>
    </row>
    <row r="1456" spans="1:1" x14ac:dyDescent="0.3">
      <c r="A1456" t="s">
        <v>1452</v>
      </c>
    </row>
    <row r="1457" spans="1:1" x14ac:dyDescent="0.3">
      <c r="A1457" t="s">
        <v>1453</v>
      </c>
    </row>
    <row r="1458" spans="1:1" x14ac:dyDescent="0.3">
      <c r="A1458" t="s">
        <v>1454</v>
      </c>
    </row>
    <row r="1459" spans="1:1" x14ac:dyDescent="0.3">
      <c r="A1459" t="s">
        <v>1455</v>
      </c>
    </row>
    <row r="1460" spans="1:1" x14ac:dyDescent="0.3">
      <c r="A1460" t="s">
        <v>1456</v>
      </c>
    </row>
    <row r="1461" spans="1:1" x14ac:dyDescent="0.3">
      <c r="A1461" t="s">
        <v>1457</v>
      </c>
    </row>
    <row r="1462" spans="1:1" x14ac:dyDescent="0.3">
      <c r="A1462" t="s">
        <v>1458</v>
      </c>
    </row>
    <row r="1463" spans="1:1" x14ac:dyDescent="0.3">
      <c r="A1463" t="s">
        <v>1459</v>
      </c>
    </row>
    <row r="1464" spans="1:1" x14ac:dyDescent="0.3">
      <c r="A1464" t="s">
        <v>1460</v>
      </c>
    </row>
    <row r="1465" spans="1:1" x14ac:dyDescent="0.3">
      <c r="A1465" t="s">
        <v>1461</v>
      </c>
    </row>
    <row r="1466" spans="1:1" x14ac:dyDescent="0.3">
      <c r="A1466" t="s">
        <v>1462</v>
      </c>
    </row>
    <row r="1467" spans="1:1" x14ac:dyDescent="0.3">
      <c r="A1467" t="s">
        <v>1463</v>
      </c>
    </row>
    <row r="1468" spans="1:1" x14ac:dyDescent="0.3">
      <c r="A1468" t="s">
        <v>1464</v>
      </c>
    </row>
    <row r="1469" spans="1:1" x14ac:dyDescent="0.3">
      <c r="A1469" t="s">
        <v>1465</v>
      </c>
    </row>
    <row r="1470" spans="1:1" x14ac:dyDescent="0.3">
      <c r="A1470" t="s">
        <v>1466</v>
      </c>
    </row>
    <row r="1471" spans="1:1" x14ac:dyDescent="0.3">
      <c r="A1471" t="s">
        <v>1467</v>
      </c>
    </row>
    <row r="1472" spans="1:1" x14ac:dyDescent="0.3">
      <c r="A1472" t="s">
        <v>1468</v>
      </c>
    </row>
    <row r="1473" spans="1:1" x14ac:dyDescent="0.3">
      <c r="A1473" t="s">
        <v>1469</v>
      </c>
    </row>
    <row r="1474" spans="1:1" x14ac:dyDescent="0.3">
      <c r="A1474" t="s">
        <v>1470</v>
      </c>
    </row>
    <row r="1475" spans="1:1" x14ac:dyDescent="0.3">
      <c r="A1475" t="s">
        <v>1471</v>
      </c>
    </row>
    <row r="1476" spans="1:1" x14ac:dyDescent="0.3">
      <c r="A1476" t="s">
        <v>1472</v>
      </c>
    </row>
    <row r="1477" spans="1:1" x14ac:dyDescent="0.3">
      <c r="A1477" t="s">
        <v>1473</v>
      </c>
    </row>
    <row r="1478" spans="1:1" x14ac:dyDescent="0.3">
      <c r="A1478" t="s">
        <v>1474</v>
      </c>
    </row>
    <row r="1479" spans="1:1" x14ac:dyDescent="0.3">
      <c r="A1479" t="s">
        <v>1475</v>
      </c>
    </row>
    <row r="1480" spans="1:1" x14ac:dyDescent="0.3">
      <c r="A1480" t="s">
        <v>1476</v>
      </c>
    </row>
    <row r="1481" spans="1:1" x14ac:dyDescent="0.3">
      <c r="A1481" t="s">
        <v>1477</v>
      </c>
    </row>
    <row r="1482" spans="1:1" x14ac:dyDescent="0.3">
      <c r="A1482" t="s">
        <v>1478</v>
      </c>
    </row>
    <row r="1483" spans="1:1" x14ac:dyDescent="0.3">
      <c r="A1483" t="s">
        <v>1479</v>
      </c>
    </row>
    <row r="1484" spans="1:1" x14ac:dyDescent="0.3">
      <c r="A1484" t="s">
        <v>1480</v>
      </c>
    </row>
    <row r="1485" spans="1:1" x14ac:dyDescent="0.3">
      <c r="A1485" t="s">
        <v>1481</v>
      </c>
    </row>
    <row r="1486" spans="1:1" x14ac:dyDescent="0.3">
      <c r="A1486" t="s">
        <v>1482</v>
      </c>
    </row>
    <row r="1487" spans="1:1" x14ac:dyDescent="0.3">
      <c r="A1487" t="s">
        <v>1483</v>
      </c>
    </row>
    <row r="1488" spans="1:1" x14ac:dyDescent="0.3">
      <c r="A1488" t="s">
        <v>1484</v>
      </c>
    </row>
    <row r="1489" spans="1:1" x14ac:dyDescent="0.3">
      <c r="A1489" t="s">
        <v>1485</v>
      </c>
    </row>
    <row r="1490" spans="1:1" x14ac:dyDescent="0.3">
      <c r="A1490" t="s">
        <v>1486</v>
      </c>
    </row>
    <row r="1491" spans="1:1" x14ac:dyDescent="0.3">
      <c r="A1491" t="s">
        <v>1487</v>
      </c>
    </row>
    <row r="1492" spans="1:1" x14ac:dyDescent="0.3">
      <c r="A1492" t="s">
        <v>1488</v>
      </c>
    </row>
    <row r="1493" spans="1:1" x14ac:dyDescent="0.3">
      <c r="A1493" t="s">
        <v>1489</v>
      </c>
    </row>
    <row r="1494" spans="1:1" x14ac:dyDescent="0.3">
      <c r="A1494" t="s">
        <v>1490</v>
      </c>
    </row>
    <row r="1495" spans="1:1" x14ac:dyDescent="0.3">
      <c r="A1495" t="s">
        <v>1491</v>
      </c>
    </row>
    <row r="1496" spans="1:1" x14ac:dyDescent="0.3">
      <c r="A1496" t="s">
        <v>1492</v>
      </c>
    </row>
    <row r="1497" spans="1:1" x14ac:dyDescent="0.3">
      <c r="A1497" t="s">
        <v>1493</v>
      </c>
    </row>
    <row r="1498" spans="1:1" x14ac:dyDescent="0.3">
      <c r="A1498" t="s">
        <v>1494</v>
      </c>
    </row>
    <row r="1499" spans="1:1" x14ac:dyDescent="0.3">
      <c r="A1499" t="s">
        <v>1495</v>
      </c>
    </row>
    <row r="1500" spans="1:1" x14ac:dyDescent="0.3">
      <c r="A1500" t="s">
        <v>1496</v>
      </c>
    </row>
    <row r="1501" spans="1:1" x14ac:dyDescent="0.3">
      <c r="A1501" t="s">
        <v>1497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4023C-1DC7-43F9-AF4C-325594C0811C}">
  <sheetPr codeName="Sheet3"/>
  <dimension ref="A1:N1501"/>
  <sheetViews>
    <sheetView workbookViewId="0">
      <selection sqref="A1:N1501"/>
    </sheetView>
  </sheetViews>
  <sheetFormatPr defaultRowHeight="14.4" x14ac:dyDescent="0.3"/>
  <cols>
    <col min="2" max="2" width="10.5546875" style="1" bestFit="1" customWidth="1"/>
    <col min="5" max="5" width="14.109375" bestFit="1" customWidth="1"/>
    <col min="7" max="7" width="13.33203125" bestFit="1" customWidth="1"/>
    <col min="8" max="8" width="9.88671875" bestFit="1" customWidth="1"/>
    <col min="9" max="9" width="9.77734375" bestFit="1" customWidth="1"/>
    <col min="10" max="10" width="13.88671875" bestFit="1" customWidth="1"/>
    <col min="11" max="11" width="15.6640625" bestFit="1" customWidth="1"/>
    <col min="12" max="12" width="8" style="2" bestFit="1" customWidth="1"/>
    <col min="13" max="13" width="12.44140625" style="10" bestFit="1" customWidth="1"/>
    <col min="14" max="14" width="12.109375" style="7" bestFit="1" customWidth="1"/>
  </cols>
  <sheetData>
    <row r="1" spans="1:14" x14ac:dyDescent="0.3">
      <c r="A1" s="3" t="s">
        <v>1498</v>
      </c>
      <c r="B1" s="4" t="s">
        <v>1499</v>
      </c>
      <c r="C1" s="3" t="s">
        <v>1500</v>
      </c>
      <c r="D1" s="3" t="s">
        <v>1501</v>
      </c>
      <c r="E1" s="3" t="s">
        <v>1539</v>
      </c>
      <c r="F1" s="3" t="s">
        <v>1502</v>
      </c>
      <c r="G1" s="3" t="s">
        <v>1503</v>
      </c>
      <c r="H1" s="3" t="s">
        <v>1504</v>
      </c>
      <c r="I1" s="3" t="s">
        <v>1505</v>
      </c>
      <c r="J1" s="3" t="s">
        <v>1506</v>
      </c>
      <c r="K1" s="3" t="s">
        <v>1507</v>
      </c>
      <c r="L1" s="5" t="s">
        <v>1508</v>
      </c>
      <c r="M1" s="9" t="s">
        <v>1509</v>
      </c>
      <c r="N1" s="6" t="s">
        <v>1510</v>
      </c>
    </row>
    <row r="2" spans="1:14" x14ac:dyDescent="0.3">
      <c r="A2">
        <v>1001</v>
      </c>
      <c r="B2" s="1">
        <v>45144</v>
      </c>
      <c r="C2">
        <v>2023</v>
      </c>
      <c r="D2">
        <v>8</v>
      </c>
      <c r="E2" t="str">
        <f>TEXT(DATE(2026, D2, 1), "[$-id-ID]mmmm")</f>
        <v>Agustus</v>
      </c>
      <c r="F2">
        <v>3</v>
      </c>
      <c r="G2" t="s">
        <v>1511</v>
      </c>
      <c r="H2" t="s">
        <v>1512</v>
      </c>
      <c r="I2" t="s">
        <v>1513</v>
      </c>
      <c r="J2" t="s">
        <v>1566</v>
      </c>
      <c r="K2" t="s">
        <v>1514</v>
      </c>
      <c r="L2" s="2">
        <v>2</v>
      </c>
      <c r="M2" s="10">
        <v>50353</v>
      </c>
      <c r="N2" s="7">
        <v>100706</v>
      </c>
    </row>
    <row r="3" spans="1:14" x14ac:dyDescent="0.3">
      <c r="A3">
        <v>1002</v>
      </c>
      <c r="B3" s="1">
        <v>44718</v>
      </c>
      <c r="C3">
        <v>2022</v>
      </c>
      <c r="D3">
        <v>6</v>
      </c>
      <c r="E3" t="str">
        <f t="shared" ref="E3:E66" si="0">TEXT(DATE(2026, D3, 1), "[$-id-ID]mmmm")</f>
        <v>Juni</v>
      </c>
      <c r="F3">
        <v>2</v>
      </c>
      <c r="G3" t="s">
        <v>1515</v>
      </c>
      <c r="H3" t="s">
        <v>1512</v>
      </c>
      <c r="I3" t="s">
        <v>1516</v>
      </c>
      <c r="J3" t="s">
        <v>1517</v>
      </c>
      <c r="K3" t="s">
        <v>1518</v>
      </c>
      <c r="L3" s="2">
        <v>2</v>
      </c>
      <c r="M3" s="10">
        <v>2008</v>
      </c>
      <c r="N3" s="7">
        <v>4016</v>
      </c>
    </row>
    <row r="4" spans="1:14" x14ac:dyDescent="0.3">
      <c r="A4">
        <v>1004</v>
      </c>
      <c r="B4" s="1">
        <v>45097</v>
      </c>
      <c r="C4">
        <v>2023</v>
      </c>
      <c r="D4">
        <v>6</v>
      </c>
      <c r="E4" t="str">
        <f t="shared" si="0"/>
        <v>Juni</v>
      </c>
      <c r="F4">
        <v>2</v>
      </c>
      <c r="G4" t="s">
        <v>1519</v>
      </c>
      <c r="H4" t="s">
        <v>1520</v>
      </c>
      <c r="I4" t="s">
        <v>1521</v>
      </c>
      <c r="J4" t="s">
        <v>1566</v>
      </c>
      <c r="K4" t="s">
        <v>1514</v>
      </c>
      <c r="L4" s="2">
        <v>2</v>
      </c>
      <c r="M4" s="10">
        <v>10072</v>
      </c>
      <c r="N4" s="7">
        <v>20144</v>
      </c>
    </row>
    <row r="5" spans="1:14" x14ac:dyDescent="0.3">
      <c r="A5">
        <v>1005</v>
      </c>
      <c r="B5" s="1">
        <v>45599</v>
      </c>
      <c r="C5">
        <v>2024</v>
      </c>
      <c r="D5">
        <v>11</v>
      </c>
      <c r="E5" t="str">
        <f t="shared" si="0"/>
        <v>November</v>
      </c>
      <c r="F5">
        <v>4</v>
      </c>
      <c r="G5" t="s">
        <v>1522</v>
      </c>
      <c r="H5" t="s">
        <v>1520</v>
      </c>
      <c r="I5" t="s">
        <v>1521</v>
      </c>
      <c r="J5" t="s">
        <v>1517</v>
      </c>
      <c r="K5" t="s">
        <v>1518</v>
      </c>
      <c r="L5" s="2">
        <v>2</v>
      </c>
      <c r="M5" s="10">
        <v>920</v>
      </c>
      <c r="N5" s="7">
        <v>1840</v>
      </c>
    </row>
    <row r="6" spans="1:14" x14ac:dyDescent="0.3">
      <c r="A6">
        <v>1005</v>
      </c>
      <c r="B6" s="1">
        <v>44939</v>
      </c>
      <c r="C6">
        <v>2023</v>
      </c>
      <c r="D6">
        <v>1</v>
      </c>
      <c r="E6" t="str">
        <f t="shared" si="0"/>
        <v>Januari</v>
      </c>
      <c r="F6">
        <v>1</v>
      </c>
      <c r="G6" t="s">
        <v>1522</v>
      </c>
      <c r="H6" t="s">
        <v>1520</v>
      </c>
      <c r="I6" t="s">
        <v>1521</v>
      </c>
      <c r="J6" t="s">
        <v>1517</v>
      </c>
      <c r="K6" t="s">
        <v>1518</v>
      </c>
      <c r="L6" s="2">
        <v>2</v>
      </c>
      <c r="M6" s="10">
        <v>920</v>
      </c>
      <c r="N6" s="7">
        <v>1840</v>
      </c>
    </row>
    <row r="7" spans="1:14" x14ac:dyDescent="0.3">
      <c r="A7">
        <v>1005</v>
      </c>
      <c r="B7" s="1">
        <v>45022</v>
      </c>
      <c r="C7">
        <v>2023</v>
      </c>
      <c r="D7">
        <v>4</v>
      </c>
      <c r="E7" t="str">
        <f t="shared" si="0"/>
        <v>April</v>
      </c>
      <c r="F7">
        <v>2</v>
      </c>
      <c r="G7" t="s">
        <v>1522</v>
      </c>
      <c r="H7" t="s">
        <v>1520</v>
      </c>
      <c r="I7" t="s">
        <v>1521</v>
      </c>
      <c r="J7" t="s">
        <v>1517</v>
      </c>
      <c r="K7" t="s">
        <v>1518</v>
      </c>
      <c r="L7" s="2">
        <v>2</v>
      </c>
      <c r="M7" s="10">
        <v>920</v>
      </c>
      <c r="N7" s="7">
        <v>1840</v>
      </c>
    </row>
    <row r="8" spans="1:14" x14ac:dyDescent="0.3">
      <c r="A8">
        <v>1006</v>
      </c>
      <c r="B8" s="1">
        <v>44735</v>
      </c>
      <c r="C8">
        <v>2022</v>
      </c>
      <c r="D8">
        <v>6</v>
      </c>
      <c r="E8" t="str">
        <f t="shared" si="0"/>
        <v>Juni</v>
      </c>
      <c r="F8">
        <v>2</v>
      </c>
      <c r="G8" t="s">
        <v>1523</v>
      </c>
      <c r="H8" t="s">
        <v>1512</v>
      </c>
      <c r="I8" t="s">
        <v>1516</v>
      </c>
      <c r="J8" t="s">
        <v>1524</v>
      </c>
      <c r="K8" t="s">
        <v>1525</v>
      </c>
      <c r="L8" s="2">
        <v>1</v>
      </c>
      <c r="M8" s="10">
        <v>13225</v>
      </c>
      <c r="N8" s="7">
        <v>13225</v>
      </c>
    </row>
    <row r="9" spans="1:14" x14ac:dyDescent="0.3">
      <c r="A9">
        <v>1006</v>
      </c>
      <c r="B9" s="1">
        <v>44996</v>
      </c>
      <c r="C9">
        <v>2023</v>
      </c>
      <c r="D9">
        <v>3</v>
      </c>
      <c r="E9" t="str">
        <f t="shared" si="0"/>
        <v>Maret</v>
      </c>
      <c r="F9">
        <v>1</v>
      </c>
      <c r="G9" t="s">
        <v>1523</v>
      </c>
      <c r="H9" t="s">
        <v>1512</v>
      </c>
      <c r="I9" t="s">
        <v>1516</v>
      </c>
      <c r="J9" t="s">
        <v>1524</v>
      </c>
      <c r="K9" t="s">
        <v>1525</v>
      </c>
      <c r="L9" s="2">
        <v>1</v>
      </c>
      <c r="M9" s="10">
        <v>13225</v>
      </c>
      <c r="N9" s="7">
        <v>13225</v>
      </c>
    </row>
    <row r="10" spans="1:14" x14ac:dyDescent="0.3">
      <c r="A10">
        <v>1006</v>
      </c>
      <c r="B10" s="1">
        <v>45578</v>
      </c>
      <c r="C10">
        <v>2024</v>
      </c>
      <c r="D10">
        <v>10</v>
      </c>
      <c r="E10" t="str">
        <f t="shared" si="0"/>
        <v>Oktober</v>
      </c>
      <c r="F10">
        <v>4</v>
      </c>
      <c r="G10" t="s">
        <v>1523</v>
      </c>
      <c r="H10" t="s">
        <v>1512</v>
      </c>
      <c r="I10" t="s">
        <v>1516</v>
      </c>
      <c r="J10" t="s">
        <v>1524</v>
      </c>
      <c r="K10" t="s">
        <v>1525</v>
      </c>
      <c r="L10" s="2">
        <v>1</v>
      </c>
      <c r="M10" s="10">
        <v>13225</v>
      </c>
      <c r="N10" s="7">
        <v>13225</v>
      </c>
    </row>
    <row r="11" spans="1:14" x14ac:dyDescent="0.3">
      <c r="A11">
        <v>1006</v>
      </c>
      <c r="B11" s="1">
        <v>45278</v>
      </c>
      <c r="C11">
        <v>2023</v>
      </c>
      <c r="D11">
        <v>12</v>
      </c>
      <c r="E11" t="str">
        <f t="shared" si="0"/>
        <v>Desember</v>
      </c>
      <c r="F11">
        <v>4</v>
      </c>
      <c r="G11" t="s">
        <v>1523</v>
      </c>
      <c r="H11" t="s">
        <v>1512</v>
      </c>
      <c r="I11" t="s">
        <v>1516</v>
      </c>
      <c r="J11" t="s">
        <v>1524</v>
      </c>
      <c r="K11" t="s">
        <v>1525</v>
      </c>
      <c r="L11" s="2">
        <v>1</v>
      </c>
      <c r="M11" s="10">
        <v>13225</v>
      </c>
      <c r="N11" s="7">
        <v>13225</v>
      </c>
    </row>
    <row r="12" spans="1:14" x14ac:dyDescent="0.3">
      <c r="A12">
        <v>1007</v>
      </c>
      <c r="B12" s="1">
        <v>44947</v>
      </c>
      <c r="C12">
        <v>2023</v>
      </c>
      <c r="D12">
        <v>1</v>
      </c>
      <c r="E12" t="str">
        <f t="shared" si="0"/>
        <v>Januari</v>
      </c>
      <c r="F12">
        <v>1</v>
      </c>
      <c r="G12" t="s">
        <v>1526</v>
      </c>
      <c r="H12" t="s">
        <v>1527</v>
      </c>
      <c r="I12" t="s">
        <v>1528</v>
      </c>
      <c r="J12" t="s">
        <v>1566</v>
      </c>
      <c r="K12" t="s">
        <v>1518</v>
      </c>
      <c r="L12" s="2">
        <v>3</v>
      </c>
      <c r="M12" s="10">
        <v>621</v>
      </c>
      <c r="N12" s="7">
        <v>1863</v>
      </c>
    </row>
    <row r="13" spans="1:14" x14ac:dyDescent="0.3">
      <c r="A13">
        <v>1008</v>
      </c>
      <c r="B13" s="1">
        <v>45144</v>
      </c>
      <c r="C13">
        <v>2023</v>
      </c>
      <c r="D13">
        <v>8</v>
      </c>
      <c r="E13" t="str">
        <f t="shared" si="0"/>
        <v>Agustus</v>
      </c>
      <c r="F13">
        <v>3</v>
      </c>
      <c r="G13" t="s">
        <v>1529</v>
      </c>
      <c r="H13" t="s">
        <v>1530</v>
      </c>
      <c r="I13" t="s">
        <v>1531</v>
      </c>
      <c r="J13" t="s">
        <v>1517</v>
      </c>
      <c r="K13" t="s">
        <v>1525</v>
      </c>
      <c r="L13" s="2">
        <v>2</v>
      </c>
      <c r="M13" s="10">
        <v>905</v>
      </c>
      <c r="N13" s="7">
        <v>1810</v>
      </c>
    </row>
    <row r="14" spans="1:14" x14ac:dyDescent="0.3">
      <c r="A14">
        <v>1008</v>
      </c>
      <c r="B14" s="1">
        <v>45075</v>
      </c>
      <c r="C14">
        <v>2023</v>
      </c>
      <c r="D14">
        <v>5</v>
      </c>
      <c r="E14" t="str">
        <f t="shared" si="0"/>
        <v>Mei</v>
      </c>
      <c r="F14">
        <v>2</v>
      </c>
      <c r="G14" t="s">
        <v>1529</v>
      </c>
      <c r="H14" t="s">
        <v>1530</v>
      </c>
      <c r="I14" t="s">
        <v>1531</v>
      </c>
      <c r="J14" t="s">
        <v>1517</v>
      </c>
      <c r="K14" t="s">
        <v>1525</v>
      </c>
      <c r="L14" s="2">
        <v>2</v>
      </c>
      <c r="M14" s="10">
        <v>905</v>
      </c>
      <c r="N14" s="7">
        <v>1810</v>
      </c>
    </row>
    <row r="15" spans="1:14" x14ac:dyDescent="0.3">
      <c r="A15">
        <v>1008</v>
      </c>
      <c r="B15" s="1">
        <v>45274</v>
      </c>
      <c r="C15">
        <v>2023</v>
      </c>
      <c r="D15">
        <v>12</v>
      </c>
      <c r="E15" t="str">
        <f t="shared" si="0"/>
        <v>Desember</v>
      </c>
      <c r="F15">
        <v>4</v>
      </c>
      <c r="G15" t="s">
        <v>1529</v>
      </c>
      <c r="H15" t="s">
        <v>1530</v>
      </c>
      <c r="I15" t="s">
        <v>1531</v>
      </c>
      <c r="J15" t="s">
        <v>1517</v>
      </c>
      <c r="K15" t="s">
        <v>1525</v>
      </c>
      <c r="L15" s="2">
        <v>2</v>
      </c>
      <c r="M15" s="10">
        <v>905</v>
      </c>
      <c r="N15" s="7">
        <v>1810</v>
      </c>
    </row>
    <row r="16" spans="1:14" x14ac:dyDescent="0.3">
      <c r="A16">
        <v>1008</v>
      </c>
      <c r="B16" s="1">
        <v>45581</v>
      </c>
      <c r="C16">
        <v>2024</v>
      </c>
      <c r="D16">
        <v>10</v>
      </c>
      <c r="E16" t="str">
        <f t="shared" si="0"/>
        <v>Oktober</v>
      </c>
      <c r="F16">
        <v>4</v>
      </c>
      <c r="G16" t="s">
        <v>1529</v>
      </c>
      <c r="H16" t="s">
        <v>1530</v>
      </c>
      <c r="I16" t="s">
        <v>1531</v>
      </c>
      <c r="J16" t="s">
        <v>1517</v>
      </c>
      <c r="K16" t="s">
        <v>1525</v>
      </c>
      <c r="L16" s="2">
        <v>2</v>
      </c>
      <c r="M16" s="10">
        <v>905</v>
      </c>
      <c r="N16" s="7">
        <v>1810</v>
      </c>
    </row>
    <row r="17" spans="1:14" x14ac:dyDescent="0.3">
      <c r="A17">
        <v>1009</v>
      </c>
      <c r="B17" s="1">
        <v>44686</v>
      </c>
      <c r="C17">
        <v>2022</v>
      </c>
      <c r="D17">
        <v>5</v>
      </c>
      <c r="E17" t="str">
        <f t="shared" si="0"/>
        <v>Mei</v>
      </c>
      <c r="F17">
        <v>2</v>
      </c>
      <c r="G17" t="s">
        <v>1532</v>
      </c>
      <c r="H17" t="s">
        <v>1512</v>
      </c>
      <c r="I17" t="s">
        <v>1528</v>
      </c>
      <c r="J17" t="s">
        <v>1524</v>
      </c>
      <c r="K17" t="s">
        <v>1514</v>
      </c>
      <c r="L17" s="2">
        <v>1</v>
      </c>
      <c r="M17" s="10">
        <v>8563</v>
      </c>
      <c r="N17" s="7">
        <v>8563</v>
      </c>
    </row>
    <row r="18" spans="1:14" x14ac:dyDescent="0.3">
      <c r="A18">
        <v>1009</v>
      </c>
      <c r="B18" s="1">
        <v>44944</v>
      </c>
      <c r="C18">
        <v>2023</v>
      </c>
      <c r="D18">
        <v>1</v>
      </c>
      <c r="E18" t="str">
        <f t="shared" si="0"/>
        <v>Januari</v>
      </c>
      <c r="F18">
        <v>1</v>
      </c>
      <c r="G18" t="s">
        <v>1532</v>
      </c>
      <c r="H18" t="s">
        <v>1512</v>
      </c>
      <c r="I18" t="s">
        <v>1528</v>
      </c>
      <c r="J18" t="s">
        <v>1524</v>
      </c>
      <c r="K18" t="s">
        <v>1514</v>
      </c>
      <c r="L18" s="2">
        <v>1</v>
      </c>
      <c r="M18" s="10">
        <v>8563</v>
      </c>
      <c r="N18" s="7">
        <v>8563</v>
      </c>
    </row>
    <row r="19" spans="1:14" x14ac:dyDescent="0.3">
      <c r="A19">
        <v>1009</v>
      </c>
      <c r="B19" s="1">
        <v>44914</v>
      </c>
      <c r="C19">
        <v>2022</v>
      </c>
      <c r="D19">
        <v>12</v>
      </c>
      <c r="E19" t="str">
        <f t="shared" si="0"/>
        <v>Desember</v>
      </c>
      <c r="F19">
        <v>4</v>
      </c>
      <c r="G19" t="s">
        <v>1532</v>
      </c>
      <c r="H19" t="s">
        <v>1512</v>
      </c>
      <c r="I19" t="s">
        <v>1528</v>
      </c>
      <c r="J19" t="s">
        <v>1524</v>
      </c>
      <c r="K19" t="s">
        <v>1514</v>
      </c>
      <c r="L19" s="2">
        <v>1</v>
      </c>
      <c r="M19" s="10">
        <v>8563</v>
      </c>
      <c r="N19" s="7">
        <v>8563</v>
      </c>
    </row>
    <row r="20" spans="1:14" x14ac:dyDescent="0.3">
      <c r="A20">
        <v>1010</v>
      </c>
      <c r="B20" s="1">
        <v>45130</v>
      </c>
      <c r="C20">
        <v>2023</v>
      </c>
      <c r="D20">
        <v>7</v>
      </c>
      <c r="E20" t="str">
        <f t="shared" si="0"/>
        <v>Juli</v>
      </c>
      <c r="F20">
        <v>3</v>
      </c>
      <c r="G20" t="s">
        <v>1533</v>
      </c>
      <c r="H20" t="s">
        <v>1520</v>
      </c>
      <c r="I20" t="s">
        <v>1513</v>
      </c>
      <c r="J20" t="s">
        <v>1517</v>
      </c>
      <c r="K20" t="s">
        <v>1518</v>
      </c>
      <c r="L20" s="2">
        <v>1</v>
      </c>
      <c r="M20" s="10">
        <v>268</v>
      </c>
      <c r="N20" s="7">
        <v>268</v>
      </c>
    </row>
    <row r="21" spans="1:14" x14ac:dyDescent="0.3">
      <c r="A21">
        <v>1010</v>
      </c>
      <c r="B21" s="1">
        <v>45169</v>
      </c>
      <c r="C21">
        <v>2023</v>
      </c>
      <c r="D21">
        <v>8</v>
      </c>
      <c r="E21" t="str">
        <f t="shared" si="0"/>
        <v>Agustus</v>
      </c>
      <c r="F21">
        <v>3</v>
      </c>
      <c r="G21" t="s">
        <v>1533</v>
      </c>
      <c r="H21" t="s">
        <v>1520</v>
      </c>
      <c r="I21" t="s">
        <v>1513</v>
      </c>
      <c r="J21" t="s">
        <v>1517</v>
      </c>
      <c r="K21" t="s">
        <v>1518</v>
      </c>
      <c r="L21" s="2">
        <v>1</v>
      </c>
      <c r="M21" s="10">
        <v>268</v>
      </c>
      <c r="N21" s="7">
        <v>268</v>
      </c>
    </row>
    <row r="22" spans="1:14" x14ac:dyDescent="0.3">
      <c r="A22">
        <v>1010</v>
      </c>
      <c r="B22" s="1">
        <v>45038</v>
      </c>
      <c r="C22">
        <v>2023</v>
      </c>
      <c r="D22">
        <v>4</v>
      </c>
      <c r="E22" t="str">
        <f t="shared" si="0"/>
        <v>April</v>
      </c>
      <c r="F22">
        <v>2</v>
      </c>
      <c r="G22" t="s">
        <v>1533</v>
      </c>
      <c r="H22" t="s">
        <v>1520</v>
      </c>
      <c r="I22" t="s">
        <v>1513</v>
      </c>
      <c r="J22" t="s">
        <v>1517</v>
      </c>
      <c r="K22" t="s">
        <v>1518</v>
      </c>
      <c r="L22" s="2">
        <v>1</v>
      </c>
      <c r="M22" s="10">
        <v>268</v>
      </c>
      <c r="N22" s="7">
        <v>268</v>
      </c>
    </row>
    <row r="23" spans="1:14" x14ac:dyDescent="0.3">
      <c r="A23">
        <v>1010</v>
      </c>
      <c r="B23" s="1">
        <v>45151</v>
      </c>
      <c r="C23">
        <v>2023</v>
      </c>
      <c r="D23">
        <v>8</v>
      </c>
      <c r="E23" t="str">
        <f t="shared" si="0"/>
        <v>Agustus</v>
      </c>
      <c r="F23">
        <v>3</v>
      </c>
      <c r="G23" t="s">
        <v>1533</v>
      </c>
      <c r="H23" t="s">
        <v>1520</v>
      </c>
      <c r="I23" t="s">
        <v>1513</v>
      </c>
      <c r="J23" t="s">
        <v>1517</v>
      </c>
      <c r="K23" t="s">
        <v>1518</v>
      </c>
      <c r="L23" s="2">
        <v>1</v>
      </c>
      <c r="M23" s="10">
        <v>268</v>
      </c>
      <c r="N23" s="7">
        <v>268</v>
      </c>
    </row>
    <row r="24" spans="1:14" x14ac:dyDescent="0.3">
      <c r="A24">
        <v>1011</v>
      </c>
      <c r="B24" s="1">
        <v>44796</v>
      </c>
      <c r="C24">
        <v>2022</v>
      </c>
      <c r="D24">
        <v>8</v>
      </c>
      <c r="E24" t="str">
        <f t="shared" si="0"/>
        <v>Agustus</v>
      </c>
      <c r="F24">
        <v>3</v>
      </c>
      <c r="G24" t="s">
        <v>1511</v>
      </c>
      <c r="H24" t="s">
        <v>1512</v>
      </c>
      <c r="I24" t="s">
        <v>1528</v>
      </c>
      <c r="J24" t="s">
        <v>1524</v>
      </c>
      <c r="K24" t="s">
        <v>1514</v>
      </c>
      <c r="L24" s="2">
        <v>2</v>
      </c>
      <c r="M24" s="10">
        <v>54018</v>
      </c>
      <c r="N24" s="7">
        <v>108036</v>
      </c>
    </row>
    <row r="25" spans="1:14" x14ac:dyDescent="0.3">
      <c r="A25">
        <v>1011</v>
      </c>
      <c r="B25" s="1">
        <v>44672</v>
      </c>
      <c r="C25">
        <v>2022</v>
      </c>
      <c r="D25">
        <v>4</v>
      </c>
      <c r="E25" t="str">
        <f t="shared" si="0"/>
        <v>April</v>
      </c>
      <c r="F25">
        <v>2</v>
      </c>
      <c r="G25" t="s">
        <v>1511</v>
      </c>
      <c r="H25" t="s">
        <v>1512</v>
      </c>
      <c r="I25" t="s">
        <v>1528</v>
      </c>
      <c r="J25" t="s">
        <v>1524</v>
      </c>
      <c r="K25" t="s">
        <v>1514</v>
      </c>
      <c r="L25" s="2">
        <v>2</v>
      </c>
      <c r="M25" s="10">
        <v>54018</v>
      </c>
      <c r="N25" s="7">
        <v>108036</v>
      </c>
    </row>
    <row r="26" spans="1:14" x14ac:dyDescent="0.3">
      <c r="A26">
        <v>1011</v>
      </c>
      <c r="B26" s="1">
        <v>44990</v>
      </c>
      <c r="C26">
        <v>2023</v>
      </c>
      <c r="D26">
        <v>3</v>
      </c>
      <c r="E26" t="str">
        <f t="shared" si="0"/>
        <v>Maret</v>
      </c>
      <c r="F26">
        <v>1</v>
      </c>
      <c r="G26" t="s">
        <v>1511</v>
      </c>
      <c r="H26" t="s">
        <v>1512</v>
      </c>
      <c r="I26" t="s">
        <v>1528</v>
      </c>
      <c r="J26" t="s">
        <v>1524</v>
      </c>
      <c r="K26" t="s">
        <v>1514</v>
      </c>
      <c r="L26" s="2">
        <v>2</v>
      </c>
      <c r="M26" s="10">
        <v>54018</v>
      </c>
      <c r="N26" s="7">
        <v>108036</v>
      </c>
    </row>
    <row r="27" spans="1:14" x14ac:dyDescent="0.3">
      <c r="A27">
        <v>1011</v>
      </c>
      <c r="B27" s="1">
        <v>44654</v>
      </c>
      <c r="C27">
        <v>2022</v>
      </c>
      <c r="D27">
        <v>4</v>
      </c>
      <c r="E27" t="str">
        <f t="shared" si="0"/>
        <v>April</v>
      </c>
      <c r="F27">
        <v>2</v>
      </c>
      <c r="G27" t="s">
        <v>1511</v>
      </c>
      <c r="H27" t="s">
        <v>1512</v>
      </c>
      <c r="I27" t="s">
        <v>1528</v>
      </c>
      <c r="J27" t="s">
        <v>1524</v>
      </c>
      <c r="K27" t="s">
        <v>1514</v>
      </c>
      <c r="L27" s="2">
        <v>2</v>
      </c>
      <c r="M27" s="10">
        <v>54018</v>
      </c>
      <c r="N27" s="7">
        <v>108036</v>
      </c>
    </row>
    <row r="28" spans="1:14" x14ac:dyDescent="0.3">
      <c r="A28">
        <v>1012</v>
      </c>
      <c r="B28" s="1">
        <v>44772</v>
      </c>
      <c r="C28">
        <v>2022</v>
      </c>
      <c r="D28">
        <v>7</v>
      </c>
      <c r="E28" t="str">
        <f t="shared" si="0"/>
        <v>Juli</v>
      </c>
      <c r="F28">
        <v>3</v>
      </c>
      <c r="G28" t="s">
        <v>1515</v>
      </c>
      <c r="H28" t="s">
        <v>1512</v>
      </c>
      <c r="I28" t="s">
        <v>1516</v>
      </c>
      <c r="J28" t="s">
        <v>1524</v>
      </c>
      <c r="K28" t="s">
        <v>1518</v>
      </c>
      <c r="L28" s="2">
        <v>3</v>
      </c>
      <c r="M28" s="10">
        <v>4762</v>
      </c>
      <c r="N28" s="7">
        <v>14286</v>
      </c>
    </row>
    <row r="29" spans="1:14" x14ac:dyDescent="0.3">
      <c r="A29">
        <v>1013</v>
      </c>
      <c r="B29" s="1">
        <v>45171</v>
      </c>
      <c r="C29">
        <v>2023</v>
      </c>
      <c r="D29">
        <v>9</v>
      </c>
      <c r="E29" t="str">
        <f t="shared" si="0"/>
        <v>September</v>
      </c>
      <c r="F29">
        <v>3</v>
      </c>
      <c r="G29" t="s">
        <v>1534</v>
      </c>
      <c r="H29" t="s">
        <v>1530</v>
      </c>
      <c r="I29" t="s">
        <v>1521</v>
      </c>
      <c r="J29" t="s">
        <v>1524</v>
      </c>
      <c r="K29" t="s">
        <v>1525</v>
      </c>
      <c r="L29" s="2">
        <v>2</v>
      </c>
      <c r="M29" s="10">
        <v>4880</v>
      </c>
      <c r="N29" s="7">
        <v>9760</v>
      </c>
    </row>
    <row r="30" spans="1:14" x14ac:dyDescent="0.3">
      <c r="A30">
        <v>1013</v>
      </c>
      <c r="B30" s="1">
        <v>45172</v>
      </c>
      <c r="C30">
        <v>2023</v>
      </c>
      <c r="D30">
        <v>9</v>
      </c>
      <c r="E30" t="str">
        <f t="shared" si="0"/>
        <v>September</v>
      </c>
      <c r="F30">
        <v>3</v>
      </c>
      <c r="G30" t="s">
        <v>1534</v>
      </c>
      <c r="H30" t="s">
        <v>1530</v>
      </c>
      <c r="I30" t="s">
        <v>1521</v>
      </c>
      <c r="J30" t="s">
        <v>1524</v>
      </c>
      <c r="K30" t="s">
        <v>1525</v>
      </c>
      <c r="L30" s="2">
        <v>2</v>
      </c>
      <c r="M30" s="10">
        <v>4880</v>
      </c>
      <c r="N30" s="7">
        <v>9760</v>
      </c>
    </row>
    <row r="31" spans="1:14" x14ac:dyDescent="0.3">
      <c r="A31">
        <v>1013</v>
      </c>
      <c r="B31" s="1">
        <v>44996</v>
      </c>
      <c r="C31">
        <v>2023</v>
      </c>
      <c r="D31">
        <v>3</v>
      </c>
      <c r="E31" t="str">
        <f t="shared" si="0"/>
        <v>Maret</v>
      </c>
      <c r="F31">
        <v>1</v>
      </c>
      <c r="G31" t="s">
        <v>1534</v>
      </c>
      <c r="H31" t="s">
        <v>1530</v>
      </c>
      <c r="I31" t="s">
        <v>1521</v>
      </c>
      <c r="J31" t="s">
        <v>1524</v>
      </c>
      <c r="K31" t="s">
        <v>1525</v>
      </c>
      <c r="L31" s="2">
        <v>2</v>
      </c>
      <c r="M31" s="10">
        <v>4880</v>
      </c>
      <c r="N31" s="7">
        <v>9760</v>
      </c>
    </row>
    <row r="32" spans="1:14" x14ac:dyDescent="0.3">
      <c r="A32">
        <v>1014</v>
      </c>
      <c r="B32" s="1">
        <v>44808</v>
      </c>
      <c r="C32">
        <v>2022</v>
      </c>
      <c r="D32">
        <v>9</v>
      </c>
      <c r="E32" t="str">
        <f t="shared" si="0"/>
        <v>September</v>
      </c>
      <c r="F32">
        <v>3</v>
      </c>
      <c r="G32" t="s">
        <v>1519</v>
      </c>
      <c r="H32" t="s">
        <v>1520</v>
      </c>
      <c r="I32" t="s">
        <v>1513</v>
      </c>
      <c r="J32" t="s">
        <v>1524</v>
      </c>
      <c r="K32" t="s">
        <v>1514</v>
      </c>
      <c r="L32" s="2">
        <v>1</v>
      </c>
      <c r="M32" s="10">
        <v>8508</v>
      </c>
      <c r="N32" s="7">
        <v>8508</v>
      </c>
    </row>
    <row r="33" spans="1:14" x14ac:dyDescent="0.3">
      <c r="A33">
        <v>1014</v>
      </c>
      <c r="B33" s="1">
        <v>45628</v>
      </c>
      <c r="C33">
        <v>2024</v>
      </c>
      <c r="D33">
        <v>12</v>
      </c>
      <c r="E33" t="str">
        <f t="shared" si="0"/>
        <v>Desember</v>
      </c>
      <c r="F33">
        <v>4</v>
      </c>
      <c r="G33" t="s">
        <v>1519</v>
      </c>
      <c r="H33" t="s">
        <v>1520</v>
      </c>
      <c r="I33" t="s">
        <v>1513</v>
      </c>
      <c r="J33" t="s">
        <v>1524</v>
      </c>
      <c r="K33" t="s">
        <v>1514</v>
      </c>
      <c r="L33" s="2">
        <v>1</v>
      </c>
      <c r="M33" s="10">
        <v>8508</v>
      </c>
      <c r="N33" s="7">
        <v>8508</v>
      </c>
    </row>
    <row r="34" spans="1:14" x14ac:dyDescent="0.3">
      <c r="A34">
        <v>1014</v>
      </c>
      <c r="B34" s="1">
        <v>44979</v>
      </c>
      <c r="C34">
        <v>2023</v>
      </c>
      <c r="D34">
        <v>2</v>
      </c>
      <c r="E34" t="str">
        <f t="shared" si="0"/>
        <v>Februari</v>
      </c>
      <c r="F34">
        <v>1</v>
      </c>
      <c r="G34" t="s">
        <v>1519</v>
      </c>
      <c r="H34" t="s">
        <v>1520</v>
      </c>
      <c r="I34" t="s">
        <v>1513</v>
      </c>
      <c r="J34" t="s">
        <v>1524</v>
      </c>
      <c r="K34" t="s">
        <v>1514</v>
      </c>
      <c r="L34" s="2">
        <v>1</v>
      </c>
      <c r="M34" s="10">
        <v>8508</v>
      </c>
      <c r="N34" s="7">
        <v>8508</v>
      </c>
    </row>
    <row r="35" spans="1:14" x14ac:dyDescent="0.3">
      <c r="A35">
        <v>1015</v>
      </c>
      <c r="B35" s="1">
        <v>44879</v>
      </c>
      <c r="C35">
        <v>2022</v>
      </c>
      <c r="D35">
        <v>11</v>
      </c>
      <c r="E35" t="str">
        <f t="shared" si="0"/>
        <v>November</v>
      </c>
      <c r="F35">
        <v>4</v>
      </c>
      <c r="G35" t="s">
        <v>1522</v>
      </c>
      <c r="H35" t="s">
        <v>1520</v>
      </c>
      <c r="I35" t="s">
        <v>1513</v>
      </c>
      <c r="J35" t="s">
        <v>1517</v>
      </c>
      <c r="K35" t="s">
        <v>1518</v>
      </c>
      <c r="L35" s="2">
        <v>4</v>
      </c>
      <c r="M35" s="10">
        <v>119</v>
      </c>
      <c r="N35" s="7">
        <v>476</v>
      </c>
    </row>
    <row r="36" spans="1:14" x14ac:dyDescent="0.3">
      <c r="A36">
        <v>1015</v>
      </c>
      <c r="B36" s="1">
        <v>45269</v>
      </c>
      <c r="C36">
        <v>2023</v>
      </c>
      <c r="D36">
        <v>12</v>
      </c>
      <c r="E36" t="str">
        <f t="shared" si="0"/>
        <v>Desember</v>
      </c>
      <c r="F36">
        <v>4</v>
      </c>
      <c r="G36" t="s">
        <v>1522</v>
      </c>
      <c r="H36" t="s">
        <v>1520</v>
      </c>
      <c r="I36" t="s">
        <v>1513</v>
      </c>
      <c r="J36" t="s">
        <v>1517</v>
      </c>
      <c r="K36" t="s">
        <v>1518</v>
      </c>
      <c r="L36" s="2">
        <v>4</v>
      </c>
      <c r="M36" s="10">
        <v>119</v>
      </c>
      <c r="N36" s="7">
        <v>476</v>
      </c>
    </row>
    <row r="37" spans="1:14" x14ac:dyDescent="0.3">
      <c r="A37">
        <v>1015</v>
      </c>
      <c r="B37" s="1">
        <v>44709</v>
      </c>
      <c r="C37">
        <v>2022</v>
      </c>
      <c r="D37">
        <v>5</v>
      </c>
      <c r="E37" t="str">
        <f t="shared" si="0"/>
        <v>Mei</v>
      </c>
      <c r="F37">
        <v>2</v>
      </c>
      <c r="G37" t="s">
        <v>1522</v>
      </c>
      <c r="H37" t="s">
        <v>1520</v>
      </c>
      <c r="I37" t="s">
        <v>1513</v>
      </c>
      <c r="J37" t="s">
        <v>1517</v>
      </c>
      <c r="K37" t="s">
        <v>1518</v>
      </c>
      <c r="L37" s="2">
        <v>4</v>
      </c>
      <c r="M37" s="10">
        <v>119</v>
      </c>
      <c r="N37" s="7">
        <v>476</v>
      </c>
    </row>
    <row r="38" spans="1:14" x14ac:dyDescent="0.3">
      <c r="A38">
        <v>1015</v>
      </c>
      <c r="B38" s="1">
        <v>45457</v>
      </c>
      <c r="C38">
        <v>2024</v>
      </c>
      <c r="D38">
        <v>6</v>
      </c>
      <c r="E38" t="str">
        <f t="shared" si="0"/>
        <v>Juni</v>
      </c>
      <c r="F38">
        <v>2</v>
      </c>
      <c r="G38" t="s">
        <v>1522</v>
      </c>
      <c r="H38" t="s">
        <v>1520</v>
      </c>
      <c r="I38" t="s">
        <v>1513</v>
      </c>
      <c r="J38" t="s">
        <v>1517</v>
      </c>
      <c r="K38" t="s">
        <v>1518</v>
      </c>
      <c r="L38" s="2">
        <v>4</v>
      </c>
      <c r="M38" s="10">
        <v>119</v>
      </c>
      <c r="N38" s="7">
        <v>476</v>
      </c>
    </row>
    <row r="39" spans="1:14" x14ac:dyDescent="0.3">
      <c r="A39">
        <v>1016</v>
      </c>
      <c r="B39" s="1">
        <v>44669</v>
      </c>
      <c r="C39">
        <v>2022</v>
      </c>
      <c r="D39">
        <v>4</v>
      </c>
      <c r="E39" t="str">
        <f t="shared" si="0"/>
        <v>April</v>
      </c>
      <c r="F39">
        <v>2</v>
      </c>
      <c r="G39" t="s">
        <v>1523</v>
      </c>
      <c r="H39" t="s">
        <v>1512</v>
      </c>
      <c r="I39" t="s">
        <v>1535</v>
      </c>
      <c r="J39" t="s">
        <v>1517</v>
      </c>
      <c r="K39" t="s">
        <v>1525</v>
      </c>
      <c r="L39" s="2">
        <v>1</v>
      </c>
      <c r="M39" s="10">
        <v>37589</v>
      </c>
      <c r="N39" s="7">
        <v>37589</v>
      </c>
    </row>
    <row r="40" spans="1:14" x14ac:dyDescent="0.3">
      <c r="A40">
        <v>1016</v>
      </c>
      <c r="B40" s="1">
        <v>45296</v>
      </c>
      <c r="C40">
        <v>2024</v>
      </c>
      <c r="D40">
        <v>1</v>
      </c>
      <c r="E40" t="str">
        <f t="shared" si="0"/>
        <v>Januari</v>
      </c>
      <c r="F40">
        <v>1</v>
      </c>
      <c r="G40" t="s">
        <v>1523</v>
      </c>
      <c r="H40" t="s">
        <v>1512</v>
      </c>
      <c r="I40" t="s">
        <v>1535</v>
      </c>
      <c r="J40" t="s">
        <v>1517</v>
      </c>
      <c r="K40" t="s">
        <v>1525</v>
      </c>
      <c r="L40" s="2">
        <v>1</v>
      </c>
      <c r="M40" s="10">
        <v>37589</v>
      </c>
      <c r="N40" s="7">
        <v>37589</v>
      </c>
    </row>
    <row r="41" spans="1:14" x14ac:dyDescent="0.3">
      <c r="A41">
        <v>1016</v>
      </c>
      <c r="B41" s="1">
        <v>45468</v>
      </c>
      <c r="C41">
        <v>2024</v>
      </c>
      <c r="D41">
        <v>6</v>
      </c>
      <c r="E41" t="str">
        <f t="shared" si="0"/>
        <v>Juni</v>
      </c>
      <c r="F41">
        <v>2</v>
      </c>
      <c r="G41" t="s">
        <v>1523</v>
      </c>
      <c r="H41" t="s">
        <v>1512</v>
      </c>
      <c r="I41" t="s">
        <v>1535</v>
      </c>
      <c r="J41" t="s">
        <v>1517</v>
      </c>
      <c r="K41" t="s">
        <v>1525</v>
      </c>
      <c r="L41" s="2">
        <v>1</v>
      </c>
      <c r="M41" s="10">
        <v>37589</v>
      </c>
      <c r="N41" s="7">
        <v>37589</v>
      </c>
    </row>
    <row r="42" spans="1:14" x14ac:dyDescent="0.3">
      <c r="A42">
        <v>1017</v>
      </c>
      <c r="B42" s="1">
        <v>45010</v>
      </c>
      <c r="C42">
        <v>2023</v>
      </c>
      <c r="D42">
        <v>3</v>
      </c>
      <c r="E42" t="str">
        <f t="shared" si="0"/>
        <v>Maret</v>
      </c>
      <c r="F42">
        <v>1</v>
      </c>
      <c r="G42" t="s">
        <v>1526</v>
      </c>
      <c r="H42" t="s">
        <v>1527</v>
      </c>
      <c r="I42" t="s">
        <v>1516</v>
      </c>
      <c r="J42" t="s">
        <v>1566</v>
      </c>
      <c r="K42" t="s">
        <v>1518</v>
      </c>
      <c r="L42" s="2">
        <v>1</v>
      </c>
      <c r="M42" s="10">
        <v>781</v>
      </c>
      <c r="N42" s="7">
        <v>781</v>
      </c>
    </row>
    <row r="43" spans="1:14" x14ac:dyDescent="0.3">
      <c r="A43">
        <v>1018</v>
      </c>
      <c r="B43" s="1">
        <v>45458</v>
      </c>
      <c r="C43">
        <v>2024</v>
      </c>
      <c r="D43">
        <v>6</v>
      </c>
      <c r="E43" t="str">
        <f t="shared" si="0"/>
        <v>Juni</v>
      </c>
      <c r="F43">
        <v>2</v>
      </c>
      <c r="G43" t="s">
        <v>1529</v>
      </c>
      <c r="H43" t="s">
        <v>1530</v>
      </c>
      <c r="I43" t="s">
        <v>1535</v>
      </c>
      <c r="J43" t="s">
        <v>1566</v>
      </c>
      <c r="K43" t="s">
        <v>1518</v>
      </c>
      <c r="L43" s="2">
        <v>5</v>
      </c>
      <c r="M43" s="10">
        <v>809</v>
      </c>
      <c r="N43" s="7">
        <v>4045</v>
      </c>
    </row>
    <row r="44" spans="1:14" x14ac:dyDescent="0.3">
      <c r="A44">
        <v>1018</v>
      </c>
      <c r="B44" s="1">
        <v>45247</v>
      </c>
      <c r="C44">
        <v>2023</v>
      </c>
      <c r="D44">
        <v>11</v>
      </c>
      <c r="E44" t="str">
        <f t="shared" si="0"/>
        <v>November</v>
      </c>
      <c r="F44">
        <v>4</v>
      </c>
      <c r="G44" t="s">
        <v>1529</v>
      </c>
      <c r="H44" t="s">
        <v>1530</v>
      </c>
      <c r="I44" t="s">
        <v>1535</v>
      </c>
      <c r="J44" t="s">
        <v>1566</v>
      </c>
      <c r="K44" t="s">
        <v>1518</v>
      </c>
      <c r="L44" s="2">
        <v>5</v>
      </c>
      <c r="M44" s="10">
        <v>809</v>
      </c>
      <c r="N44" s="7">
        <v>4045</v>
      </c>
    </row>
    <row r="45" spans="1:14" x14ac:dyDescent="0.3">
      <c r="A45">
        <v>1018</v>
      </c>
      <c r="B45" s="1">
        <v>45031</v>
      </c>
      <c r="C45">
        <v>2023</v>
      </c>
      <c r="D45">
        <v>4</v>
      </c>
      <c r="E45" t="str">
        <f t="shared" si="0"/>
        <v>April</v>
      </c>
      <c r="F45">
        <v>2</v>
      </c>
      <c r="G45" t="s">
        <v>1529</v>
      </c>
      <c r="H45" t="s">
        <v>1530</v>
      </c>
      <c r="I45" t="s">
        <v>1535</v>
      </c>
      <c r="J45" t="s">
        <v>1566</v>
      </c>
      <c r="K45" t="s">
        <v>1518</v>
      </c>
      <c r="L45" s="2">
        <v>5</v>
      </c>
      <c r="M45" s="10">
        <v>809</v>
      </c>
      <c r="N45" s="7">
        <v>4045</v>
      </c>
    </row>
    <row r="46" spans="1:14" x14ac:dyDescent="0.3">
      <c r="A46">
        <v>1018</v>
      </c>
      <c r="B46" s="1">
        <v>45100</v>
      </c>
      <c r="C46">
        <v>2023</v>
      </c>
      <c r="D46">
        <v>6</v>
      </c>
      <c r="E46" t="str">
        <f t="shared" si="0"/>
        <v>Juni</v>
      </c>
      <c r="F46">
        <v>2</v>
      </c>
      <c r="G46" t="s">
        <v>1529</v>
      </c>
      <c r="H46" t="s">
        <v>1530</v>
      </c>
      <c r="I46" t="s">
        <v>1535</v>
      </c>
      <c r="J46" t="s">
        <v>1566</v>
      </c>
      <c r="K46" t="s">
        <v>1518</v>
      </c>
      <c r="L46" s="2">
        <v>5</v>
      </c>
      <c r="M46" s="10">
        <v>809</v>
      </c>
      <c r="N46" s="7">
        <v>4045</v>
      </c>
    </row>
    <row r="47" spans="1:14" x14ac:dyDescent="0.3">
      <c r="A47">
        <v>1019</v>
      </c>
      <c r="B47" s="1">
        <v>45222</v>
      </c>
      <c r="C47">
        <v>2023</v>
      </c>
      <c r="D47">
        <v>10</v>
      </c>
      <c r="E47" t="str">
        <f t="shared" si="0"/>
        <v>Oktober</v>
      </c>
      <c r="F47">
        <v>4</v>
      </c>
      <c r="G47" t="s">
        <v>1532</v>
      </c>
      <c r="H47" t="s">
        <v>1512</v>
      </c>
      <c r="I47" t="s">
        <v>1521</v>
      </c>
      <c r="J47" t="s">
        <v>1566</v>
      </c>
      <c r="K47" t="s">
        <v>1518</v>
      </c>
      <c r="L47" s="2">
        <v>2</v>
      </c>
      <c r="M47" s="10">
        <v>4129</v>
      </c>
      <c r="N47" s="7">
        <v>8258</v>
      </c>
    </row>
    <row r="48" spans="1:14" x14ac:dyDescent="0.3">
      <c r="A48">
        <v>1019</v>
      </c>
      <c r="B48" s="1">
        <v>45524</v>
      </c>
      <c r="C48">
        <v>2024</v>
      </c>
      <c r="D48">
        <v>8</v>
      </c>
      <c r="E48" t="str">
        <f t="shared" si="0"/>
        <v>Agustus</v>
      </c>
      <c r="F48">
        <v>3</v>
      </c>
      <c r="G48" t="s">
        <v>1532</v>
      </c>
      <c r="H48" t="s">
        <v>1512</v>
      </c>
      <c r="I48" t="s">
        <v>1521</v>
      </c>
      <c r="J48" t="s">
        <v>1566</v>
      </c>
      <c r="K48" t="s">
        <v>1518</v>
      </c>
      <c r="L48" s="2">
        <v>2</v>
      </c>
      <c r="M48" s="10">
        <v>4129</v>
      </c>
      <c r="N48" s="7">
        <v>8258</v>
      </c>
    </row>
    <row r="49" spans="1:14" x14ac:dyDescent="0.3">
      <c r="A49">
        <v>1019</v>
      </c>
      <c r="B49" s="1">
        <v>44808</v>
      </c>
      <c r="C49">
        <v>2022</v>
      </c>
      <c r="D49">
        <v>9</v>
      </c>
      <c r="E49" t="str">
        <f t="shared" si="0"/>
        <v>September</v>
      </c>
      <c r="F49">
        <v>3</v>
      </c>
      <c r="G49" t="s">
        <v>1532</v>
      </c>
      <c r="H49" t="s">
        <v>1512</v>
      </c>
      <c r="I49" t="s">
        <v>1521</v>
      </c>
      <c r="J49" t="s">
        <v>1566</v>
      </c>
      <c r="K49" t="s">
        <v>1518</v>
      </c>
      <c r="L49" s="2">
        <v>2</v>
      </c>
      <c r="M49" s="10">
        <v>4129</v>
      </c>
      <c r="N49" s="7">
        <v>8258</v>
      </c>
    </row>
    <row r="50" spans="1:14" x14ac:dyDescent="0.3">
      <c r="A50">
        <v>1019</v>
      </c>
      <c r="B50" s="1">
        <v>45352</v>
      </c>
      <c r="C50">
        <v>2024</v>
      </c>
      <c r="D50">
        <v>3</v>
      </c>
      <c r="E50" t="str">
        <f t="shared" si="0"/>
        <v>Maret</v>
      </c>
      <c r="F50">
        <v>1</v>
      </c>
      <c r="G50" t="s">
        <v>1532</v>
      </c>
      <c r="H50" t="s">
        <v>1512</v>
      </c>
      <c r="I50" t="s">
        <v>1521</v>
      </c>
      <c r="J50" t="s">
        <v>1566</v>
      </c>
      <c r="K50" t="s">
        <v>1518</v>
      </c>
      <c r="L50" s="2">
        <v>2</v>
      </c>
      <c r="M50" s="10">
        <v>4129</v>
      </c>
      <c r="N50" s="7">
        <v>8258</v>
      </c>
    </row>
    <row r="51" spans="1:14" x14ac:dyDescent="0.3">
      <c r="A51">
        <v>1019</v>
      </c>
      <c r="B51" s="1">
        <v>44703</v>
      </c>
      <c r="C51">
        <v>2022</v>
      </c>
      <c r="D51">
        <v>5</v>
      </c>
      <c r="E51" t="str">
        <f t="shared" si="0"/>
        <v>Mei</v>
      </c>
      <c r="F51">
        <v>2</v>
      </c>
      <c r="G51" t="s">
        <v>1532</v>
      </c>
      <c r="H51" t="s">
        <v>1512</v>
      </c>
      <c r="I51" t="s">
        <v>1521</v>
      </c>
      <c r="J51" t="s">
        <v>1566</v>
      </c>
      <c r="K51" t="s">
        <v>1518</v>
      </c>
      <c r="L51" s="2">
        <v>2</v>
      </c>
      <c r="M51" s="10">
        <v>4129</v>
      </c>
      <c r="N51" s="7">
        <v>8258</v>
      </c>
    </row>
    <row r="52" spans="1:14" x14ac:dyDescent="0.3">
      <c r="A52">
        <v>1021</v>
      </c>
      <c r="B52" s="1">
        <v>45195</v>
      </c>
      <c r="C52">
        <v>2023</v>
      </c>
      <c r="D52">
        <v>9</v>
      </c>
      <c r="E52" t="str">
        <f t="shared" si="0"/>
        <v>September</v>
      </c>
      <c r="F52">
        <v>3</v>
      </c>
      <c r="G52" t="s">
        <v>1511</v>
      </c>
      <c r="H52" t="s">
        <v>1512</v>
      </c>
      <c r="I52" t="s">
        <v>1521</v>
      </c>
      <c r="J52" t="s">
        <v>1566</v>
      </c>
      <c r="K52" t="s">
        <v>1525</v>
      </c>
      <c r="L52" s="2">
        <v>2</v>
      </c>
      <c r="M52" s="10">
        <v>68516</v>
      </c>
      <c r="N52" s="7">
        <v>137032</v>
      </c>
    </row>
    <row r="53" spans="1:14" x14ac:dyDescent="0.3">
      <c r="A53">
        <v>1021</v>
      </c>
      <c r="B53" s="1">
        <v>45420</v>
      </c>
      <c r="C53">
        <v>2024</v>
      </c>
      <c r="D53">
        <v>5</v>
      </c>
      <c r="E53" t="str">
        <f t="shared" si="0"/>
        <v>Mei</v>
      </c>
      <c r="F53">
        <v>2</v>
      </c>
      <c r="G53" t="s">
        <v>1511</v>
      </c>
      <c r="H53" t="s">
        <v>1512</v>
      </c>
      <c r="I53" t="s">
        <v>1521</v>
      </c>
      <c r="J53" t="s">
        <v>1566</v>
      </c>
      <c r="K53" t="s">
        <v>1525</v>
      </c>
      <c r="L53" s="2">
        <v>2</v>
      </c>
      <c r="M53" s="10">
        <v>68516</v>
      </c>
      <c r="N53" s="7">
        <v>137032</v>
      </c>
    </row>
    <row r="54" spans="1:14" x14ac:dyDescent="0.3">
      <c r="A54">
        <v>1021</v>
      </c>
      <c r="B54" s="1">
        <v>45595</v>
      </c>
      <c r="C54">
        <v>2024</v>
      </c>
      <c r="D54">
        <v>10</v>
      </c>
      <c r="E54" t="str">
        <f t="shared" si="0"/>
        <v>Oktober</v>
      </c>
      <c r="F54">
        <v>4</v>
      </c>
      <c r="G54" t="s">
        <v>1511</v>
      </c>
      <c r="H54" t="s">
        <v>1512</v>
      </c>
      <c r="I54" t="s">
        <v>1521</v>
      </c>
      <c r="J54" t="s">
        <v>1566</v>
      </c>
      <c r="K54" t="s">
        <v>1525</v>
      </c>
      <c r="L54" s="2">
        <v>2</v>
      </c>
      <c r="M54" s="10">
        <v>68516</v>
      </c>
      <c r="N54" s="7">
        <v>137032</v>
      </c>
    </row>
    <row r="55" spans="1:14" x14ac:dyDescent="0.3">
      <c r="A55">
        <v>1021</v>
      </c>
      <c r="B55" s="1">
        <v>44948</v>
      </c>
      <c r="C55">
        <v>2023</v>
      </c>
      <c r="D55">
        <v>1</v>
      </c>
      <c r="E55" t="str">
        <f t="shared" si="0"/>
        <v>Januari</v>
      </c>
      <c r="F55">
        <v>1</v>
      </c>
      <c r="G55" t="s">
        <v>1511</v>
      </c>
      <c r="H55" t="s">
        <v>1512</v>
      </c>
      <c r="I55" t="s">
        <v>1521</v>
      </c>
      <c r="J55" t="s">
        <v>1566</v>
      </c>
      <c r="K55" t="s">
        <v>1525</v>
      </c>
      <c r="L55" s="2">
        <v>2</v>
      </c>
      <c r="M55" s="10">
        <v>68516</v>
      </c>
      <c r="N55" s="7">
        <v>137032</v>
      </c>
    </row>
    <row r="56" spans="1:14" x14ac:dyDescent="0.3">
      <c r="A56">
        <v>1022</v>
      </c>
      <c r="B56" s="1">
        <v>45142</v>
      </c>
      <c r="C56">
        <v>2023</v>
      </c>
      <c r="D56">
        <v>8</v>
      </c>
      <c r="E56" t="str">
        <f t="shared" si="0"/>
        <v>Agustus</v>
      </c>
      <c r="F56">
        <v>3</v>
      </c>
      <c r="G56" t="s">
        <v>1515</v>
      </c>
      <c r="H56" t="s">
        <v>1512</v>
      </c>
      <c r="I56" t="s">
        <v>1535</v>
      </c>
      <c r="J56" t="s">
        <v>1517</v>
      </c>
      <c r="K56" t="s">
        <v>1514</v>
      </c>
      <c r="L56" s="2">
        <v>1</v>
      </c>
      <c r="M56" s="10">
        <v>3985</v>
      </c>
      <c r="N56" s="7">
        <v>3985</v>
      </c>
    </row>
    <row r="57" spans="1:14" x14ac:dyDescent="0.3">
      <c r="A57">
        <v>1022</v>
      </c>
      <c r="B57" s="1">
        <v>44944</v>
      </c>
      <c r="C57">
        <v>2023</v>
      </c>
      <c r="D57">
        <v>1</v>
      </c>
      <c r="E57" t="str">
        <f t="shared" si="0"/>
        <v>Januari</v>
      </c>
      <c r="F57">
        <v>1</v>
      </c>
      <c r="G57" t="s">
        <v>1515</v>
      </c>
      <c r="H57" t="s">
        <v>1512</v>
      </c>
      <c r="I57" t="s">
        <v>1535</v>
      </c>
      <c r="J57" t="s">
        <v>1517</v>
      </c>
      <c r="K57" t="s">
        <v>1514</v>
      </c>
      <c r="L57" s="2">
        <v>1</v>
      </c>
      <c r="M57" s="10">
        <v>3985</v>
      </c>
      <c r="N57" s="7">
        <v>3985</v>
      </c>
    </row>
    <row r="58" spans="1:14" x14ac:dyDescent="0.3">
      <c r="A58">
        <v>1023</v>
      </c>
      <c r="B58" s="1">
        <v>45497</v>
      </c>
      <c r="C58">
        <v>2024</v>
      </c>
      <c r="D58">
        <v>7</v>
      </c>
      <c r="E58" t="str">
        <f t="shared" si="0"/>
        <v>Juli</v>
      </c>
      <c r="F58">
        <v>3</v>
      </c>
      <c r="G58" t="s">
        <v>1534</v>
      </c>
      <c r="H58" t="s">
        <v>1530</v>
      </c>
      <c r="I58" t="s">
        <v>1535</v>
      </c>
      <c r="J58" t="s">
        <v>1524</v>
      </c>
      <c r="K58" t="s">
        <v>1518</v>
      </c>
      <c r="L58" s="2">
        <v>1</v>
      </c>
      <c r="M58" s="10">
        <v>2380</v>
      </c>
      <c r="N58" s="7">
        <v>2380</v>
      </c>
    </row>
    <row r="59" spans="1:14" x14ac:dyDescent="0.3">
      <c r="A59">
        <v>1023</v>
      </c>
      <c r="B59" s="1">
        <v>45189</v>
      </c>
      <c r="C59">
        <v>2023</v>
      </c>
      <c r="D59">
        <v>9</v>
      </c>
      <c r="E59" t="str">
        <f t="shared" si="0"/>
        <v>September</v>
      </c>
      <c r="F59">
        <v>3</v>
      </c>
      <c r="G59" t="s">
        <v>1534</v>
      </c>
      <c r="H59" t="s">
        <v>1530</v>
      </c>
      <c r="I59" t="s">
        <v>1535</v>
      </c>
      <c r="J59" t="s">
        <v>1524</v>
      </c>
      <c r="K59" t="s">
        <v>1518</v>
      </c>
      <c r="L59" s="2">
        <v>1</v>
      </c>
      <c r="M59" s="10">
        <v>2380</v>
      </c>
      <c r="N59" s="7">
        <v>2380</v>
      </c>
    </row>
    <row r="60" spans="1:14" x14ac:dyDescent="0.3">
      <c r="A60">
        <v>1024</v>
      </c>
      <c r="B60" s="1">
        <v>44647</v>
      </c>
      <c r="C60">
        <v>2022</v>
      </c>
      <c r="D60">
        <v>3</v>
      </c>
      <c r="E60" t="str">
        <f t="shared" si="0"/>
        <v>Maret</v>
      </c>
      <c r="F60">
        <v>1</v>
      </c>
      <c r="G60" t="s">
        <v>1519</v>
      </c>
      <c r="H60" t="s">
        <v>1520</v>
      </c>
      <c r="I60" t="s">
        <v>1531</v>
      </c>
      <c r="J60" t="s">
        <v>1517</v>
      </c>
      <c r="K60" t="s">
        <v>1518</v>
      </c>
      <c r="L60" s="2">
        <v>3</v>
      </c>
      <c r="M60" s="10">
        <v>13522</v>
      </c>
      <c r="N60" s="7">
        <v>40566</v>
      </c>
    </row>
    <row r="61" spans="1:14" x14ac:dyDescent="0.3">
      <c r="A61">
        <v>1024</v>
      </c>
      <c r="B61" s="1">
        <v>44914</v>
      </c>
      <c r="C61">
        <v>2022</v>
      </c>
      <c r="D61">
        <v>12</v>
      </c>
      <c r="E61" t="str">
        <f t="shared" si="0"/>
        <v>Desember</v>
      </c>
      <c r="F61">
        <v>4</v>
      </c>
      <c r="G61" t="s">
        <v>1519</v>
      </c>
      <c r="H61" t="s">
        <v>1520</v>
      </c>
      <c r="I61" t="s">
        <v>1531</v>
      </c>
      <c r="J61" t="s">
        <v>1517</v>
      </c>
      <c r="K61" t="s">
        <v>1518</v>
      </c>
      <c r="L61" s="2">
        <v>3</v>
      </c>
      <c r="M61" s="10">
        <v>13522</v>
      </c>
      <c r="N61" s="7">
        <v>40566</v>
      </c>
    </row>
    <row r="62" spans="1:14" x14ac:dyDescent="0.3">
      <c r="A62">
        <v>1024</v>
      </c>
      <c r="B62" s="1">
        <v>45339</v>
      </c>
      <c r="C62">
        <v>2024</v>
      </c>
      <c r="D62">
        <v>2</v>
      </c>
      <c r="E62" t="str">
        <f t="shared" si="0"/>
        <v>Februari</v>
      </c>
      <c r="F62">
        <v>1</v>
      </c>
      <c r="G62" t="s">
        <v>1519</v>
      </c>
      <c r="H62" t="s">
        <v>1520</v>
      </c>
      <c r="I62" t="s">
        <v>1531</v>
      </c>
      <c r="J62" t="s">
        <v>1517</v>
      </c>
      <c r="K62" t="s">
        <v>1518</v>
      </c>
      <c r="L62" s="2">
        <v>3</v>
      </c>
      <c r="M62" s="10">
        <v>13522</v>
      </c>
      <c r="N62" s="7">
        <v>40566</v>
      </c>
    </row>
    <row r="63" spans="1:14" x14ac:dyDescent="0.3">
      <c r="A63">
        <v>1024</v>
      </c>
      <c r="B63" s="1">
        <v>44757</v>
      </c>
      <c r="C63">
        <v>2022</v>
      </c>
      <c r="D63">
        <v>7</v>
      </c>
      <c r="E63" t="str">
        <f t="shared" si="0"/>
        <v>Juli</v>
      </c>
      <c r="F63">
        <v>3</v>
      </c>
      <c r="G63" t="s">
        <v>1519</v>
      </c>
      <c r="H63" t="s">
        <v>1520</v>
      </c>
      <c r="I63" t="s">
        <v>1531</v>
      </c>
      <c r="J63" t="s">
        <v>1517</v>
      </c>
      <c r="K63" t="s">
        <v>1518</v>
      </c>
      <c r="L63" s="2">
        <v>3</v>
      </c>
      <c r="M63" s="10">
        <v>13522</v>
      </c>
      <c r="N63" s="7">
        <v>40566</v>
      </c>
    </row>
    <row r="64" spans="1:14" x14ac:dyDescent="0.3">
      <c r="A64">
        <v>1024</v>
      </c>
      <c r="B64" s="1">
        <v>45245</v>
      </c>
      <c r="C64">
        <v>2023</v>
      </c>
      <c r="D64">
        <v>11</v>
      </c>
      <c r="E64" t="str">
        <f t="shared" si="0"/>
        <v>November</v>
      </c>
      <c r="F64">
        <v>4</v>
      </c>
      <c r="G64" t="s">
        <v>1519</v>
      </c>
      <c r="H64" t="s">
        <v>1520</v>
      </c>
      <c r="I64" t="s">
        <v>1531</v>
      </c>
      <c r="J64" t="s">
        <v>1517</v>
      </c>
      <c r="K64" t="s">
        <v>1518</v>
      </c>
      <c r="L64" s="2">
        <v>3</v>
      </c>
      <c r="M64" s="10">
        <v>13522</v>
      </c>
      <c r="N64" s="7">
        <v>40566</v>
      </c>
    </row>
    <row r="65" spans="1:14" x14ac:dyDescent="0.3">
      <c r="A65">
        <v>1024</v>
      </c>
      <c r="B65" s="1">
        <v>45394</v>
      </c>
      <c r="C65">
        <v>2024</v>
      </c>
      <c r="D65">
        <v>4</v>
      </c>
      <c r="E65" t="str">
        <f t="shared" si="0"/>
        <v>April</v>
      </c>
      <c r="F65">
        <v>2</v>
      </c>
      <c r="G65" t="s">
        <v>1519</v>
      </c>
      <c r="H65" t="s">
        <v>1520</v>
      </c>
      <c r="I65" t="s">
        <v>1531</v>
      </c>
      <c r="J65" t="s">
        <v>1517</v>
      </c>
      <c r="K65" t="s">
        <v>1518</v>
      </c>
      <c r="L65" s="2">
        <v>3</v>
      </c>
      <c r="M65" s="10">
        <v>13522</v>
      </c>
      <c r="N65" s="7">
        <v>40566</v>
      </c>
    </row>
    <row r="66" spans="1:14" x14ac:dyDescent="0.3">
      <c r="A66">
        <v>1024</v>
      </c>
      <c r="B66" s="1">
        <v>45207</v>
      </c>
      <c r="C66">
        <v>2023</v>
      </c>
      <c r="D66">
        <v>10</v>
      </c>
      <c r="E66" t="str">
        <f t="shared" si="0"/>
        <v>Oktober</v>
      </c>
      <c r="F66">
        <v>4</v>
      </c>
      <c r="G66" t="s">
        <v>1519</v>
      </c>
      <c r="H66" t="s">
        <v>1520</v>
      </c>
      <c r="I66" t="s">
        <v>1531</v>
      </c>
      <c r="J66" t="s">
        <v>1517</v>
      </c>
      <c r="K66" t="s">
        <v>1518</v>
      </c>
      <c r="L66" s="2">
        <v>3</v>
      </c>
      <c r="M66" s="10">
        <v>13522</v>
      </c>
      <c r="N66" s="7">
        <v>40566</v>
      </c>
    </row>
    <row r="67" spans="1:14" x14ac:dyDescent="0.3">
      <c r="A67">
        <v>1024</v>
      </c>
      <c r="B67" s="1">
        <v>45046</v>
      </c>
      <c r="C67">
        <v>2023</v>
      </c>
      <c r="D67">
        <v>4</v>
      </c>
      <c r="E67" t="str">
        <f t="shared" ref="E67:E130" si="1">TEXT(DATE(2026, D67, 1), "[$-id-ID]mmmm")</f>
        <v>April</v>
      </c>
      <c r="F67">
        <v>2</v>
      </c>
      <c r="G67" t="s">
        <v>1519</v>
      </c>
      <c r="H67" t="s">
        <v>1520</v>
      </c>
      <c r="I67" t="s">
        <v>1531</v>
      </c>
      <c r="J67" t="s">
        <v>1517</v>
      </c>
      <c r="K67" t="s">
        <v>1518</v>
      </c>
      <c r="L67" s="2">
        <v>3</v>
      </c>
      <c r="M67" s="10">
        <v>13522</v>
      </c>
      <c r="N67" s="7">
        <v>40566</v>
      </c>
    </row>
    <row r="68" spans="1:14" x14ac:dyDescent="0.3">
      <c r="A68">
        <v>1025</v>
      </c>
      <c r="B68" s="1">
        <v>45193</v>
      </c>
      <c r="C68">
        <v>2023</v>
      </c>
      <c r="D68">
        <v>9</v>
      </c>
      <c r="E68" t="str">
        <f t="shared" si="1"/>
        <v>September</v>
      </c>
      <c r="F68">
        <v>3</v>
      </c>
      <c r="G68" t="s">
        <v>1522</v>
      </c>
      <c r="H68" t="s">
        <v>1520</v>
      </c>
      <c r="I68" t="s">
        <v>1521</v>
      </c>
      <c r="J68" t="s">
        <v>1566</v>
      </c>
      <c r="K68" t="s">
        <v>1525</v>
      </c>
      <c r="L68" s="2">
        <v>1</v>
      </c>
      <c r="M68" s="10">
        <v>340</v>
      </c>
      <c r="N68" s="7">
        <v>340</v>
      </c>
    </row>
    <row r="69" spans="1:14" x14ac:dyDescent="0.3">
      <c r="A69">
        <v>1025</v>
      </c>
      <c r="B69" s="1">
        <v>44620</v>
      </c>
      <c r="C69">
        <v>2022</v>
      </c>
      <c r="D69">
        <v>2</v>
      </c>
      <c r="E69" t="str">
        <f t="shared" si="1"/>
        <v>Februari</v>
      </c>
      <c r="F69">
        <v>1</v>
      </c>
      <c r="G69" t="s">
        <v>1522</v>
      </c>
      <c r="H69" t="s">
        <v>1520</v>
      </c>
      <c r="I69" t="s">
        <v>1521</v>
      </c>
      <c r="J69" t="s">
        <v>1566</v>
      </c>
      <c r="K69" t="s">
        <v>1525</v>
      </c>
      <c r="L69" s="2">
        <v>1</v>
      </c>
      <c r="M69" s="10">
        <v>340</v>
      </c>
      <c r="N69" s="7">
        <v>340</v>
      </c>
    </row>
    <row r="70" spans="1:14" x14ac:dyDescent="0.3">
      <c r="A70">
        <v>1025</v>
      </c>
      <c r="B70" s="1">
        <v>45070</v>
      </c>
      <c r="C70">
        <v>2023</v>
      </c>
      <c r="D70">
        <v>5</v>
      </c>
      <c r="E70" t="str">
        <f t="shared" si="1"/>
        <v>Mei</v>
      </c>
      <c r="F70">
        <v>2</v>
      </c>
      <c r="G70" t="s">
        <v>1522</v>
      </c>
      <c r="H70" t="s">
        <v>1520</v>
      </c>
      <c r="I70" t="s">
        <v>1521</v>
      </c>
      <c r="J70" t="s">
        <v>1566</v>
      </c>
      <c r="K70" t="s">
        <v>1525</v>
      </c>
      <c r="L70" s="2">
        <v>1</v>
      </c>
      <c r="M70" s="10">
        <v>340</v>
      </c>
      <c r="N70" s="7">
        <v>340</v>
      </c>
    </row>
    <row r="71" spans="1:14" x14ac:dyDescent="0.3">
      <c r="A71">
        <v>1025</v>
      </c>
      <c r="B71" s="1">
        <v>45608</v>
      </c>
      <c r="C71">
        <v>2024</v>
      </c>
      <c r="D71">
        <v>11</v>
      </c>
      <c r="E71" t="str">
        <f t="shared" si="1"/>
        <v>November</v>
      </c>
      <c r="F71">
        <v>4</v>
      </c>
      <c r="G71" t="s">
        <v>1522</v>
      </c>
      <c r="H71" t="s">
        <v>1520</v>
      </c>
      <c r="I71" t="s">
        <v>1521</v>
      </c>
      <c r="J71" t="s">
        <v>1566</v>
      </c>
      <c r="K71" t="s">
        <v>1525</v>
      </c>
      <c r="L71" s="2">
        <v>1</v>
      </c>
      <c r="M71" s="10">
        <v>340</v>
      </c>
      <c r="N71" s="7">
        <v>340</v>
      </c>
    </row>
    <row r="72" spans="1:14" x14ac:dyDescent="0.3">
      <c r="A72">
        <v>1025</v>
      </c>
      <c r="B72" s="1">
        <v>45140</v>
      </c>
      <c r="C72">
        <v>2023</v>
      </c>
      <c r="D72">
        <v>8</v>
      </c>
      <c r="E72" t="str">
        <f t="shared" si="1"/>
        <v>Agustus</v>
      </c>
      <c r="F72">
        <v>3</v>
      </c>
      <c r="G72" t="s">
        <v>1522</v>
      </c>
      <c r="H72" t="s">
        <v>1520</v>
      </c>
      <c r="I72" t="s">
        <v>1521</v>
      </c>
      <c r="J72" t="s">
        <v>1566</v>
      </c>
      <c r="K72" t="s">
        <v>1525</v>
      </c>
      <c r="L72" s="2">
        <v>1</v>
      </c>
      <c r="M72" s="10">
        <v>340</v>
      </c>
      <c r="N72" s="7">
        <v>340</v>
      </c>
    </row>
    <row r="73" spans="1:14" x14ac:dyDescent="0.3">
      <c r="A73">
        <v>1026</v>
      </c>
      <c r="B73" s="1">
        <v>45243</v>
      </c>
      <c r="C73">
        <v>2023</v>
      </c>
      <c r="D73">
        <v>11</v>
      </c>
      <c r="E73" t="str">
        <f t="shared" si="1"/>
        <v>November</v>
      </c>
      <c r="F73">
        <v>4</v>
      </c>
      <c r="G73" t="s">
        <v>1523</v>
      </c>
      <c r="H73" t="s">
        <v>1512</v>
      </c>
      <c r="I73" t="s">
        <v>1531</v>
      </c>
      <c r="J73" t="s">
        <v>1524</v>
      </c>
      <c r="K73" t="s">
        <v>1518</v>
      </c>
      <c r="L73" s="2">
        <v>1</v>
      </c>
      <c r="M73" s="10">
        <v>34153</v>
      </c>
      <c r="N73" s="7">
        <v>34153</v>
      </c>
    </row>
    <row r="74" spans="1:14" x14ac:dyDescent="0.3">
      <c r="A74">
        <v>1026</v>
      </c>
      <c r="B74" s="1">
        <v>44860</v>
      </c>
      <c r="C74">
        <v>2022</v>
      </c>
      <c r="D74">
        <v>10</v>
      </c>
      <c r="E74" t="str">
        <f t="shared" si="1"/>
        <v>Oktober</v>
      </c>
      <c r="F74">
        <v>4</v>
      </c>
      <c r="G74" t="s">
        <v>1523</v>
      </c>
      <c r="H74" t="s">
        <v>1512</v>
      </c>
      <c r="I74" t="s">
        <v>1531</v>
      </c>
      <c r="J74" t="s">
        <v>1524</v>
      </c>
      <c r="K74" t="s">
        <v>1518</v>
      </c>
      <c r="L74" s="2">
        <v>1</v>
      </c>
      <c r="M74" s="10">
        <v>34153</v>
      </c>
      <c r="N74" s="7">
        <v>34153</v>
      </c>
    </row>
    <row r="75" spans="1:14" x14ac:dyDescent="0.3">
      <c r="A75">
        <v>1027</v>
      </c>
      <c r="B75" s="1">
        <v>44691</v>
      </c>
      <c r="C75">
        <v>2022</v>
      </c>
      <c r="D75">
        <v>5</v>
      </c>
      <c r="E75" t="str">
        <f t="shared" si="1"/>
        <v>Mei</v>
      </c>
      <c r="F75">
        <v>2</v>
      </c>
      <c r="G75" t="s">
        <v>1526</v>
      </c>
      <c r="H75" t="s">
        <v>1527</v>
      </c>
      <c r="I75" t="s">
        <v>1516</v>
      </c>
      <c r="J75" t="s">
        <v>1524</v>
      </c>
      <c r="K75" t="s">
        <v>1518</v>
      </c>
      <c r="L75" s="2">
        <v>1</v>
      </c>
      <c r="M75" s="10">
        <v>884</v>
      </c>
      <c r="N75" s="7">
        <v>884</v>
      </c>
    </row>
    <row r="76" spans="1:14" x14ac:dyDescent="0.3">
      <c r="A76">
        <v>1027</v>
      </c>
      <c r="B76" s="1">
        <v>45219</v>
      </c>
      <c r="C76">
        <v>2023</v>
      </c>
      <c r="D76">
        <v>10</v>
      </c>
      <c r="E76" t="str">
        <f t="shared" si="1"/>
        <v>Oktober</v>
      </c>
      <c r="F76">
        <v>4</v>
      </c>
      <c r="G76" t="s">
        <v>1526</v>
      </c>
      <c r="H76" t="s">
        <v>1527</v>
      </c>
      <c r="I76" t="s">
        <v>1516</v>
      </c>
      <c r="J76" t="s">
        <v>1524</v>
      </c>
      <c r="K76" t="s">
        <v>1518</v>
      </c>
      <c r="L76" s="2">
        <v>1</v>
      </c>
      <c r="M76" s="10">
        <v>884</v>
      </c>
      <c r="N76" s="7">
        <v>884</v>
      </c>
    </row>
    <row r="77" spans="1:14" x14ac:dyDescent="0.3">
      <c r="A77">
        <v>1027</v>
      </c>
      <c r="B77" s="1">
        <v>44833</v>
      </c>
      <c r="C77">
        <v>2022</v>
      </c>
      <c r="D77">
        <v>9</v>
      </c>
      <c r="E77" t="str">
        <f t="shared" si="1"/>
        <v>September</v>
      </c>
      <c r="F77">
        <v>3</v>
      </c>
      <c r="G77" t="s">
        <v>1526</v>
      </c>
      <c r="H77" t="s">
        <v>1527</v>
      </c>
      <c r="I77" t="s">
        <v>1516</v>
      </c>
      <c r="J77" t="s">
        <v>1524</v>
      </c>
      <c r="K77" t="s">
        <v>1518</v>
      </c>
      <c r="L77" s="2">
        <v>1</v>
      </c>
      <c r="M77" s="10">
        <v>884</v>
      </c>
      <c r="N77" s="7">
        <v>884</v>
      </c>
    </row>
    <row r="78" spans="1:14" x14ac:dyDescent="0.3">
      <c r="A78">
        <v>1028</v>
      </c>
      <c r="B78" s="1">
        <v>44942</v>
      </c>
      <c r="C78">
        <v>2023</v>
      </c>
      <c r="D78">
        <v>1</v>
      </c>
      <c r="E78" t="str">
        <f t="shared" si="1"/>
        <v>Januari</v>
      </c>
      <c r="F78">
        <v>1</v>
      </c>
      <c r="G78" t="s">
        <v>1529</v>
      </c>
      <c r="H78" t="s">
        <v>1530</v>
      </c>
      <c r="I78" t="s">
        <v>1521</v>
      </c>
      <c r="J78" t="s">
        <v>1517</v>
      </c>
      <c r="K78" t="s">
        <v>1525</v>
      </c>
      <c r="L78" s="2">
        <v>1</v>
      </c>
      <c r="M78" s="10">
        <v>1961</v>
      </c>
      <c r="N78" s="7">
        <v>1961</v>
      </c>
    </row>
    <row r="79" spans="1:14" x14ac:dyDescent="0.3">
      <c r="A79">
        <v>1029</v>
      </c>
      <c r="B79" s="1">
        <v>44997</v>
      </c>
      <c r="C79">
        <v>2023</v>
      </c>
      <c r="D79">
        <v>3</v>
      </c>
      <c r="E79" t="str">
        <f t="shared" si="1"/>
        <v>Maret</v>
      </c>
      <c r="F79">
        <v>1</v>
      </c>
      <c r="G79" t="s">
        <v>1532</v>
      </c>
      <c r="H79" t="s">
        <v>1512</v>
      </c>
      <c r="I79" t="s">
        <v>1521</v>
      </c>
      <c r="J79" t="s">
        <v>1566</v>
      </c>
      <c r="K79" t="s">
        <v>1518</v>
      </c>
      <c r="L79" s="2">
        <v>1</v>
      </c>
      <c r="M79" s="10">
        <v>7608</v>
      </c>
      <c r="N79" s="7">
        <v>7608</v>
      </c>
    </row>
    <row r="80" spans="1:14" x14ac:dyDescent="0.3">
      <c r="A80">
        <v>1029</v>
      </c>
      <c r="B80" s="1">
        <v>45021</v>
      </c>
      <c r="C80">
        <v>2023</v>
      </c>
      <c r="D80">
        <v>4</v>
      </c>
      <c r="E80" t="str">
        <f t="shared" si="1"/>
        <v>April</v>
      </c>
      <c r="F80">
        <v>2</v>
      </c>
      <c r="G80" t="s">
        <v>1532</v>
      </c>
      <c r="H80" t="s">
        <v>1512</v>
      </c>
      <c r="I80" t="s">
        <v>1521</v>
      </c>
      <c r="J80" t="s">
        <v>1566</v>
      </c>
      <c r="K80" t="s">
        <v>1518</v>
      </c>
      <c r="L80" s="2">
        <v>1</v>
      </c>
      <c r="M80" s="10">
        <v>7608</v>
      </c>
      <c r="N80" s="7">
        <v>7608</v>
      </c>
    </row>
    <row r="81" spans="1:14" x14ac:dyDescent="0.3">
      <c r="A81">
        <v>1030</v>
      </c>
      <c r="B81" s="1">
        <v>45271</v>
      </c>
      <c r="C81">
        <v>2023</v>
      </c>
      <c r="D81">
        <v>12</v>
      </c>
      <c r="E81" t="str">
        <f t="shared" si="1"/>
        <v>Desember</v>
      </c>
      <c r="F81">
        <v>4</v>
      </c>
      <c r="G81" t="s">
        <v>1533</v>
      </c>
      <c r="H81" t="s">
        <v>1520</v>
      </c>
      <c r="I81" t="s">
        <v>1528</v>
      </c>
      <c r="J81" t="s">
        <v>1566</v>
      </c>
      <c r="K81" t="s">
        <v>1525</v>
      </c>
      <c r="L81" s="2">
        <v>5</v>
      </c>
      <c r="M81" s="10">
        <v>126</v>
      </c>
      <c r="N81" s="7">
        <v>630</v>
      </c>
    </row>
    <row r="82" spans="1:14" x14ac:dyDescent="0.3">
      <c r="A82">
        <v>1031</v>
      </c>
      <c r="B82" s="1">
        <v>44867</v>
      </c>
      <c r="C82">
        <v>2022</v>
      </c>
      <c r="D82">
        <v>11</v>
      </c>
      <c r="E82" t="str">
        <f t="shared" si="1"/>
        <v>November</v>
      </c>
      <c r="F82">
        <v>4</v>
      </c>
      <c r="G82" t="s">
        <v>1511</v>
      </c>
      <c r="H82" t="s">
        <v>1512</v>
      </c>
      <c r="I82" t="s">
        <v>1528</v>
      </c>
      <c r="J82" t="s">
        <v>1517</v>
      </c>
      <c r="K82" t="s">
        <v>1525</v>
      </c>
      <c r="L82" s="2">
        <v>1</v>
      </c>
      <c r="M82" s="10">
        <v>68088</v>
      </c>
      <c r="N82" s="7">
        <v>68088</v>
      </c>
    </row>
    <row r="83" spans="1:14" x14ac:dyDescent="0.3">
      <c r="A83">
        <v>1031</v>
      </c>
      <c r="B83" s="1">
        <v>45574</v>
      </c>
      <c r="C83">
        <v>2024</v>
      </c>
      <c r="D83">
        <v>10</v>
      </c>
      <c r="E83" t="str">
        <f t="shared" si="1"/>
        <v>Oktober</v>
      </c>
      <c r="F83">
        <v>4</v>
      </c>
      <c r="G83" t="s">
        <v>1511</v>
      </c>
      <c r="H83" t="s">
        <v>1512</v>
      </c>
      <c r="I83" t="s">
        <v>1528</v>
      </c>
      <c r="J83" t="s">
        <v>1517</v>
      </c>
      <c r="K83" t="s">
        <v>1525</v>
      </c>
      <c r="L83" s="2">
        <v>1</v>
      </c>
      <c r="M83" s="10">
        <v>68088</v>
      </c>
      <c r="N83" s="7">
        <v>68088</v>
      </c>
    </row>
    <row r="84" spans="1:14" x14ac:dyDescent="0.3">
      <c r="A84">
        <v>1031</v>
      </c>
      <c r="B84" s="1">
        <v>45466</v>
      </c>
      <c r="C84">
        <v>2024</v>
      </c>
      <c r="D84">
        <v>6</v>
      </c>
      <c r="E84" t="str">
        <f t="shared" si="1"/>
        <v>Juni</v>
      </c>
      <c r="F84">
        <v>2</v>
      </c>
      <c r="G84" t="s">
        <v>1511</v>
      </c>
      <c r="H84" t="s">
        <v>1512</v>
      </c>
      <c r="I84" t="s">
        <v>1528</v>
      </c>
      <c r="J84" t="s">
        <v>1517</v>
      </c>
      <c r="K84" t="s">
        <v>1525</v>
      </c>
      <c r="L84" s="2">
        <v>1</v>
      </c>
      <c r="M84" s="10">
        <v>68088</v>
      </c>
      <c r="N84" s="7">
        <v>68088</v>
      </c>
    </row>
    <row r="85" spans="1:14" x14ac:dyDescent="0.3">
      <c r="A85">
        <v>1032</v>
      </c>
      <c r="B85" s="1">
        <v>44682</v>
      </c>
      <c r="C85">
        <v>2022</v>
      </c>
      <c r="D85">
        <v>5</v>
      </c>
      <c r="E85" t="str">
        <f t="shared" si="1"/>
        <v>Mei</v>
      </c>
      <c r="F85">
        <v>2</v>
      </c>
      <c r="G85" t="s">
        <v>1515</v>
      </c>
      <c r="H85" t="s">
        <v>1512</v>
      </c>
      <c r="I85" t="s">
        <v>1516</v>
      </c>
      <c r="J85" t="s">
        <v>1517</v>
      </c>
      <c r="K85" t="s">
        <v>1518</v>
      </c>
      <c r="L85" s="2">
        <v>3</v>
      </c>
      <c r="M85" s="10">
        <v>2723</v>
      </c>
      <c r="N85" s="7">
        <v>8169</v>
      </c>
    </row>
    <row r="86" spans="1:14" x14ac:dyDescent="0.3">
      <c r="A86">
        <v>1032</v>
      </c>
      <c r="B86" s="1">
        <v>45161</v>
      </c>
      <c r="C86">
        <v>2023</v>
      </c>
      <c r="D86">
        <v>8</v>
      </c>
      <c r="E86" t="str">
        <f t="shared" si="1"/>
        <v>Agustus</v>
      </c>
      <c r="F86">
        <v>3</v>
      </c>
      <c r="G86" t="s">
        <v>1515</v>
      </c>
      <c r="H86" t="s">
        <v>1512</v>
      </c>
      <c r="I86" t="s">
        <v>1516</v>
      </c>
      <c r="J86" t="s">
        <v>1517</v>
      </c>
      <c r="K86" t="s">
        <v>1518</v>
      </c>
      <c r="L86" s="2">
        <v>3</v>
      </c>
      <c r="M86" s="10">
        <v>2723</v>
      </c>
      <c r="N86" s="7">
        <v>8169</v>
      </c>
    </row>
    <row r="87" spans="1:14" x14ac:dyDescent="0.3">
      <c r="A87">
        <v>1032</v>
      </c>
      <c r="B87" s="1">
        <v>45074</v>
      </c>
      <c r="C87">
        <v>2023</v>
      </c>
      <c r="D87">
        <v>5</v>
      </c>
      <c r="E87" t="str">
        <f t="shared" si="1"/>
        <v>Mei</v>
      </c>
      <c r="F87">
        <v>2</v>
      </c>
      <c r="G87" t="s">
        <v>1515</v>
      </c>
      <c r="H87" t="s">
        <v>1512</v>
      </c>
      <c r="I87" t="s">
        <v>1516</v>
      </c>
      <c r="J87" t="s">
        <v>1517</v>
      </c>
      <c r="K87" t="s">
        <v>1518</v>
      </c>
      <c r="L87" s="2">
        <v>3</v>
      </c>
      <c r="M87" s="10">
        <v>2723</v>
      </c>
      <c r="N87" s="7">
        <v>8169</v>
      </c>
    </row>
    <row r="88" spans="1:14" x14ac:dyDescent="0.3">
      <c r="A88">
        <v>1033</v>
      </c>
      <c r="B88" s="1">
        <v>44935</v>
      </c>
      <c r="C88">
        <v>2023</v>
      </c>
      <c r="D88">
        <v>1</v>
      </c>
      <c r="E88" t="str">
        <f t="shared" si="1"/>
        <v>Januari</v>
      </c>
      <c r="F88">
        <v>1</v>
      </c>
      <c r="G88" t="s">
        <v>1534</v>
      </c>
      <c r="H88" t="s">
        <v>1530</v>
      </c>
      <c r="I88" t="s">
        <v>1535</v>
      </c>
      <c r="J88" t="s">
        <v>1517</v>
      </c>
      <c r="K88" t="s">
        <v>1525</v>
      </c>
      <c r="L88" s="2">
        <v>1</v>
      </c>
      <c r="M88" s="10">
        <v>4157</v>
      </c>
      <c r="N88" s="7">
        <v>4157</v>
      </c>
    </row>
    <row r="89" spans="1:14" x14ac:dyDescent="0.3">
      <c r="A89">
        <v>1033</v>
      </c>
      <c r="B89" s="1">
        <v>45318</v>
      </c>
      <c r="C89">
        <v>2024</v>
      </c>
      <c r="D89">
        <v>1</v>
      </c>
      <c r="E89" t="str">
        <f t="shared" si="1"/>
        <v>Januari</v>
      </c>
      <c r="F89">
        <v>1</v>
      </c>
      <c r="G89" t="s">
        <v>1534</v>
      </c>
      <c r="H89" t="s">
        <v>1530</v>
      </c>
      <c r="I89" t="s">
        <v>1535</v>
      </c>
      <c r="J89" t="s">
        <v>1517</v>
      </c>
      <c r="K89" t="s">
        <v>1525</v>
      </c>
      <c r="L89" s="2">
        <v>1</v>
      </c>
      <c r="M89" s="10">
        <v>4157</v>
      </c>
      <c r="N89" s="7">
        <v>4157</v>
      </c>
    </row>
    <row r="90" spans="1:14" x14ac:dyDescent="0.3">
      <c r="A90">
        <v>1033</v>
      </c>
      <c r="B90" s="1">
        <v>45322</v>
      </c>
      <c r="C90">
        <v>2024</v>
      </c>
      <c r="D90">
        <v>1</v>
      </c>
      <c r="E90" t="str">
        <f t="shared" si="1"/>
        <v>Januari</v>
      </c>
      <c r="F90">
        <v>1</v>
      </c>
      <c r="G90" t="s">
        <v>1534</v>
      </c>
      <c r="H90" t="s">
        <v>1530</v>
      </c>
      <c r="I90" t="s">
        <v>1535</v>
      </c>
      <c r="J90" t="s">
        <v>1517</v>
      </c>
      <c r="K90" t="s">
        <v>1525</v>
      </c>
      <c r="L90" s="2">
        <v>1</v>
      </c>
      <c r="M90" s="10">
        <v>4157</v>
      </c>
      <c r="N90" s="7">
        <v>4157</v>
      </c>
    </row>
    <row r="91" spans="1:14" x14ac:dyDescent="0.3">
      <c r="A91">
        <v>1033</v>
      </c>
      <c r="B91" s="1">
        <v>44602</v>
      </c>
      <c r="C91">
        <v>2022</v>
      </c>
      <c r="D91">
        <v>2</v>
      </c>
      <c r="E91" t="str">
        <f t="shared" si="1"/>
        <v>Februari</v>
      </c>
      <c r="F91">
        <v>1</v>
      </c>
      <c r="G91" t="s">
        <v>1534</v>
      </c>
      <c r="H91" t="s">
        <v>1530</v>
      </c>
      <c r="I91" t="s">
        <v>1535</v>
      </c>
      <c r="J91" t="s">
        <v>1517</v>
      </c>
      <c r="K91" t="s">
        <v>1525</v>
      </c>
      <c r="L91" s="2">
        <v>1</v>
      </c>
      <c r="M91" s="10">
        <v>4157</v>
      </c>
      <c r="N91" s="7">
        <v>4157</v>
      </c>
    </row>
    <row r="92" spans="1:14" x14ac:dyDescent="0.3">
      <c r="A92">
        <v>1035</v>
      </c>
      <c r="B92" s="1">
        <v>44620</v>
      </c>
      <c r="C92">
        <v>2022</v>
      </c>
      <c r="D92">
        <v>2</v>
      </c>
      <c r="E92" t="str">
        <f t="shared" si="1"/>
        <v>Februari</v>
      </c>
      <c r="F92">
        <v>1</v>
      </c>
      <c r="G92" t="s">
        <v>1522</v>
      </c>
      <c r="H92" t="s">
        <v>1520</v>
      </c>
      <c r="I92" t="s">
        <v>1516</v>
      </c>
      <c r="J92" t="s">
        <v>1524</v>
      </c>
      <c r="K92" t="s">
        <v>1518</v>
      </c>
      <c r="L92" s="2">
        <v>3</v>
      </c>
      <c r="M92" s="10">
        <v>414</v>
      </c>
      <c r="N92" s="7">
        <v>1242</v>
      </c>
    </row>
    <row r="93" spans="1:14" x14ac:dyDescent="0.3">
      <c r="A93">
        <v>1035</v>
      </c>
      <c r="B93" s="1">
        <v>44633</v>
      </c>
      <c r="C93">
        <v>2022</v>
      </c>
      <c r="D93">
        <v>3</v>
      </c>
      <c r="E93" t="str">
        <f t="shared" si="1"/>
        <v>Maret</v>
      </c>
      <c r="F93">
        <v>1</v>
      </c>
      <c r="G93" t="s">
        <v>1522</v>
      </c>
      <c r="H93" t="s">
        <v>1520</v>
      </c>
      <c r="I93" t="s">
        <v>1516</v>
      </c>
      <c r="J93" t="s">
        <v>1524</v>
      </c>
      <c r="K93" t="s">
        <v>1518</v>
      </c>
      <c r="L93" s="2">
        <v>3</v>
      </c>
      <c r="M93" s="10">
        <v>414</v>
      </c>
      <c r="N93" s="7">
        <v>1242</v>
      </c>
    </row>
    <row r="94" spans="1:14" x14ac:dyDescent="0.3">
      <c r="A94">
        <v>1035</v>
      </c>
      <c r="B94" s="1">
        <v>45111</v>
      </c>
      <c r="C94">
        <v>2023</v>
      </c>
      <c r="D94">
        <v>7</v>
      </c>
      <c r="E94" t="str">
        <f t="shared" si="1"/>
        <v>Juli</v>
      </c>
      <c r="F94">
        <v>3</v>
      </c>
      <c r="G94" t="s">
        <v>1522</v>
      </c>
      <c r="H94" t="s">
        <v>1520</v>
      </c>
      <c r="I94" t="s">
        <v>1516</v>
      </c>
      <c r="J94" t="s">
        <v>1524</v>
      </c>
      <c r="K94" t="s">
        <v>1518</v>
      </c>
      <c r="L94" s="2">
        <v>3</v>
      </c>
      <c r="M94" s="10">
        <v>414</v>
      </c>
      <c r="N94" s="7">
        <v>1242</v>
      </c>
    </row>
    <row r="95" spans="1:14" x14ac:dyDescent="0.3">
      <c r="A95">
        <v>1036</v>
      </c>
      <c r="B95" s="1">
        <v>45279</v>
      </c>
      <c r="C95">
        <v>2023</v>
      </c>
      <c r="D95">
        <v>12</v>
      </c>
      <c r="E95" t="str">
        <f t="shared" si="1"/>
        <v>Desember</v>
      </c>
      <c r="F95">
        <v>4</v>
      </c>
      <c r="G95" t="s">
        <v>1523</v>
      </c>
      <c r="H95" t="s">
        <v>1512</v>
      </c>
      <c r="I95" t="s">
        <v>1531</v>
      </c>
      <c r="J95" t="s">
        <v>1524</v>
      </c>
      <c r="K95" t="s">
        <v>1514</v>
      </c>
      <c r="L95" s="2">
        <v>2</v>
      </c>
      <c r="M95" s="10">
        <v>15134</v>
      </c>
      <c r="N95" s="7">
        <v>30268</v>
      </c>
    </row>
    <row r="96" spans="1:14" x14ac:dyDescent="0.3">
      <c r="A96">
        <v>1037</v>
      </c>
      <c r="B96" s="1">
        <v>45304</v>
      </c>
      <c r="C96">
        <v>2024</v>
      </c>
      <c r="D96">
        <v>1</v>
      </c>
      <c r="E96" t="str">
        <f t="shared" si="1"/>
        <v>Januari</v>
      </c>
      <c r="F96">
        <v>1</v>
      </c>
      <c r="G96" t="s">
        <v>1526</v>
      </c>
      <c r="H96" t="s">
        <v>1527</v>
      </c>
      <c r="I96" t="s">
        <v>1528</v>
      </c>
      <c r="J96" t="s">
        <v>1524</v>
      </c>
      <c r="K96" t="s">
        <v>1514</v>
      </c>
      <c r="L96" s="2">
        <v>5</v>
      </c>
      <c r="M96" s="10">
        <v>605</v>
      </c>
      <c r="N96" s="7">
        <v>3025</v>
      </c>
    </row>
    <row r="97" spans="1:14" x14ac:dyDescent="0.3">
      <c r="A97">
        <v>1038</v>
      </c>
      <c r="B97" s="1">
        <v>44766</v>
      </c>
      <c r="C97">
        <v>2022</v>
      </c>
      <c r="D97">
        <v>7</v>
      </c>
      <c r="E97" t="str">
        <f t="shared" si="1"/>
        <v>Juli</v>
      </c>
      <c r="F97">
        <v>3</v>
      </c>
      <c r="G97" t="s">
        <v>1529</v>
      </c>
      <c r="H97" t="s">
        <v>1530</v>
      </c>
      <c r="I97" t="s">
        <v>1516</v>
      </c>
      <c r="J97" t="s">
        <v>1524</v>
      </c>
      <c r="K97" t="s">
        <v>1514</v>
      </c>
      <c r="L97" s="2">
        <v>3</v>
      </c>
      <c r="M97" s="10">
        <v>1857</v>
      </c>
      <c r="N97" s="7">
        <v>5571</v>
      </c>
    </row>
    <row r="98" spans="1:14" x14ac:dyDescent="0.3">
      <c r="A98">
        <v>1038</v>
      </c>
      <c r="B98" s="1">
        <v>45347</v>
      </c>
      <c r="C98">
        <v>2024</v>
      </c>
      <c r="D98">
        <v>2</v>
      </c>
      <c r="E98" t="str">
        <f t="shared" si="1"/>
        <v>Februari</v>
      </c>
      <c r="F98">
        <v>1</v>
      </c>
      <c r="G98" t="s">
        <v>1529</v>
      </c>
      <c r="H98" t="s">
        <v>1530</v>
      </c>
      <c r="I98" t="s">
        <v>1516</v>
      </c>
      <c r="J98" t="s">
        <v>1524</v>
      </c>
      <c r="K98" t="s">
        <v>1514</v>
      </c>
      <c r="L98" s="2">
        <v>3</v>
      </c>
      <c r="M98" s="10">
        <v>1857</v>
      </c>
      <c r="N98" s="7">
        <v>5571</v>
      </c>
    </row>
    <row r="99" spans="1:14" x14ac:dyDescent="0.3">
      <c r="A99">
        <v>1039</v>
      </c>
      <c r="B99" s="1">
        <v>44728</v>
      </c>
      <c r="C99">
        <v>2022</v>
      </c>
      <c r="D99">
        <v>6</v>
      </c>
      <c r="E99" t="str">
        <f t="shared" si="1"/>
        <v>Juni</v>
      </c>
      <c r="F99">
        <v>2</v>
      </c>
      <c r="G99" t="s">
        <v>1532</v>
      </c>
      <c r="H99" t="s">
        <v>1512</v>
      </c>
      <c r="I99" t="s">
        <v>1513</v>
      </c>
      <c r="J99" t="s">
        <v>1524</v>
      </c>
      <c r="K99" t="s">
        <v>1525</v>
      </c>
      <c r="L99" s="2">
        <v>1</v>
      </c>
      <c r="M99" s="10">
        <v>5190</v>
      </c>
      <c r="N99" s="7">
        <v>5190</v>
      </c>
    </row>
    <row r="100" spans="1:14" x14ac:dyDescent="0.3">
      <c r="A100">
        <v>1039</v>
      </c>
      <c r="B100" s="1">
        <v>44933</v>
      </c>
      <c r="C100">
        <v>2023</v>
      </c>
      <c r="D100">
        <v>1</v>
      </c>
      <c r="E100" t="str">
        <f t="shared" si="1"/>
        <v>Januari</v>
      </c>
      <c r="F100">
        <v>1</v>
      </c>
      <c r="G100" t="s">
        <v>1532</v>
      </c>
      <c r="H100" t="s">
        <v>1512</v>
      </c>
      <c r="I100" t="s">
        <v>1513</v>
      </c>
      <c r="J100" t="s">
        <v>1524</v>
      </c>
      <c r="K100" t="s">
        <v>1525</v>
      </c>
      <c r="L100" s="2">
        <v>1</v>
      </c>
      <c r="M100" s="10">
        <v>5190</v>
      </c>
      <c r="N100" s="7">
        <v>5190</v>
      </c>
    </row>
    <row r="101" spans="1:14" x14ac:dyDescent="0.3">
      <c r="A101">
        <v>1039</v>
      </c>
      <c r="B101" s="1">
        <v>44966</v>
      </c>
      <c r="C101">
        <v>2023</v>
      </c>
      <c r="D101">
        <v>2</v>
      </c>
      <c r="E101" t="str">
        <f t="shared" si="1"/>
        <v>Februari</v>
      </c>
      <c r="F101">
        <v>1</v>
      </c>
      <c r="G101" t="s">
        <v>1532</v>
      </c>
      <c r="H101" t="s">
        <v>1512</v>
      </c>
      <c r="I101" t="s">
        <v>1513</v>
      </c>
      <c r="J101" t="s">
        <v>1524</v>
      </c>
      <c r="K101" t="s">
        <v>1525</v>
      </c>
      <c r="L101" s="2">
        <v>1</v>
      </c>
      <c r="M101" s="10">
        <v>5190</v>
      </c>
      <c r="N101" s="7">
        <v>5190</v>
      </c>
    </row>
    <row r="102" spans="1:14" x14ac:dyDescent="0.3">
      <c r="A102">
        <v>1039</v>
      </c>
      <c r="B102" s="1">
        <v>44863</v>
      </c>
      <c r="C102">
        <v>2022</v>
      </c>
      <c r="D102">
        <v>10</v>
      </c>
      <c r="E102" t="str">
        <f t="shared" si="1"/>
        <v>Oktober</v>
      </c>
      <c r="F102">
        <v>4</v>
      </c>
      <c r="G102" t="s">
        <v>1532</v>
      </c>
      <c r="H102" t="s">
        <v>1512</v>
      </c>
      <c r="I102" t="s">
        <v>1513</v>
      </c>
      <c r="J102" t="s">
        <v>1524</v>
      </c>
      <c r="K102" t="s">
        <v>1525</v>
      </c>
      <c r="L102" s="2">
        <v>1</v>
      </c>
      <c r="M102" s="10">
        <v>5190</v>
      </c>
      <c r="N102" s="7">
        <v>5190</v>
      </c>
    </row>
    <row r="103" spans="1:14" x14ac:dyDescent="0.3">
      <c r="A103">
        <v>1040</v>
      </c>
      <c r="B103" s="1">
        <v>44829</v>
      </c>
      <c r="C103">
        <v>2022</v>
      </c>
      <c r="D103">
        <v>9</v>
      </c>
      <c r="E103" t="str">
        <f t="shared" si="1"/>
        <v>September</v>
      </c>
      <c r="F103">
        <v>3</v>
      </c>
      <c r="G103" t="s">
        <v>1533</v>
      </c>
      <c r="H103" t="s">
        <v>1520</v>
      </c>
      <c r="I103" t="s">
        <v>1531</v>
      </c>
      <c r="J103" t="s">
        <v>1566</v>
      </c>
      <c r="K103" t="s">
        <v>1525</v>
      </c>
      <c r="L103" s="2">
        <v>4</v>
      </c>
      <c r="M103" s="10">
        <v>338</v>
      </c>
      <c r="N103" s="7">
        <v>1352</v>
      </c>
    </row>
    <row r="104" spans="1:14" x14ac:dyDescent="0.3">
      <c r="A104">
        <v>1040</v>
      </c>
      <c r="B104" s="1">
        <v>44580</v>
      </c>
      <c r="C104">
        <v>2022</v>
      </c>
      <c r="D104">
        <v>1</v>
      </c>
      <c r="E104" t="str">
        <f t="shared" si="1"/>
        <v>Januari</v>
      </c>
      <c r="F104">
        <v>1</v>
      </c>
      <c r="G104" t="s">
        <v>1533</v>
      </c>
      <c r="H104" t="s">
        <v>1520</v>
      </c>
      <c r="I104" t="s">
        <v>1531</v>
      </c>
      <c r="J104" t="s">
        <v>1566</v>
      </c>
      <c r="K104" t="s">
        <v>1525</v>
      </c>
      <c r="L104" s="2">
        <v>4</v>
      </c>
      <c r="M104" s="10">
        <v>338</v>
      </c>
      <c r="N104" s="7">
        <v>1352</v>
      </c>
    </row>
    <row r="105" spans="1:14" x14ac:dyDescent="0.3">
      <c r="A105">
        <v>1041</v>
      </c>
      <c r="B105" s="1">
        <v>44612</v>
      </c>
      <c r="C105">
        <v>2022</v>
      </c>
      <c r="D105">
        <v>2</v>
      </c>
      <c r="E105" t="str">
        <f t="shared" si="1"/>
        <v>Februari</v>
      </c>
      <c r="F105">
        <v>1</v>
      </c>
      <c r="G105" t="s">
        <v>1511</v>
      </c>
      <c r="H105" t="s">
        <v>1512</v>
      </c>
      <c r="I105" t="s">
        <v>1528</v>
      </c>
      <c r="J105" t="s">
        <v>1517</v>
      </c>
      <c r="K105" t="s">
        <v>1525</v>
      </c>
      <c r="L105" s="2">
        <v>1</v>
      </c>
      <c r="M105" s="10">
        <v>52555</v>
      </c>
      <c r="N105" s="7">
        <v>52555</v>
      </c>
    </row>
    <row r="106" spans="1:14" x14ac:dyDescent="0.3">
      <c r="A106">
        <v>1041</v>
      </c>
      <c r="B106" s="1">
        <v>45154</v>
      </c>
      <c r="C106">
        <v>2023</v>
      </c>
      <c r="D106">
        <v>8</v>
      </c>
      <c r="E106" t="str">
        <f t="shared" si="1"/>
        <v>Agustus</v>
      </c>
      <c r="F106">
        <v>3</v>
      </c>
      <c r="G106" t="s">
        <v>1511</v>
      </c>
      <c r="H106" t="s">
        <v>1512</v>
      </c>
      <c r="I106" t="s">
        <v>1528</v>
      </c>
      <c r="J106" t="s">
        <v>1517</v>
      </c>
      <c r="K106" t="s">
        <v>1525</v>
      </c>
      <c r="L106" s="2">
        <v>1</v>
      </c>
      <c r="M106" s="10">
        <v>52555</v>
      </c>
      <c r="N106" s="7">
        <v>52555</v>
      </c>
    </row>
    <row r="107" spans="1:14" x14ac:dyDescent="0.3">
      <c r="A107">
        <v>1041</v>
      </c>
      <c r="B107" s="1">
        <v>45008</v>
      </c>
      <c r="C107">
        <v>2023</v>
      </c>
      <c r="D107">
        <v>3</v>
      </c>
      <c r="E107" t="str">
        <f t="shared" si="1"/>
        <v>Maret</v>
      </c>
      <c r="F107">
        <v>1</v>
      </c>
      <c r="G107" t="s">
        <v>1511</v>
      </c>
      <c r="H107" t="s">
        <v>1512</v>
      </c>
      <c r="I107" t="s">
        <v>1528</v>
      </c>
      <c r="J107" t="s">
        <v>1517</v>
      </c>
      <c r="K107" t="s">
        <v>1525</v>
      </c>
      <c r="L107" s="2">
        <v>1</v>
      </c>
      <c r="M107" s="10">
        <v>52555</v>
      </c>
      <c r="N107" s="7">
        <v>52555</v>
      </c>
    </row>
    <row r="108" spans="1:14" x14ac:dyDescent="0.3">
      <c r="A108">
        <v>1042</v>
      </c>
      <c r="B108" s="1">
        <v>45222</v>
      </c>
      <c r="C108">
        <v>2023</v>
      </c>
      <c r="D108">
        <v>10</v>
      </c>
      <c r="E108" t="str">
        <f t="shared" si="1"/>
        <v>Oktober</v>
      </c>
      <c r="F108">
        <v>4</v>
      </c>
      <c r="G108" t="s">
        <v>1515</v>
      </c>
      <c r="H108" t="s">
        <v>1512</v>
      </c>
      <c r="I108" t="s">
        <v>1516</v>
      </c>
      <c r="J108" t="s">
        <v>1524</v>
      </c>
      <c r="K108" t="s">
        <v>1518</v>
      </c>
      <c r="L108" s="2">
        <v>1</v>
      </c>
      <c r="M108" s="10">
        <v>2478</v>
      </c>
      <c r="N108" s="7">
        <v>2478</v>
      </c>
    </row>
    <row r="109" spans="1:14" x14ac:dyDescent="0.3">
      <c r="A109">
        <v>1042</v>
      </c>
      <c r="B109" s="1">
        <v>45161</v>
      </c>
      <c r="C109">
        <v>2023</v>
      </c>
      <c r="D109">
        <v>8</v>
      </c>
      <c r="E109" t="str">
        <f t="shared" si="1"/>
        <v>Agustus</v>
      </c>
      <c r="F109">
        <v>3</v>
      </c>
      <c r="G109" t="s">
        <v>1515</v>
      </c>
      <c r="H109" t="s">
        <v>1512</v>
      </c>
      <c r="I109" t="s">
        <v>1516</v>
      </c>
      <c r="J109" t="s">
        <v>1524</v>
      </c>
      <c r="K109" t="s">
        <v>1518</v>
      </c>
      <c r="L109" s="2">
        <v>1</v>
      </c>
      <c r="M109" s="10">
        <v>2478</v>
      </c>
      <c r="N109" s="7">
        <v>2478</v>
      </c>
    </row>
    <row r="110" spans="1:14" x14ac:dyDescent="0.3">
      <c r="A110">
        <v>1042</v>
      </c>
      <c r="B110" s="1">
        <v>45516</v>
      </c>
      <c r="C110">
        <v>2024</v>
      </c>
      <c r="D110">
        <v>8</v>
      </c>
      <c r="E110" t="str">
        <f t="shared" si="1"/>
        <v>Agustus</v>
      </c>
      <c r="F110">
        <v>3</v>
      </c>
      <c r="G110" t="s">
        <v>1515</v>
      </c>
      <c r="H110" t="s">
        <v>1512</v>
      </c>
      <c r="I110" t="s">
        <v>1516</v>
      </c>
      <c r="J110" t="s">
        <v>1524</v>
      </c>
      <c r="K110" t="s">
        <v>1518</v>
      </c>
      <c r="L110" s="2">
        <v>1</v>
      </c>
      <c r="M110" s="10">
        <v>2478</v>
      </c>
      <c r="N110" s="7">
        <v>2478</v>
      </c>
    </row>
    <row r="111" spans="1:14" x14ac:dyDescent="0.3">
      <c r="A111">
        <v>1043</v>
      </c>
      <c r="B111" s="1">
        <v>44671</v>
      </c>
      <c r="C111">
        <v>2022</v>
      </c>
      <c r="D111">
        <v>4</v>
      </c>
      <c r="E111" t="str">
        <f t="shared" si="1"/>
        <v>April</v>
      </c>
      <c r="F111">
        <v>2</v>
      </c>
      <c r="G111" t="s">
        <v>1534</v>
      </c>
      <c r="H111" t="s">
        <v>1530</v>
      </c>
      <c r="I111" t="s">
        <v>1513</v>
      </c>
      <c r="J111" t="s">
        <v>1524</v>
      </c>
      <c r="K111" t="s">
        <v>1525</v>
      </c>
      <c r="L111" s="2">
        <v>2</v>
      </c>
      <c r="M111" s="10">
        <v>4368</v>
      </c>
      <c r="N111" s="7">
        <v>8736</v>
      </c>
    </row>
    <row r="112" spans="1:14" x14ac:dyDescent="0.3">
      <c r="A112">
        <v>1043</v>
      </c>
      <c r="B112" s="1">
        <v>44939</v>
      </c>
      <c r="C112">
        <v>2023</v>
      </c>
      <c r="D112">
        <v>1</v>
      </c>
      <c r="E112" t="str">
        <f t="shared" si="1"/>
        <v>Januari</v>
      </c>
      <c r="F112">
        <v>1</v>
      </c>
      <c r="G112" t="s">
        <v>1534</v>
      </c>
      <c r="H112" t="s">
        <v>1530</v>
      </c>
      <c r="I112" t="s">
        <v>1513</v>
      </c>
      <c r="J112" t="s">
        <v>1524</v>
      </c>
      <c r="K112" t="s">
        <v>1525</v>
      </c>
      <c r="L112" s="2">
        <v>2</v>
      </c>
      <c r="M112" s="10">
        <v>4368</v>
      </c>
      <c r="N112" s="7">
        <v>8736</v>
      </c>
    </row>
    <row r="113" spans="1:14" x14ac:dyDescent="0.3">
      <c r="A113">
        <v>1043</v>
      </c>
      <c r="B113" s="1">
        <v>45154</v>
      </c>
      <c r="C113">
        <v>2023</v>
      </c>
      <c r="D113">
        <v>8</v>
      </c>
      <c r="E113" t="str">
        <f t="shared" si="1"/>
        <v>Agustus</v>
      </c>
      <c r="F113">
        <v>3</v>
      </c>
      <c r="G113" t="s">
        <v>1534</v>
      </c>
      <c r="H113" t="s">
        <v>1530</v>
      </c>
      <c r="I113" t="s">
        <v>1513</v>
      </c>
      <c r="J113" t="s">
        <v>1524</v>
      </c>
      <c r="K113" t="s">
        <v>1525</v>
      </c>
      <c r="L113" s="2">
        <v>2</v>
      </c>
      <c r="M113" s="10">
        <v>4368</v>
      </c>
      <c r="N113" s="7">
        <v>8736</v>
      </c>
    </row>
    <row r="114" spans="1:14" x14ac:dyDescent="0.3">
      <c r="A114">
        <v>1044</v>
      </c>
      <c r="B114" s="1">
        <v>45643</v>
      </c>
      <c r="C114">
        <v>2024</v>
      </c>
      <c r="D114">
        <v>12</v>
      </c>
      <c r="E114" t="str">
        <f t="shared" si="1"/>
        <v>Desember</v>
      </c>
      <c r="F114">
        <v>4</v>
      </c>
      <c r="G114" t="s">
        <v>1519</v>
      </c>
      <c r="H114" t="s">
        <v>1520</v>
      </c>
      <c r="I114" t="s">
        <v>1521</v>
      </c>
      <c r="J114" t="s">
        <v>1524</v>
      </c>
      <c r="K114" t="s">
        <v>1518</v>
      </c>
      <c r="L114" s="2">
        <v>5</v>
      </c>
      <c r="M114" s="10">
        <v>4294</v>
      </c>
      <c r="N114" s="7">
        <v>21470</v>
      </c>
    </row>
    <row r="115" spans="1:14" x14ac:dyDescent="0.3">
      <c r="A115">
        <v>1044</v>
      </c>
      <c r="B115" s="1">
        <v>45501</v>
      </c>
      <c r="C115">
        <v>2024</v>
      </c>
      <c r="D115">
        <v>7</v>
      </c>
      <c r="E115" t="str">
        <f t="shared" si="1"/>
        <v>Juli</v>
      </c>
      <c r="F115">
        <v>3</v>
      </c>
      <c r="G115" t="s">
        <v>1519</v>
      </c>
      <c r="H115" t="s">
        <v>1520</v>
      </c>
      <c r="I115" t="s">
        <v>1521</v>
      </c>
      <c r="J115" t="s">
        <v>1524</v>
      </c>
      <c r="K115" t="s">
        <v>1518</v>
      </c>
      <c r="L115" s="2">
        <v>5</v>
      </c>
      <c r="M115" s="10">
        <v>4294</v>
      </c>
      <c r="N115" s="7">
        <v>21470</v>
      </c>
    </row>
    <row r="116" spans="1:14" x14ac:dyDescent="0.3">
      <c r="A116">
        <v>1045</v>
      </c>
      <c r="B116" s="1">
        <v>45098</v>
      </c>
      <c r="C116">
        <v>2023</v>
      </c>
      <c r="D116">
        <v>6</v>
      </c>
      <c r="E116" t="str">
        <f t="shared" si="1"/>
        <v>Juni</v>
      </c>
      <c r="F116">
        <v>2</v>
      </c>
      <c r="G116" t="s">
        <v>1522</v>
      </c>
      <c r="H116" t="s">
        <v>1520</v>
      </c>
      <c r="I116" t="s">
        <v>1513</v>
      </c>
      <c r="J116" t="s">
        <v>1566</v>
      </c>
      <c r="K116" t="s">
        <v>1514</v>
      </c>
      <c r="L116" s="2">
        <v>5</v>
      </c>
      <c r="M116" s="10">
        <v>877</v>
      </c>
      <c r="N116" s="7">
        <v>4385</v>
      </c>
    </row>
    <row r="117" spans="1:14" x14ac:dyDescent="0.3">
      <c r="A117">
        <v>1046</v>
      </c>
      <c r="B117" s="1">
        <v>45590</v>
      </c>
      <c r="C117">
        <v>2024</v>
      </c>
      <c r="D117">
        <v>10</v>
      </c>
      <c r="E117" t="str">
        <f t="shared" si="1"/>
        <v>Oktober</v>
      </c>
      <c r="F117">
        <v>4</v>
      </c>
      <c r="G117" t="s">
        <v>1523</v>
      </c>
      <c r="H117" t="s">
        <v>1512</v>
      </c>
      <c r="I117" t="s">
        <v>1528</v>
      </c>
      <c r="J117" t="s">
        <v>1566</v>
      </c>
      <c r="K117" t="s">
        <v>1518</v>
      </c>
      <c r="L117" s="2">
        <v>2</v>
      </c>
      <c r="M117" s="10">
        <v>35059</v>
      </c>
      <c r="N117" s="7">
        <v>70118</v>
      </c>
    </row>
    <row r="118" spans="1:14" x14ac:dyDescent="0.3">
      <c r="A118">
        <v>1046</v>
      </c>
      <c r="B118" s="1">
        <v>44719</v>
      </c>
      <c r="C118">
        <v>2022</v>
      </c>
      <c r="D118">
        <v>6</v>
      </c>
      <c r="E118" t="str">
        <f t="shared" si="1"/>
        <v>Juni</v>
      </c>
      <c r="F118">
        <v>2</v>
      </c>
      <c r="G118" t="s">
        <v>1523</v>
      </c>
      <c r="H118" t="s">
        <v>1512</v>
      </c>
      <c r="I118" t="s">
        <v>1528</v>
      </c>
      <c r="J118" t="s">
        <v>1566</v>
      </c>
      <c r="K118" t="s">
        <v>1518</v>
      </c>
      <c r="L118" s="2">
        <v>2</v>
      </c>
      <c r="M118" s="10">
        <v>35059</v>
      </c>
      <c r="N118" s="7">
        <v>70118</v>
      </c>
    </row>
    <row r="119" spans="1:14" x14ac:dyDescent="0.3">
      <c r="A119">
        <v>1047</v>
      </c>
      <c r="B119" s="1">
        <v>45163</v>
      </c>
      <c r="C119">
        <v>2023</v>
      </c>
      <c r="D119">
        <v>8</v>
      </c>
      <c r="E119" t="str">
        <f t="shared" si="1"/>
        <v>Agustus</v>
      </c>
      <c r="F119">
        <v>3</v>
      </c>
      <c r="G119" t="s">
        <v>1526</v>
      </c>
      <c r="H119" t="s">
        <v>1527</v>
      </c>
      <c r="I119" t="s">
        <v>1513</v>
      </c>
      <c r="J119" t="s">
        <v>1517</v>
      </c>
      <c r="K119" t="s">
        <v>1518</v>
      </c>
      <c r="L119" s="2">
        <v>3</v>
      </c>
      <c r="M119" s="10">
        <v>935</v>
      </c>
      <c r="N119" s="7">
        <v>2805</v>
      </c>
    </row>
    <row r="120" spans="1:14" x14ac:dyDescent="0.3">
      <c r="A120">
        <v>1047</v>
      </c>
      <c r="B120" s="1">
        <v>44616</v>
      </c>
      <c r="C120">
        <v>2022</v>
      </c>
      <c r="D120">
        <v>2</v>
      </c>
      <c r="E120" t="str">
        <f t="shared" si="1"/>
        <v>Februari</v>
      </c>
      <c r="F120">
        <v>1</v>
      </c>
      <c r="G120" t="s">
        <v>1526</v>
      </c>
      <c r="H120" t="s">
        <v>1527</v>
      </c>
      <c r="I120" t="s">
        <v>1513</v>
      </c>
      <c r="J120" t="s">
        <v>1517</v>
      </c>
      <c r="K120" t="s">
        <v>1518</v>
      </c>
      <c r="L120" s="2">
        <v>3</v>
      </c>
      <c r="M120" s="10">
        <v>935</v>
      </c>
      <c r="N120" s="7">
        <v>2805</v>
      </c>
    </row>
    <row r="121" spans="1:14" x14ac:dyDescent="0.3">
      <c r="A121">
        <v>1048</v>
      </c>
      <c r="B121" s="1">
        <v>44773</v>
      </c>
      <c r="C121">
        <v>2022</v>
      </c>
      <c r="D121">
        <v>7</v>
      </c>
      <c r="E121" t="str">
        <f t="shared" si="1"/>
        <v>Juli</v>
      </c>
      <c r="F121">
        <v>3</v>
      </c>
      <c r="G121" t="s">
        <v>1529</v>
      </c>
      <c r="H121" t="s">
        <v>1530</v>
      </c>
      <c r="I121" t="s">
        <v>1513</v>
      </c>
      <c r="J121" t="s">
        <v>1517</v>
      </c>
      <c r="K121" t="s">
        <v>1514</v>
      </c>
      <c r="L121" s="2">
        <v>1</v>
      </c>
      <c r="M121" s="10">
        <v>1978</v>
      </c>
      <c r="N121" s="7">
        <v>1978</v>
      </c>
    </row>
    <row r="122" spans="1:14" x14ac:dyDescent="0.3">
      <c r="A122">
        <v>1048</v>
      </c>
      <c r="B122" s="1">
        <v>45461</v>
      </c>
      <c r="C122">
        <v>2024</v>
      </c>
      <c r="D122">
        <v>6</v>
      </c>
      <c r="E122" t="str">
        <f t="shared" si="1"/>
        <v>Juni</v>
      </c>
      <c r="F122">
        <v>2</v>
      </c>
      <c r="G122" t="s">
        <v>1529</v>
      </c>
      <c r="H122" t="s">
        <v>1530</v>
      </c>
      <c r="I122" t="s">
        <v>1513</v>
      </c>
      <c r="J122" t="s">
        <v>1517</v>
      </c>
      <c r="K122" t="s">
        <v>1514</v>
      </c>
      <c r="L122" s="2">
        <v>1</v>
      </c>
      <c r="M122" s="10">
        <v>1978</v>
      </c>
      <c r="N122" s="7">
        <v>1978</v>
      </c>
    </row>
    <row r="123" spans="1:14" x14ac:dyDescent="0.3">
      <c r="A123">
        <v>1048</v>
      </c>
      <c r="B123" s="1">
        <v>44595</v>
      </c>
      <c r="C123">
        <v>2022</v>
      </c>
      <c r="D123">
        <v>2</v>
      </c>
      <c r="E123" t="str">
        <f t="shared" si="1"/>
        <v>Februari</v>
      </c>
      <c r="F123">
        <v>1</v>
      </c>
      <c r="G123" t="s">
        <v>1529</v>
      </c>
      <c r="H123" t="s">
        <v>1530</v>
      </c>
      <c r="I123" t="s">
        <v>1513</v>
      </c>
      <c r="J123" t="s">
        <v>1517</v>
      </c>
      <c r="K123" t="s">
        <v>1514</v>
      </c>
      <c r="L123" s="2">
        <v>1</v>
      </c>
      <c r="M123" s="10">
        <v>1978</v>
      </c>
      <c r="N123" s="7">
        <v>1978</v>
      </c>
    </row>
    <row r="124" spans="1:14" x14ac:dyDescent="0.3">
      <c r="A124">
        <v>1048</v>
      </c>
      <c r="B124" s="1">
        <v>44632</v>
      </c>
      <c r="C124">
        <v>2022</v>
      </c>
      <c r="D124">
        <v>3</v>
      </c>
      <c r="E124" t="str">
        <f t="shared" si="1"/>
        <v>Maret</v>
      </c>
      <c r="F124">
        <v>1</v>
      </c>
      <c r="G124" t="s">
        <v>1529</v>
      </c>
      <c r="H124" t="s">
        <v>1530</v>
      </c>
      <c r="I124" t="s">
        <v>1513</v>
      </c>
      <c r="J124" t="s">
        <v>1517</v>
      </c>
      <c r="K124" t="s">
        <v>1514</v>
      </c>
      <c r="L124" s="2">
        <v>1</v>
      </c>
      <c r="M124" s="10">
        <v>1978</v>
      </c>
      <c r="N124" s="7">
        <v>1978</v>
      </c>
    </row>
    <row r="125" spans="1:14" x14ac:dyDescent="0.3">
      <c r="A125">
        <v>1049</v>
      </c>
      <c r="B125" s="1">
        <v>45398</v>
      </c>
      <c r="C125">
        <v>2024</v>
      </c>
      <c r="D125">
        <v>4</v>
      </c>
      <c r="E125" t="str">
        <f t="shared" si="1"/>
        <v>April</v>
      </c>
      <c r="F125">
        <v>2</v>
      </c>
      <c r="G125" t="s">
        <v>1532</v>
      </c>
      <c r="H125" t="s">
        <v>1512</v>
      </c>
      <c r="I125" t="s">
        <v>1535</v>
      </c>
      <c r="J125" t="s">
        <v>1566</v>
      </c>
      <c r="K125" t="s">
        <v>1514</v>
      </c>
      <c r="L125" s="2">
        <v>2</v>
      </c>
      <c r="M125" s="10">
        <v>14326</v>
      </c>
      <c r="N125" s="7">
        <v>28652</v>
      </c>
    </row>
    <row r="126" spans="1:14" x14ac:dyDescent="0.3">
      <c r="A126">
        <v>1049</v>
      </c>
      <c r="B126" s="1">
        <v>45423</v>
      </c>
      <c r="C126">
        <v>2024</v>
      </c>
      <c r="D126">
        <v>5</v>
      </c>
      <c r="E126" t="str">
        <f t="shared" si="1"/>
        <v>Mei</v>
      </c>
      <c r="F126">
        <v>2</v>
      </c>
      <c r="G126" t="s">
        <v>1532</v>
      </c>
      <c r="H126" t="s">
        <v>1512</v>
      </c>
      <c r="I126" t="s">
        <v>1535</v>
      </c>
      <c r="J126" t="s">
        <v>1566</v>
      </c>
      <c r="K126" t="s">
        <v>1514</v>
      </c>
      <c r="L126" s="2">
        <v>2</v>
      </c>
      <c r="M126" s="10">
        <v>14326</v>
      </c>
      <c r="N126" s="7">
        <v>28652</v>
      </c>
    </row>
    <row r="127" spans="1:14" x14ac:dyDescent="0.3">
      <c r="A127">
        <v>1049</v>
      </c>
      <c r="B127" s="1">
        <v>45290</v>
      </c>
      <c r="C127">
        <v>2023</v>
      </c>
      <c r="D127">
        <v>12</v>
      </c>
      <c r="E127" t="str">
        <f t="shared" si="1"/>
        <v>Desember</v>
      </c>
      <c r="F127">
        <v>4</v>
      </c>
      <c r="G127" t="s">
        <v>1532</v>
      </c>
      <c r="H127" t="s">
        <v>1512</v>
      </c>
      <c r="I127" t="s">
        <v>1535</v>
      </c>
      <c r="J127" t="s">
        <v>1566</v>
      </c>
      <c r="K127" t="s">
        <v>1514</v>
      </c>
      <c r="L127" s="2">
        <v>2</v>
      </c>
      <c r="M127" s="10">
        <v>14326</v>
      </c>
      <c r="N127" s="7">
        <v>28652</v>
      </c>
    </row>
    <row r="128" spans="1:14" x14ac:dyDescent="0.3">
      <c r="A128">
        <v>1050</v>
      </c>
      <c r="B128" s="1">
        <v>44989</v>
      </c>
      <c r="C128">
        <v>2023</v>
      </c>
      <c r="D128">
        <v>3</v>
      </c>
      <c r="E128" t="str">
        <f t="shared" si="1"/>
        <v>Maret</v>
      </c>
      <c r="F128">
        <v>1</v>
      </c>
      <c r="G128" t="s">
        <v>1533</v>
      </c>
      <c r="H128" t="s">
        <v>1520</v>
      </c>
      <c r="I128" t="s">
        <v>1535</v>
      </c>
      <c r="J128" t="s">
        <v>1517</v>
      </c>
      <c r="K128" t="s">
        <v>1514</v>
      </c>
      <c r="L128" s="2">
        <v>3</v>
      </c>
      <c r="M128" s="10">
        <v>100</v>
      </c>
      <c r="N128" s="7">
        <v>300</v>
      </c>
    </row>
    <row r="129" spans="1:14" x14ac:dyDescent="0.3">
      <c r="A129">
        <v>1050</v>
      </c>
      <c r="B129" s="1">
        <v>44571</v>
      </c>
      <c r="C129">
        <v>2022</v>
      </c>
      <c r="D129">
        <v>1</v>
      </c>
      <c r="E129" t="str">
        <f t="shared" si="1"/>
        <v>Januari</v>
      </c>
      <c r="F129">
        <v>1</v>
      </c>
      <c r="G129" t="s">
        <v>1533</v>
      </c>
      <c r="H129" t="s">
        <v>1520</v>
      </c>
      <c r="I129" t="s">
        <v>1535</v>
      </c>
      <c r="J129" t="s">
        <v>1517</v>
      </c>
      <c r="K129" t="s">
        <v>1514</v>
      </c>
      <c r="L129" s="2">
        <v>3</v>
      </c>
      <c r="M129" s="10">
        <v>100</v>
      </c>
      <c r="N129" s="7">
        <v>300</v>
      </c>
    </row>
    <row r="130" spans="1:14" x14ac:dyDescent="0.3">
      <c r="A130">
        <v>1050</v>
      </c>
      <c r="B130" s="1">
        <v>45005</v>
      </c>
      <c r="C130">
        <v>2023</v>
      </c>
      <c r="D130">
        <v>3</v>
      </c>
      <c r="E130" t="str">
        <f t="shared" si="1"/>
        <v>Maret</v>
      </c>
      <c r="F130">
        <v>1</v>
      </c>
      <c r="G130" t="s">
        <v>1533</v>
      </c>
      <c r="H130" t="s">
        <v>1520</v>
      </c>
      <c r="I130" t="s">
        <v>1535</v>
      </c>
      <c r="J130" t="s">
        <v>1517</v>
      </c>
      <c r="K130" t="s">
        <v>1514</v>
      </c>
      <c r="L130" s="2">
        <v>3</v>
      </c>
      <c r="M130" s="10">
        <v>100</v>
      </c>
      <c r="N130" s="7">
        <v>300</v>
      </c>
    </row>
    <row r="131" spans="1:14" x14ac:dyDescent="0.3">
      <c r="A131">
        <v>1050</v>
      </c>
      <c r="B131" s="1">
        <v>45057</v>
      </c>
      <c r="C131">
        <v>2023</v>
      </c>
      <c r="D131">
        <v>5</v>
      </c>
      <c r="E131" t="str">
        <f t="shared" ref="E131:E194" si="2">TEXT(DATE(2026, D131, 1), "[$-id-ID]mmmm")</f>
        <v>Mei</v>
      </c>
      <c r="F131">
        <v>2</v>
      </c>
      <c r="G131" t="s">
        <v>1533</v>
      </c>
      <c r="H131" t="s">
        <v>1520</v>
      </c>
      <c r="I131" t="s">
        <v>1535</v>
      </c>
      <c r="J131" t="s">
        <v>1517</v>
      </c>
      <c r="K131" t="s">
        <v>1514</v>
      </c>
      <c r="L131" s="2">
        <v>3</v>
      </c>
      <c r="M131" s="10">
        <v>100</v>
      </c>
      <c r="N131" s="7">
        <v>300</v>
      </c>
    </row>
    <row r="132" spans="1:14" x14ac:dyDescent="0.3">
      <c r="A132">
        <v>1050</v>
      </c>
      <c r="B132" s="1">
        <v>44987</v>
      </c>
      <c r="C132">
        <v>2023</v>
      </c>
      <c r="D132">
        <v>3</v>
      </c>
      <c r="E132" t="str">
        <f t="shared" si="2"/>
        <v>Maret</v>
      </c>
      <c r="F132">
        <v>1</v>
      </c>
      <c r="G132" t="s">
        <v>1533</v>
      </c>
      <c r="H132" t="s">
        <v>1520</v>
      </c>
      <c r="I132" t="s">
        <v>1535</v>
      </c>
      <c r="J132" t="s">
        <v>1517</v>
      </c>
      <c r="K132" t="s">
        <v>1514</v>
      </c>
      <c r="L132" s="2">
        <v>3</v>
      </c>
      <c r="M132" s="10">
        <v>100</v>
      </c>
      <c r="N132" s="7">
        <v>300</v>
      </c>
    </row>
    <row r="133" spans="1:14" x14ac:dyDescent="0.3">
      <c r="A133">
        <v>1050</v>
      </c>
      <c r="B133" s="1">
        <v>45040</v>
      </c>
      <c r="C133">
        <v>2023</v>
      </c>
      <c r="D133">
        <v>4</v>
      </c>
      <c r="E133" t="str">
        <f t="shared" si="2"/>
        <v>April</v>
      </c>
      <c r="F133">
        <v>2</v>
      </c>
      <c r="G133" t="s">
        <v>1533</v>
      </c>
      <c r="H133" t="s">
        <v>1520</v>
      </c>
      <c r="I133" t="s">
        <v>1535</v>
      </c>
      <c r="J133" t="s">
        <v>1517</v>
      </c>
      <c r="K133" t="s">
        <v>1514</v>
      </c>
      <c r="L133" s="2">
        <v>3</v>
      </c>
      <c r="M133" s="10">
        <v>100</v>
      </c>
      <c r="N133" s="7">
        <v>300</v>
      </c>
    </row>
    <row r="134" spans="1:14" x14ac:dyDescent="0.3">
      <c r="A134">
        <v>1050</v>
      </c>
      <c r="B134" s="1">
        <v>44822</v>
      </c>
      <c r="C134">
        <v>2022</v>
      </c>
      <c r="D134">
        <v>9</v>
      </c>
      <c r="E134" t="str">
        <f t="shared" si="2"/>
        <v>September</v>
      </c>
      <c r="F134">
        <v>3</v>
      </c>
      <c r="G134" t="s">
        <v>1533</v>
      </c>
      <c r="H134" t="s">
        <v>1520</v>
      </c>
      <c r="I134" t="s">
        <v>1535</v>
      </c>
      <c r="J134" t="s">
        <v>1517</v>
      </c>
      <c r="K134" t="s">
        <v>1514</v>
      </c>
      <c r="L134" s="2">
        <v>3</v>
      </c>
      <c r="M134" s="10">
        <v>100</v>
      </c>
      <c r="N134" s="7">
        <v>300</v>
      </c>
    </row>
    <row r="135" spans="1:14" x14ac:dyDescent="0.3">
      <c r="A135">
        <v>1051</v>
      </c>
      <c r="B135" s="1">
        <v>44712</v>
      </c>
      <c r="C135">
        <v>2022</v>
      </c>
      <c r="D135">
        <v>5</v>
      </c>
      <c r="E135" t="str">
        <f t="shared" si="2"/>
        <v>Mei</v>
      </c>
      <c r="F135">
        <v>2</v>
      </c>
      <c r="G135" t="s">
        <v>1511</v>
      </c>
      <c r="H135" t="s">
        <v>1512</v>
      </c>
      <c r="I135" t="s">
        <v>1513</v>
      </c>
      <c r="J135" t="s">
        <v>1517</v>
      </c>
      <c r="K135" t="s">
        <v>1525</v>
      </c>
      <c r="L135" s="2">
        <v>2</v>
      </c>
      <c r="M135" s="10">
        <v>54846</v>
      </c>
      <c r="N135" s="7">
        <v>109692</v>
      </c>
    </row>
    <row r="136" spans="1:14" x14ac:dyDescent="0.3">
      <c r="A136">
        <v>1052</v>
      </c>
      <c r="B136" s="1">
        <v>45123</v>
      </c>
      <c r="C136">
        <v>2023</v>
      </c>
      <c r="D136">
        <v>7</v>
      </c>
      <c r="E136" t="str">
        <f t="shared" si="2"/>
        <v>Juli</v>
      </c>
      <c r="F136">
        <v>3</v>
      </c>
      <c r="G136" t="s">
        <v>1515</v>
      </c>
      <c r="H136" t="s">
        <v>1512</v>
      </c>
      <c r="I136" t="s">
        <v>1513</v>
      </c>
      <c r="J136" t="s">
        <v>1517</v>
      </c>
      <c r="K136" t="s">
        <v>1514</v>
      </c>
      <c r="L136" s="2">
        <v>3</v>
      </c>
      <c r="M136" s="10">
        <v>4855</v>
      </c>
      <c r="N136" s="7">
        <v>14565</v>
      </c>
    </row>
    <row r="137" spans="1:14" x14ac:dyDescent="0.3">
      <c r="A137">
        <v>1052</v>
      </c>
      <c r="B137" s="1">
        <v>44693</v>
      </c>
      <c r="C137">
        <v>2022</v>
      </c>
      <c r="D137">
        <v>5</v>
      </c>
      <c r="E137" t="str">
        <f t="shared" si="2"/>
        <v>Mei</v>
      </c>
      <c r="F137">
        <v>2</v>
      </c>
      <c r="G137" t="s">
        <v>1515</v>
      </c>
      <c r="H137" t="s">
        <v>1512</v>
      </c>
      <c r="I137" t="s">
        <v>1513</v>
      </c>
      <c r="J137" t="s">
        <v>1517</v>
      </c>
      <c r="K137" t="s">
        <v>1514</v>
      </c>
      <c r="L137" s="2">
        <v>3</v>
      </c>
      <c r="M137" s="10">
        <v>4855</v>
      </c>
      <c r="N137" s="7">
        <v>14565</v>
      </c>
    </row>
    <row r="138" spans="1:14" x14ac:dyDescent="0.3">
      <c r="A138">
        <v>1053</v>
      </c>
      <c r="B138" s="1">
        <v>45165</v>
      </c>
      <c r="C138">
        <v>2023</v>
      </c>
      <c r="D138">
        <v>8</v>
      </c>
      <c r="E138" t="str">
        <f t="shared" si="2"/>
        <v>Agustus</v>
      </c>
      <c r="F138">
        <v>3</v>
      </c>
      <c r="G138" t="s">
        <v>1534</v>
      </c>
      <c r="H138" t="s">
        <v>1530</v>
      </c>
      <c r="I138" t="s">
        <v>1528</v>
      </c>
      <c r="J138" t="s">
        <v>1566</v>
      </c>
      <c r="K138" t="s">
        <v>1518</v>
      </c>
      <c r="L138" s="2">
        <v>3</v>
      </c>
      <c r="M138" s="10">
        <v>1718</v>
      </c>
      <c r="N138" s="7">
        <v>5154</v>
      </c>
    </row>
    <row r="139" spans="1:14" x14ac:dyDescent="0.3">
      <c r="A139">
        <v>1053</v>
      </c>
      <c r="B139" s="1">
        <v>45548</v>
      </c>
      <c r="C139">
        <v>2024</v>
      </c>
      <c r="D139">
        <v>9</v>
      </c>
      <c r="E139" t="str">
        <f t="shared" si="2"/>
        <v>September</v>
      </c>
      <c r="F139">
        <v>3</v>
      </c>
      <c r="G139" t="s">
        <v>1534</v>
      </c>
      <c r="H139" t="s">
        <v>1530</v>
      </c>
      <c r="I139" t="s">
        <v>1528</v>
      </c>
      <c r="J139" t="s">
        <v>1566</v>
      </c>
      <c r="K139" t="s">
        <v>1518</v>
      </c>
      <c r="L139" s="2">
        <v>3</v>
      </c>
      <c r="M139" s="10">
        <v>1718</v>
      </c>
      <c r="N139" s="7">
        <v>5154</v>
      </c>
    </row>
    <row r="140" spans="1:14" x14ac:dyDescent="0.3">
      <c r="A140">
        <v>1053</v>
      </c>
      <c r="B140" s="1">
        <v>45152</v>
      </c>
      <c r="C140">
        <v>2023</v>
      </c>
      <c r="D140">
        <v>8</v>
      </c>
      <c r="E140" t="str">
        <f t="shared" si="2"/>
        <v>Agustus</v>
      </c>
      <c r="F140">
        <v>3</v>
      </c>
      <c r="G140" t="s">
        <v>1534</v>
      </c>
      <c r="H140" t="s">
        <v>1530</v>
      </c>
      <c r="I140" t="s">
        <v>1528</v>
      </c>
      <c r="J140" t="s">
        <v>1566</v>
      </c>
      <c r="K140" t="s">
        <v>1518</v>
      </c>
      <c r="L140" s="2">
        <v>3</v>
      </c>
      <c r="M140" s="10">
        <v>1718</v>
      </c>
      <c r="N140" s="7">
        <v>5154</v>
      </c>
    </row>
    <row r="141" spans="1:14" x14ac:dyDescent="0.3">
      <c r="A141">
        <v>1053</v>
      </c>
      <c r="B141" s="1">
        <v>45162</v>
      </c>
      <c r="C141">
        <v>2023</v>
      </c>
      <c r="D141">
        <v>8</v>
      </c>
      <c r="E141" t="str">
        <f t="shared" si="2"/>
        <v>Agustus</v>
      </c>
      <c r="F141">
        <v>3</v>
      </c>
      <c r="G141" t="s">
        <v>1534</v>
      </c>
      <c r="H141" t="s">
        <v>1530</v>
      </c>
      <c r="I141" t="s">
        <v>1528</v>
      </c>
      <c r="J141" t="s">
        <v>1566</v>
      </c>
      <c r="K141" t="s">
        <v>1518</v>
      </c>
      <c r="L141" s="2">
        <v>3</v>
      </c>
      <c r="M141" s="10">
        <v>1718</v>
      </c>
      <c r="N141" s="7">
        <v>5154</v>
      </c>
    </row>
    <row r="142" spans="1:14" x14ac:dyDescent="0.3">
      <c r="A142">
        <v>1054</v>
      </c>
      <c r="B142" s="1">
        <v>44972</v>
      </c>
      <c r="C142">
        <v>2023</v>
      </c>
      <c r="D142">
        <v>2</v>
      </c>
      <c r="E142" t="str">
        <f t="shared" si="2"/>
        <v>Februari</v>
      </c>
      <c r="F142">
        <v>1</v>
      </c>
      <c r="G142" t="s">
        <v>1519</v>
      </c>
      <c r="H142" t="s">
        <v>1520</v>
      </c>
      <c r="I142" t="s">
        <v>1521</v>
      </c>
      <c r="J142" t="s">
        <v>1517</v>
      </c>
      <c r="K142" t="s">
        <v>1525</v>
      </c>
      <c r="L142" s="2">
        <v>5</v>
      </c>
      <c r="M142" s="10">
        <v>17415</v>
      </c>
      <c r="N142" s="7">
        <v>87075</v>
      </c>
    </row>
    <row r="143" spans="1:14" x14ac:dyDescent="0.3">
      <c r="A143">
        <v>1054</v>
      </c>
      <c r="B143" s="1">
        <v>45435</v>
      </c>
      <c r="C143">
        <v>2024</v>
      </c>
      <c r="D143">
        <v>5</v>
      </c>
      <c r="E143" t="str">
        <f t="shared" si="2"/>
        <v>Mei</v>
      </c>
      <c r="F143">
        <v>2</v>
      </c>
      <c r="G143" t="s">
        <v>1519</v>
      </c>
      <c r="H143" t="s">
        <v>1520</v>
      </c>
      <c r="I143" t="s">
        <v>1521</v>
      </c>
      <c r="J143" t="s">
        <v>1517</v>
      </c>
      <c r="K143" t="s">
        <v>1525</v>
      </c>
      <c r="L143" s="2">
        <v>5</v>
      </c>
      <c r="M143" s="10">
        <v>17415</v>
      </c>
      <c r="N143" s="7">
        <v>87075</v>
      </c>
    </row>
    <row r="144" spans="1:14" x14ac:dyDescent="0.3">
      <c r="A144">
        <v>1055</v>
      </c>
      <c r="B144" s="1">
        <v>45267</v>
      </c>
      <c r="C144">
        <v>2023</v>
      </c>
      <c r="D144">
        <v>12</v>
      </c>
      <c r="E144" t="str">
        <f t="shared" si="2"/>
        <v>Desember</v>
      </c>
      <c r="F144">
        <v>4</v>
      </c>
      <c r="G144" t="s">
        <v>1522</v>
      </c>
      <c r="H144" t="s">
        <v>1520</v>
      </c>
      <c r="I144" t="s">
        <v>1535</v>
      </c>
      <c r="J144" t="s">
        <v>1517</v>
      </c>
      <c r="K144" t="s">
        <v>1518</v>
      </c>
      <c r="L144" s="2">
        <v>3</v>
      </c>
      <c r="M144" s="10">
        <v>661</v>
      </c>
      <c r="N144" s="7">
        <v>1983</v>
      </c>
    </row>
    <row r="145" spans="1:14" x14ac:dyDescent="0.3">
      <c r="A145">
        <v>1055</v>
      </c>
      <c r="B145" s="1">
        <v>45405</v>
      </c>
      <c r="C145">
        <v>2024</v>
      </c>
      <c r="D145">
        <v>4</v>
      </c>
      <c r="E145" t="str">
        <f t="shared" si="2"/>
        <v>April</v>
      </c>
      <c r="F145">
        <v>2</v>
      </c>
      <c r="G145" t="s">
        <v>1522</v>
      </c>
      <c r="H145" t="s">
        <v>1520</v>
      </c>
      <c r="I145" t="s">
        <v>1535</v>
      </c>
      <c r="J145" t="s">
        <v>1517</v>
      </c>
      <c r="K145" t="s">
        <v>1518</v>
      </c>
      <c r="L145" s="2">
        <v>3</v>
      </c>
      <c r="M145" s="10">
        <v>661</v>
      </c>
      <c r="N145" s="7">
        <v>1983</v>
      </c>
    </row>
    <row r="146" spans="1:14" x14ac:dyDescent="0.3">
      <c r="A146">
        <v>1055</v>
      </c>
      <c r="B146" s="1">
        <v>44978</v>
      </c>
      <c r="C146">
        <v>2023</v>
      </c>
      <c r="D146">
        <v>2</v>
      </c>
      <c r="E146" t="str">
        <f t="shared" si="2"/>
        <v>Februari</v>
      </c>
      <c r="F146">
        <v>1</v>
      </c>
      <c r="G146" t="s">
        <v>1522</v>
      </c>
      <c r="H146" t="s">
        <v>1520</v>
      </c>
      <c r="I146" t="s">
        <v>1535</v>
      </c>
      <c r="J146" t="s">
        <v>1517</v>
      </c>
      <c r="K146" t="s">
        <v>1518</v>
      </c>
      <c r="L146" s="2">
        <v>3</v>
      </c>
      <c r="M146" s="10">
        <v>661</v>
      </c>
      <c r="N146" s="7">
        <v>1983</v>
      </c>
    </row>
    <row r="147" spans="1:14" x14ac:dyDescent="0.3">
      <c r="A147">
        <v>1055</v>
      </c>
      <c r="B147" s="1">
        <v>45449</v>
      </c>
      <c r="C147">
        <v>2024</v>
      </c>
      <c r="D147">
        <v>6</v>
      </c>
      <c r="E147" t="str">
        <f t="shared" si="2"/>
        <v>Juni</v>
      </c>
      <c r="F147">
        <v>2</v>
      </c>
      <c r="G147" t="s">
        <v>1522</v>
      </c>
      <c r="H147" t="s">
        <v>1520</v>
      </c>
      <c r="I147" t="s">
        <v>1535</v>
      </c>
      <c r="J147" t="s">
        <v>1517</v>
      </c>
      <c r="K147" t="s">
        <v>1518</v>
      </c>
      <c r="L147" s="2">
        <v>3</v>
      </c>
      <c r="M147" s="10">
        <v>661</v>
      </c>
      <c r="N147" s="7">
        <v>1983</v>
      </c>
    </row>
    <row r="148" spans="1:14" x14ac:dyDescent="0.3">
      <c r="A148">
        <v>1056</v>
      </c>
      <c r="B148" s="1">
        <v>45226</v>
      </c>
      <c r="C148">
        <v>2023</v>
      </c>
      <c r="D148">
        <v>10</v>
      </c>
      <c r="E148" t="str">
        <f t="shared" si="2"/>
        <v>Oktober</v>
      </c>
      <c r="F148">
        <v>4</v>
      </c>
      <c r="G148" t="s">
        <v>1523</v>
      </c>
      <c r="H148" t="s">
        <v>1512</v>
      </c>
      <c r="I148" t="s">
        <v>1521</v>
      </c>
      <c r="J148" t="s">
        <v>1524</v>
      </c>
      <c r="K148" t="s">
        <v>1514</v>
      </c>
      <c r="L148" s="2">
        <v>2</v>
      </c>
      <c r="M148" s="10">
        <v>30075</v>
      </c>
      <c r="N148" s="7">
        <v>60150</v>
      </c>
    </row>
    <row r="149" spans="1:14" x14ac:dyDescent="0.3">
      <c r="A149">
        <v>1056</v>
      </c>
      <c r="B149" s="1">
        <v>44954</v>
      </c>
      <c r="C149">
        <v>2023</v>
      </c>
      <c r="D149">
        <v>1</v>
      </c>
      <c r="E149" t="str">
        <f t="shared" si="2"/>
        <v>Januari</v>
      </c>
      <c r="F149">
        <v>1</v>
      </c>
      <c r="G149" t="s">
        <v>1523</v>
      </c>
      <c r="H149" t="s">
        <v>1512</v>
      </c>
      <c r="I149" t="s">
        <v>1521</v>
      </c>
      <c r="J149" t="s">
        <v>1524</v>
      </c>
      <c r="K149" t="s">
        <v>1514</v>
      </c>
      <c r="L149" s="2">
        <v>2</v>
      </c>
      <c r="M149" s="10">
        <v>30075</v>
      </c>
      <c r="N149" s="7">
        <v>60150</v>
      </c>
    </row>
    <row r="150" spans="1:14" x14ac:dyDescent="0.3">
      <c r="A150">
        <v>1057</v>
      </c>
      <c r="B150" s="1">
        <v>45147</v>
      </c>
      <c r="C150">
        <v>2023</v>
      </c>
      <c r="D150">
        <v>8</v>
      </c>
      <c r="E150" t="str">
        <f t="shared" si="2"/>
        <v>Agustus</v>
      </c>
      <c r="F150">
        <v>3</v>
      </c>
      <c r="G150" t="s">
        <v>1526</v>
      </c>
      <c r="H150" t="s">
        <v>1527</v>
      </c>
      <c r="I150" t="s">
        <v>1528</v>
      </c>
      <c r="J150" t="s">
        <v>1566</v>
      </c>
      <c r="K150" t="s">
        <v>1514</v>
      </c>
      <c r="L150" s="2">
        <v>3</v>
      </c>
      <c r="M150" s="10">
        <v>387</v>
      </c>
      <c r="N150" s="7">
        <v>1161</v>
      </c>
    </row>
    <row r="151" spans="1:14" x14ac:dyDescent="0.3">
      <c r="A151">
        <v>1057</v>
      </c>
      <c r="B151" s="1">
        <v>44736</v>
      </c>
      <c r="C151">
        <v>2022</v>
      </c>
      <c r="D151">
        <v>6</v>
      </c>
      <c r="E151" t="str">
        <f t="shared" si="2"/>
        <v>Juni</v>
      </c>
      <c r="F151">
        <v>2</v>
      </c>
      <c r="G151" t="s">
        <v>1526</v>
      </c>
      <c r="H151" t="s">
        <v>1527</v>
      </c>
      <c r="I151" t="s">
        <v>1528</v>
      </c>
      <c r="J151" t="s">
        <v>1566</v>
      </c>
      <c r="K151" t="s">
        <v>1514</v>
      </c>
      <c r="L151" s="2">
        <v>3</v>
      </c>
      <c r="M151" s="10">
        <v>387</v>
      </c>
      <c r="N151" s="7">
        <v>1161</v>
      </c>
    </row>
    <row r="152" spans="1:14" x14ac:dyDescent="0.3">
      <c r="A152">
        <v>1058</v>
      </c>
      <c r="B152" s="1">
        <v>45653</v>
      </c>
      <c r="C152">
        <v>2024</v>
      </c>
      <c r="D152">
        <v>12</v>
      </c>
      <c r="E152" t="str">
        <f t="shared" si="2"/>
        <v>Desember</v>
      </c>
      <c r="F152">
        <v>4</v>
      </c>
      <c r="G152" t="s">
        <v>1529</v>
      </c>
      <c r="H152" t="s">
        <v>1530</v>
      </c>
      <c r="I152" t="s">
        <v>1535</v>
      </c>
      <c r="J152" t="s">
        <v>1517</v>
      </c>
      <c r="K152" t="s">
        <v>1518</v>
      </c>
      <c r="L152" s="2">
        <v>5</v>
      </c>
      <c r="M152" s="10">
        <v>1084</v>
      </c>
      <c r="N152" s="7">
        <v>5420</v>
      </c>
    </row>
    <row r="153" spans="1:14" x14ac:dyDescent="0.3">
      <c r="A153">
        <v>1058</v>
      </c>
      <c r="B153" s="1">
        <v>44740</v>
      </c>
      <c r="C153">
        <v>2022</v>
      </c>
      <c r="D153">
        <v>6</v>
      </c>
      <c r="E153" t="str">
        <f t="shared" si="2"/>
        <v>Juni</v>
      </c>
      <c r="F153">
        <v>2</v>
      </c>
      <c r="G153" t="s">
        <v>1529</v>
      </c>
      <c r="H153" t="s">
        <v>1530</v>
      </c>
      <c r="I153" t="s">
        <v>1535</v>
      </c>
      <c r="J153" t="s">
        <v>1517</v>
      </c>
      <c r="K153" t="s">
        <v>1518</v>
      </c>
      <c r="L153" s="2">
        <v>5</v>
      </c>
      <c r="M153" s="10">
        <v>1084</v>
      </c>
      <c r="N153" s="7">
        <v>5420</v>
      </c>
    </row>
    <row r="154" spans="1:14" x14ac:dyDescent="0.3">
      <c r="A154">
        <v>1058</v>
      </c>
      <c r="B154" s="1">
        <v>45152</v>
      </c>
      <c r="C154">
        <v>2023</v>
      </c>
      <c r="D154">
        <v>8</v>
      </c>
      <c r="E154" t="str">
        <f t="shared" si="2"/>
        <v>Agustus</v>
      </c>
      <c r="F154">
        <v>3</v>
      </c>
      <c r="G154" t="s">
        <v>1529</v>
      </c>
      <c r="H154" t="s">
        <v>1530</v>
      </c>
      <c r="I154" t="s">
        <v>1535</v>
      </c>
      <c r="J154" t="s">
        <v>1517</v>
      </c>
      <c r="K154" t="s">
        <v>1518</v>
      </c>
      <c r="L154" s="2">
        <v>5</v>
      </c>
      <c r="M154" s="10">
        <v>1084</v>
      </c>
      <c r="N154" s="7">
        <v>5420</v>
      </c>
    </row>
    <row r="155" spans="1:14" x14ac:dyDescent="0.3">
      <c r="A155">
        <v>1058</v>
      </c>
      <c r="B155" s="1">
        <v>45569</v>
      </c>
      <c r="C155">
        <v>2024</v>
      </c>
      <c r="D155">
        <v>10</v>
      </c>
      <c r="E155" t="str">
        <f t="shared" si="2"/>
        <v>Oktober</v>
      </c>
      <c r="F155">
        <v>4</v>
      </c>
      <c r="G155" t="s">
        <v>1529</v>
      </c>
      <c r="H155" t="s">
        <v>1530</v>
      </c>
      <c r="I155" t="s">
        <v>1535</v>
      </c>
      <c r="J155" t="s">
        <v>1517</v>
      </c>
      <c r="K155" t="s">
        <v>1518</v>
      </c>
      <c r="L155" s="2">
        <v>5</v>
      </c>
      <c r="M155" s="10">
        <v>1084</v>
      </c>
      <c r="N155" s="7">
        <v>5420</v>
      </c>
    </row>
    <row r="156" spans="1:14" x14ac:dyDescent="0.3">
      <c r="A156">
        <v>1059</v>
      </c>
      <c r="B156" s="1">
        <v>45427</v>
      </c>
      <c r="C156">
        <v>2024</v>
      </c>
      <c r="D156">
        <v>5</v>
      </c>
      <c r="E156" t="str">
        <f t="shared" si="2"/>
        <v>Mei</v>
      </c>
      <c r="F156">
        <v>2</v>
      </c>
      <c r="G156" t="s">
        <v>1532</v>
      </c>
      <c r="H156" t="s">
        <v>1512</v>
      </c>
      <c r="I156" t="s">
        <v>1535</v>
      </c>
      <c r="J156" t="s">
        <v>1517</v>
      </c>
      <c r="K156" t="s">
        <v>1514</v>
      </c>
      <c r="L156" s="2">
        <v>1</v>
      </c>
      <c r="M156" s="10">
        <v>11559</v>
      </c>
      <c r="N156" s="7">
        <v>11559</v>
      </c>
    </row>
    <row r="157" spans="1:14" x14ac:dyDescent="0.3">
      <c r="A157">
        <v>1059</v>
      </c>
      <c r="B157" s="1">
        <v>45609</v>
      </c>
      <c r="C157">
        <v>2024</v>
      </c>
      <c r="D157">
        <v>11</v>
      </c>
      <c r="E157" t="str">
        <f t="shared" si="2"/>
        <v>November</v>
      </c>
      <c r="F157">
        <v>4</v>
      </c>
      <c r="G157" t="s">
        <v>1532</v>
      </c>
      <c r="H157" t="s">
        <v>1512</v>
      </c>
      <c r="I157" t="s">
        <v>1535</v>
      </c>
      <c r="J157" t="s">
        <v>1517</v>
      </c>
      <c r="K157" t="s">
        <v>1514</v>
      </c>
      <c r="L157" s="2">
        <v>1</v>
      </c>
      <c r="M157" s="10">
        <v>11559</v>
      </c>
      <c r="N157" s="7">
        <v>11559</v>
      </c>
    </row>
    <row r="158" spans="1:14" x14ac:dyDescent="0.3">
      <c r="A158">
        <v>1059</v>
      </c>
      <c r="B158" s="1">
        <v>44924</v>
      </c>
      <c r="C158">
        <v>2022</v>
      </c>
      <c r="D158">
        <v>12</v>
      </c>
      <c r="E158" t="str">
        <f t="shared" si="2"/>
        <v>Desember</v>
      </c>
      <c r="F158">
        <v>4</v>
      </c>
      <c r="G158" t="s">
        <v>1532</v>
      </c>
      <c r="H158" t="s">
        <v>1512</v>
      </c>
      <c r="I158" t="s">
        <v>1535</v>
      </c>
      <c r="J158" t="s">
        <v>1517</v>
      </c>
      <c r="K158" t="s">
        <v>1514</v>
      </c>
      <c r="L158" s="2">
        <v>1</v>
      </c>
      <c r="M158" s="10">
        <v>11559</v>
      </c>
      <c r="N158" s="7">
        <v>11559</v>
      </c>
    </row>
    <row r="159" spans="1:14" x14ac:dyDescent="0.3">
      <c r="A159">
        <v>1059</v>
      </c>
      <c r="B159" s="1">
        <v>44632</v>
      </c>
      <c r="C159">
        <v>2022</v>
      </c>
      <c r="D159">
        <v>3</v>
      </c>
      <c r="E159" t="str">
        <f t="shared" si="2"/>
        <v>Maret</v>
      </c>
      <c r="F159">
        <v>1</v>
      </c>
      <c r="G159" t="s">
        <v>1532</v>
      </c>
      <c r="H159" t="s">
        <v>1512</v>
      </c>
      <c r="I159" t="s">
        <v>1535</v>
      </c>
      <c r="J159" t="s">
        <v>1517</v>
      </c>
      <c r="K159" t="s">
        <v>1514</v>
      </c>
      <c r="L159" s="2">
        <v>1</v>
      </c>
      <c r="M159" s="10">
        <v>11559</v>
      </c>
      <c r="N159" s="7">
        <v>11559</v>
      </c>
    </row>
    <row r="160" spans="1:14" x14ac:dyDescent="0.3">
      <c r="A160">
        <v>1059</v>
      </c>
      <c r="B160" s="1">
        <v>45193</v>
      </c>
      <c r="C160">
        <v>2023</v>
      </c>
      <c r="D160">
        <v>9</v>
      </c>
      <c r="E160" t="str">
        <f t="shared" si="2"/>
        <v>September</v>
      </c>
      <c r="F160">
        <v>3</v>
      </c>
      <c r="G160" t="s">
        <v>1532</v>
      </c>
      <c r="H160" t="s">
        <v>1512</v>
      </c>
      <c r="I160" t="s">
        <v>1535</v>
      </c>
      <c r="J160" t="s">
        <v>1517</v>
      </c>
      <c r="K160" t="s">
        <v>1514</v>
      </c>
      <c r="L160" s="2">
        <v>1</v>
      </c>
      <c r="M160" s="10">
        <v>11559</v>
      </c>
      <c r="N160" s="7">
        <v>11559</v>
      </c>
    </row>
    <row r="161" spans="1:14" x14ac:dyDescent="0.3">
      <c r="A161">
        <v>1059</v>
      </c>
      <c r="B161" s="1">
        <v>44812</v>
      </c>
      <c r="C161">
        <v>2022</v>
      </c>
      <c r="D161">
        <v>9</v>
      </c>
      <c r="E161" t="str">
        <f t="shared" si="2"/>
        <v>September</v>
      </c>
      <c r="F161">
        <v>3</v>
      </c>
      <c r="G161" t="s">
        <v>1532</v>
      </c>
      <c r="H161" t="s">
        <v>1512</v>
      </c>
      <c r="I161" t="s">
        <v>1535</v>
      </c>
      <c r="J161" t="s">
        <v>1517</v>
      </c>
      <c r="K161" t="s">
        <v>1514</v>
      </c>
      <c r="L161" s="2">
        <v>1</v>
      </c>
      <c r="M161" s="10">
        <v>11559</v>
      </c>
      <c r="N161" s="7">
        <v>11559</v>
      </c>
    </row>
    <row r="162" spans="1:14" x14ac:dyDescent="0.3">
      <c r="A162">
        <v>1060</v>
      </c>
      <c r="B162" s="1">
        <v>45231</v>
      </c>
      <c r="C162">
        <v>2023</v>
      </c>
      <c r="D162">
        <v>11</v>
      </c>
      <c r="E162" t="str">
        <f t="shared" si="2"/>
        <v>November</v>
      </c>
      <c r="F162">
        <v>4</v>
      </c>
      <c r="G162" t="s">
        <v>1533</v>
      </c>
      <c r="H162" t="s">
        <v>1520</v>
      </c>
      <c r="I162" t="s">
        <v>1516</v>
      </c>
      <c r="J162" t="s">
        <v>1566</v>
      </c>
      <c r="K162" t="s">
        <v>1518</v>
      </c>
      <c r="L162" s="2">
        <v>5</v>
      </c>
      <c r="M162" s="10">
        <v>717</v>
      </c>
      <c r="N162" s="7">
        <v>3585</v>
      </c>
    </row>
    <row r="163" spans="1:14" x14ac:dyDescent="0.3">
      <c r="A163">
        <v>1061</v>
      </c>
      <c r="B163" s="1">
        <v>44565</v>
      </c>
      <c r="C163">
        <v>2022</v>
      </c>
      <c r="D163">
        <v>1</v>
      </c>
      <c r="E163" t="str">
        <f t="shared" si="2"/>
        <v>Januari</v>
      </c>
      <c r="F163">
        <v>1</v>
      </c>
      <c r="G163" t="s">
        <v>1511</v>
      </c>
      <c r="H163" t="s">
        <v>1512</v>
      </c>
      <c r="I163" t="s">
        <v>1521</v>
      </c>
      <c r="J163" t="s">
        <v>1524</v>
      </c>
      <c r="K163" t="s">
        <v>1525</v>
      </c>
      <c r="L163" s="2">
        <v>2</v>
      </c>
      <c r="M163" s="10">
        <v>51590</v>
      </c>
      <c r="N163" s="7">
        <v>103180</v>
      </c>
    </row>
    <row r="164" spans="1:14" x14ac:dyDescent="0.3">
      <c r="A164">
        <v>1061</v>
      </c>
      <c r="B164" s="1">
        <v>44836</v>
      </c>
      <c r="C164">
        <v>2022</v>
      </c>
      <c r="D164">
        <v>10</v>
      </c>
      <c r="E164" t="str">
        <f t="shared" si="2"/>
        <v>Oktober</v>
      </c>
      <c r="F164">
        <v>4</v>
      </c>
      <c r="G164" t="s">
        <v>1511</v>
      </c>
      <c r="H164" t="s">
        <v>1512</v>
      </c>
      <c r="I164" t="s">
        <v>1521</v>
      </c>
      <c r="J164" t="s">
        <v>1524</v>
      </c>
      <c r="K164" t="s">
        <v>1525</v>
      </c>
      <c r="L164" s="2">
        <v>2</v>
      </c>
      <c r="M164" s="10">
        <v>51590</v>
      </c>
      <c r="N164" s="7">
        <v>103180</v>
      </c>
    </row>
    <row r="165" spans="1:14" x14ac:dyDescent="0.3">
      <c r="A165">
        <v>1061</v>
      </c>
      <c r="B165" s="1">
        <v>45068</v>
      </c>
      <c r="C165">
        <v>2023</v>
      </c>
      <c r="D165">
        <v>5</v>
      </c>
      <c r="E165" t="str">
        <f t="shared" si="2"/>
        <v>Mei</v>
      </c>
      <c r="F165">
        <v>2</v>
      </c>
      <c r="G165" t="s">
        <v>1511</v>
      </c>
      <c r="H165" t="s">
        <v>1512</v>
      </c>
      <c r="I165" t="s">
        <v>1521</v>
      </c>
      <c r="J165" t="s">
        <v>1524</v>
      </c>
      <c r="K165" t="s">
        <v>1525</v>
      </c>
      <c r="L165" s="2">
        <v>2</v>
      </c>
      <c r="M165" s="10">
        <v>51590</v>
      </c>
      <c r="N165" s="7">
        <v>103180</v>
      </c>
    </row>
    <row r="166" spans="1:14" x14ac:dyDescent="0.3">
      <c r="A166">
        <v>1062</v>
      </c>
      <c r="B166" s="1">
        <v>44620</v>
      </c>
      <c r="C166">
        <v>2022</v>
      </c>
      <c r="D166">
        <v>2</v>
      </c>
      <c r="E166" t="str">
        <f t="shared" si="2"/>
        <v>Februari</v>
      </c>
      <c r="F166">
        <v>1</v>
      </c>
      <c r="G166" t="s">
        <v>1515</v>
      </c>
      <c r="H166" t="s">
        <v>1512</v>
      </c>
      <c r="I166" t="s">
        <v>1531</v>
      </c>
      <c r="J166" t="s">
        <v>1517</v>
      </c>
      <c r="K166" t="s">
        <v>1518</v>
      </c>
      <c r="L166" s="2">
        <v>2</v>
      </c>
      <c r="M166" s="10">
        <v>2555</v>
      </c>
      <c r="N166" s="7">
        <v>5110</v>
      </c>
    </row>
    <row r="167" spans="1:14" x14ac:dyDescent="0.3">
      <c r="A167">
        <v>1062</v>
      </c>
      <c r="B167" s="1">
        <v>45358</v>
      </c>
      <c r="C167">
        <v>2024</v>
      </c>
      <c r="D167">
        <v>3</v>
      </c>
      <c r="E167" t="str">
        <f t="shared" si="2"/>
        <v>Maret</v>
      </c>
      <c r="F167">
        <v>1</v>
      </c>
      <c r="G167" t="s">
        <v>1515</v>
      </c>
      <c r="H167" t="s">
        <v>1512</v>
      </c>
      <c r="I167" t="s">
        <v>1531</v>
      </c>
      <c r="J167" t="s">
        <v>1517</v>
      </c>
      <c r="K167" t="s">
        <v>1518</v>
      </c>
      <c r="L167" s="2">
        <v>2</v>
      </c>
      <c r="M167" s="10">
        <v>2555</v>
      </c>
      <c r="N167" s="7">
        <v>5110</v>
      </c>
    </row>
    <row r="168" spans="1:14" x14ac:dyDescent="0.3">
      <c r="A168">
        <v>1062</v>
      </c>
      <c r="B168" s="1">
        <v>44794</v>
      </c>
      <c r="C168">
        <v>2022</v>
      </c>
      <c r="D168">
        <v>8</v>
      </c>
      <c r="E168" t="str">
        <f t="shared" si="2"/>
        <v>Agustus</v>
      </c>
      <c r="F168">
        <v>3</v>
      </c>
      <c r="G168" t="s">
        <v>1515</v>
      </c>
      <c r="H168" t="s">
        <v>1512</v>
      </c>
      <c r="I168" t="s">
        <v>1531</v>
      </c>
      <c r="J168" t="s">
        <v>1517</v>
      </c>
      <c r="K168" t="s">
        <v>1518</v>
      </c>
      <c r="L168" s="2">
        <v>2</v>
      </c>
      <c r="M168" s="10">
        <v>2555</v>
      </c>
      <c r="N168" s="7">
        <v>5110</v>
      </c>
    </row>
    <row r="169" spans="1:14" x14ac:dyDescent="0.3">
      <c r="A169">
        <v>1062</v>
      </c>
      <c r="B169" s="1">
        <v>45181</v>
      </c>
      <c r="C169">
        <v>2023</v>
      </c>
      <c r="D169">
        <v>9</v>
      </c>
      <c r="E169" t="str">
        <f t="shared" si="2"/>
        <v>September</v>
      </c>
      <c r="F169">
        <v>3</v>
      </c>
      <c r="G169" t="s">
        <v>1515</v>
      </c>
      <c r="H169" t="s">
        <v>1512</v>
      </c>
      <c r="I169" t="s">
        <v>1531</v>
      </c>
      <c r="J169" t="s">
        <v>1517</v>
      </c>
      <c r="K169" t="s">
        <v>1518</v>
      </c>
      <c r="L169" s="2">
        <v>2</v>
      </c>
      <c r="M169" s="10">
        <v>2555</v>
      </c>
      <c r="N169" s="7">
        <v>5110</v>
      </c>
    </row>
    <row r="170" spans="1:14" x14ac:dyDescent="0.3">
      <c r="A170">
        <v>1063</v>
      </c>
      <c r="B170" s="1">
        <v>44971</v>
      </c>
      <c r="C170">
        <v>2023</v>
      </c>
      <c r="D170">
        <v>2</v>
      </c>
      <c r="E170" t="str">
        <f t="shared" si="2"/>
        <v>Februari</v>
      </c>
      <c r="F170">
        <v>1</v>
      </c>
      <c r="G170" t="s">
        <v>1534</v>
      </c>
      <c r="H170" t="s">
        <v>1530</v>
      </c>
      <c r="I170" t="s">
        <v>1521</v>
      </c>
      <c r="J170" t="s">
        <v>1517</v>
      </c>
      <c r="K170" t="s">
        <v>1525</v>
      </c>
      <c r="L170" s="2">
        <v>3</v>
      </c>
      <c r="M170" s="10">
        <v>3601</v>
      </c>
      <c r="N170" s="7">
        <v>10803</v>
      </c>
    </row>
    <row r="171" spans="1:14" x14ac:dyDescent="0.3">
      <c r="A171">
        <v>1063</v>
      </c>
      <c r="B171" s="1">
        <v>44919</v>
      </c>
      <c r="C171">
        <v>2022</v>
      </c>
      <c r="D171">
        <v>12</v>
      </c>
      <c r="E171" t="str">
        <f t="shared" si="2"/>
        <v>Desember</v>
      </c>
      <c r="F171">
        <v>4</v>
      </c>
      <c r="G171" t="s">
        <v>1534</v>
      </c>
      <c r="H171" t="s">
        <v>1530</v>
      </c>
      <c r="I171" t="s">
        <v>1521</v>
      </c>
      <c r="J171" t="s">
        <v>1517</v>
      </c>
      <c r="K171" t="s">
        <v>1525</v>
      </c>
      <c r="L171" s="2">
        <v>3</v>
      </c>
      <c r="M171" s="10">
        <v>3601</v>
      </c>
      <c r="N171" s="7">
        <v>10803</v>
      </c>
    </row>
    <row r="172" spans="1:14" x14ac:dyDescent="0.3">
      <c r="A172">
        <v>1063</v>
      </c>
      <c r="B172" s="1">
        <v>44648</v>
      </c>
      <c r="C172">
        <v>2022</v>
      </c>
      <c r="D172">
        <v>3</v>
      </c>
      <c r="E172" t="str">
        <f t="shared" si="2"/>
        <v>Maret</v>
      </c>
      <c r="F172">
        <v>1</v>
      </c>
      <c r="G172" t="s">
        <v>1534</v>
      </c>
      <c r="H172" t="s">
        <v>1530</v>
      </c>
      <c r="I172" t="s">
        <v>1521</v>
      </c>
      <c r="J172" t="s">
        <v>1517</v>
      </c>
      <c r="K172" t="s">
        <v>1525</v>
      </c>
      <c r="L172" s="2">
        <v>3</v>
      </c>
      <c r="M172" s="10">
        <v>3601</v>
      </c>
      <c r="N172" s="7">
        <v>10803</v>
      </c>
    </row>
    <row r="173" spans="1:14" x14ac:dyDescent="0.3">
      <c r="A173">
        <v>1064</v>
      </c>
      <c r="B173" s="1">
        <v>45654</v>
      </c>
      <c r="C173">
        <v>2024</v>
      </c>
      <c r="D173">
        <v>12</v>
      </c>
      <c r="E173" t="str">
        <f t="shared" si="2"/>
        <v>Desember</v>
      </c>
      <c r="F173">
        <v>4</v>
      </c>
      <c r="G173" t="s">
        <v>1519</v>
      </c>
      <c r="H173" t="s">
        <v>1520</v>
      </c>
      <c r="I173" t="s">
        <v>1513</v>
      </c>
      <c r="J173" t="s">
        <v>1566</v>
      </c>
      <c r="K173" t="s">
        <v>1518</v>
      </c>
      <c r="L173" s="2">
        <v>5</v>
      </c>
      <c r="M173" s="10">
        <v>9924</v>
      </c>
      <c r="N173" s="7">
        <v>49620</v>
      </c>
    </row>
    <row r="174" spans="1:14" x14ac:dyDescent="0.3">
      <c r="A174">
        <v>1064</v>
      </c>
      <c r="B174" s="1">
        <v>44972</v>
      </c>
      <c r="C174">
        <v>2023</v>
      </c>
      <c r="D174">
        <v>2</v>
      </c>
      <c r="E174" t="str">
        <f t="shared" si="2"/>
        <v>Februari</v>
      </c>
      <c r="F174">
        <v>1</v>
      </c>
      <c r="G174" t="s">
        <v>1519</v>
      </c>
      <c r="H174" t="s">
        <v>1520</v>
      </c>
      <c r="I174" t="s">
        <v>1513</v>
      </c>
      <c r="J174" t="s">
        <v>1566</v>
      </c>
      <c r="K174" t="s">
        <v>1518</v>
      </c>
      <c r="L174" s="2">
        <v>5</v>
      </c>
      <c r="M174" s="10">
        <v>9924</v>
      </c>
      <c r="N174" s="7">
        <v>49620</v>
      </c>
    </row>
    <row r="175" spans="1:14" x14ac:dyDescent="0.3">
      <c r="A175">
        <v>1064</v>
      </c>
      <c r="B175" s="1">
        <v>45408</v>
      </c>
      <c r="C175">
        <v>2024</v>
      </c>
      <c r="D175">
        <v>4</v>
      </c>
      <c r="E175" t="str">
        <f t="shared" si="2"/>
        <v>April</v>
      </c>
      <c r="F175">
        <v>2</v>
      </c>
      <c r="G175" t="s">
        <v>1519</v>
      </c>
      <c r="H175" t="s">
        <v>1520</v>
      </c>
      <c r="I175" t="s">
        <v>1513</v>
      </c>
      <c r="J175" t="s">
        <v>1566</v>
      </c>
      <c r="K175" t="s">
        <v>1518</v>
      </c>
      <c r="L175" s="2">
        <v>5</v>
      </c>
      <c r="M175" s="10">
        <v>9924</v>
      </c>
      <c r="N175" s="7">
        <v>49620</v>
      </c>
    </row>
    <row r="176" spans="1:14" x14ac:dyDescent="0.3">
      <c r="A176">
        <v>1064</v>
      </c>
      <c r="B176" s="1">
        <v>45251</v>
      </c>
      <c r="C176">
        <v>2023</v>
      </c>
      <c r="D176">
        <v>11</v>
      </c>
      <c r="E176" t="str">
        <f t="shared" si="2"/>
        <v>November</v>
      </c>
      <c r="F176">
        <v>4</v>
      </c>
      <c r="G176" t="s">
        <v>1519</v>
      </c>
      <c r="H176" t="s">
        <v>1520</v>
      </c>
      <c r="I176" t="s">
        <v>1513</v>
      </c>
      <c r="J176" t="s">
        <v>1566</v>
      </c>
      <c r="K176" t="s">
        <v>1518</v>
      </c>
      <c r="L176" s="2">
        <v>5</v>
      </c>
      <c r="M176" s="10">
        <v>9924</v>
      </c>
      <c r="N176" s="7">
        <v>49620</v>
      </c>
    </row>
    <row r="177" spans="1:14" x14ac:dyDescent="0.3">
      <c r="A177">
        <v>1065</v>
      </c>
      <c r="B177" s="1">
        <v>45043</v>
      </c>
      <c r="C177">
        <v>2023</v>
      </c>
      <c r="D177">
        <v>4</v>
      </c>
      <c r="E177" t="str">
        <f t="shared" si="2"/>
        <v>April</v>
      </c>
      <c r="F177">
        <v>2</v>
      </c>
      <c r="G177" t="s">
        <v>1522</v>
      </c>
      <c r="H177" t="s">
        <v>1520</v>
      </c>
      <c r="I177" t="s">
        <v>1516</v>
      </c>
      <c r="J177" t="s">
        <v>1524</v>
      </c>
      <c r="K177" t="s">
        <v>1525</v>
      </c>
      <c r="L177" s="2">
        <v>5</v>
      </c>
      <c r="M177" s="10">
        <v>511</v>
      </c>
      <c r="N177" s="7">
        <v>2555</v>
      </c>
    </row>
    <row r="178" spans="1:14" x14ac:dyDescent="0.3">
      <c r="A178">
        <v>1065</v>
      </c>
      <c r="B178" s="1">
        <v>44895</v>
      </c>
      <c r="C178">
        <v>2022</v>
      </c>
      <c r="D178">
        <v>11</v>
      </c>
      <c r="E178" t="str">
        <f t="shared" si="2"/>
        <v>November</v>
      </c>
      <c r="F178">
        <v>4</v>
      </c>
      <c r="G178" t="s">
        <v>1522</v>
      </c>
      <c r="H178" t="s">
        <v>1520</v>
      </c>
      <c r="I178" t="s">
        <v>1516</v>
      </c>
      <c r="J178" t="s">
        <v>1524</v>
      </c>
      <c r="K178" t="s">
        <v>1525</v>
      </c>
      <c r="L178" s="2">
        <v>5</v>
      </c>
      <c r="M178" s="10">
        <v>511</v>
      </c>
      <c r="N178" s="7">
        <v>2555</v>
      </c>
    </row>
    <row r="179" spans="1:14" x14ac:dyDescent="0.3">
      <c r="A179">
        <v>1065</v>
      </c>
      <c r="B179" s="1">
        <v>45263</v>
      </c>
      <c r="C179">
        <v>2023</v>
      </c>
      <c r="D179">
        <v>12</v>
      </c>
      <c r="E179" t="str">
        <f t="shared" si="2"/>
        <v>Desember</v>
      </c>
      <c r="F179">
        <v>4</v>
      </c>
      <c r="G179" t="s">
        <v>1522</v>
      </c>
      <c r="H179" t="s">
        <v>1520</v>
      </c>
      <c r="I179" t="s">
        <v>1516</v>
      </c>
      <c r="J179" t="s">
        <v>1524</v>
      </c>
      <c r="K179" t="s">
        <v>1525</v>
      </c>
      <c r="L179" s="2">
        <v>5</v>
      </c>
      <c r="M179" s="10">
        <v>511</v>
      </c>
      <c r="N179" s="7">
        <v>2555</v>
      </c>
    </row>
    <row r="180" spans="1:14" x14ac:dyDescent="0.3">
      <c r="A180">
        <v>1065</v>
      </c>
      <c r="B180" s="1">
        <v>45257</v>
      </c>
      <c r="C180">
        <v>2023</v>
      </c>
      <c r="D180">
        <v>11</v>
      </c>
      <c r="E180" t="str">
        <f t="shared" si="2"/>
        <v>November</v>
      </c>
      <c r="F180">
        <v>4</v>
      </c>
      <c r="G180" t="s">
        <v>1522</v>
      </c>
      <c r="H180" t="s">
        <v>1520</v>
      </c>
      <c r="I180" t="s">
        <v>1516</v>
      </c>
      <c r="J180" t="s">
        <v>1524</v>
      </c>
      <c r="K180" t="s">
        <v>1525</v>
      </c>
      <c r="L180" s="2">
        <v>5</v>
      </c>
      <c r="M180" s="10">
        <v>511</v>
      </c>
      <c r="N180" s="7">
        <v>2555</v>
      </c>
    </row>
    <row r="181" spans="1:14" x14ac:dyDescent="0.3">
      <c r="A181">
        <v>1066</v>
      </c>
      <c r="B181" s="1">
        <v>44974</v>
      </c>
      <c r="C181">
        <v>2023</v>
      </c>
      <c r="D181">
        <v>2</v>
      </c>
      <c r="E181" t="str">
        <f t="shared" si="2"/>
        <v>Februari</v>
      </c>
      <c r="F181">
        <v>1</v>
      </c>
      <c r="G181" t="s">
        <v>1523</v>
      </c>
      <c r="H181" t="s">
        <v>1512</v>
      </c>
      <c r="I181" t="s">
        <v>1516</v>
      </c>
      <c r="J181" t="s">
        <v>1517</v>
      </c>
      <c r="K181" t="s">
        <v>1525</v>
      </c>
      <c r="L181" s="2">
        <v>1</v>
      </c>
      <c r="M181" s="10">
        <v>29247</v>
      </c>
      <c r="N181" s="7">
        <v>29247</v>
      </c>
    </row>
    <row r="182" spans="1:14" x14ac:dyDescent="0.3">
      <c r="A182">
        <v>1066</v>
      </c>
      <c r="B182" s="1">
        <v>44954</v>
      </c>
      <c r="C182">
        <v>2023</v>
      </c>
      <c r="D182">
        <v>1</v>
      </c>
      <c r="E182" t="str">
        <f t="shared" si="2"/>
        <v>Januari</v>
      </c>
      <c r="F182">
        <v>1</v>
      </c>
      <c r="G182" t="s">
        <v>1523</v>
      </c>
      <c r="H182" t="s">
        <v>1512</v>
      </c>
      <c r="I182" t="s">
        <v>1516</v>
      </c>
      <c r="J182" t="s">
        <v>1517</v>
      </c>
      <c r="K182" t="s">
        <v>1525</v>
      </c>
      <c r="L182" s="2">
        <v>1</v>
      </c>
      <c r="M182" s="10">
        <v>29247</v>
      </c>
      <c r="N182" s="7">
        <v>29247</v>
      </c>
    </row>
    <row r="183" spans="1:14" x14ac:dyDescent="0.3">
      <c r="A183">
        <v>1066</v>
      </c>
      <c r="B183" s="1">
        <v>44918</v>
      </c>
      <c r="C183">
        <v>2022</v>
      </c>
      <c r="D183">
        <v>12</v>
      </c>
      <c r="E183" t="str">
        <f t="shared" si="2"/>
        <v>Desember</v>
      </c>
      <c r="F183">
        <v>4</v>
      </c>
      <c r="G183" t="s">
        <v>1523</v>
      </c>
      <c r="H183" t="s">
        <v>1512</v>
      </c>
      <c r="I183" t="s">
        <v>1516</v>
      </c>
      <c r="J183" t="s">
        <v>1517</v>
      </c>
      <c r="K183" t="s">
        <v>1525</v>
      </c>
      <c r="L183" s="2">
        <v>1</v>
      </c>
      <c r="M183" s="10">
        <v>29247</v>
      </c>
      <c r="N183" s="7">
        <v>29247</v>
      </c>
    </row>
    <row r="184" spans="1:14" x14ac:dyDescent="0.3">
      <c r="A184">
        <v>1067</v>
      </c>
      <c r="B184" s="1">
        <v>45579</v>
      </c>
      <c r="C184">
        <v>2024</v>
      </c>
      <c r="D184">
        <v>10</v>
      </c>
      <c r="E184" t="str">
        <f t="shared" si="2"/>
        <v>Oktober</v>
      </c>
      <c r="F184">
        <v>4</v>
      </c>
      <c r="G184" t="s">
        <v>1526</v>
      </c>
      <c r="H184" t="s">
        <v>1527</v>
      </c>
      <c r="I184" t="s">
        <v>1521</v>
      </c>
      <c r="J184" t="s">
        <v>1566</v>
      </c>
      <c r="K184" t="s">
        <v>1518</v>
      </c>
      <c r="L184" s="2">
        <v>4</v>
      </c>
      <c r="M184" s="10">
        <v>699</v>
      </c>
      <c r="N184" s="7">
        <v>2796</v>
      </c>
    </row>
    <row r="185" spans="1:14" x14ac:dyDescent="0.3">
      <c r="A185">
        <v>1068</v>
      </c>
      <c r="B185" s="1">
        <v>45631</v>
      </c>
      <c r="C185">
        <v>2024</v>
      </c>
      <c r="D185">
        <v>12</v>
      </c>
      <c r="E185" t="str">
        <f t="shared" si="2"/>
        <v>Desember</v>
      </c>
      <c r="F185">
        <v>4</v>
      </c>
      <c r="G185" t="s">
        <v>1529</v>
      </c>
      <c r="H185" t="s">
        <v>1530</v>
      </c>
      <c r="I185" t="s">
        <v>1528</v>
      </c>
      <c r="J185" t="s">
        <v>1524</v>
      </c>
      <c r="K185" t="s">
        <v>1525</v>
      </c>
      <c r="L185" s="2">
        <v>5</v>
      </c>
      <c r="M185" s="10">
        <v>566</v>
      </c>
      <c r="N185" s="7">
        <v>2830</v>
      </c>
    </row>
    <row r="186" spans="1:14" x14ac:dyDescent="0.3">
      <c r="A186">
        <v>1068</v>
      </c>
      <c r="B186" s="1">
        <v>45131</v>
      </c>
      <c r="C186">
        <v>2023</v>
      </c>
      <c r="D186">
        <v>7</v>
      </c>
      <c r="E186" t="str">
        <f t="shared" si="2"/>
        <v>Juli</v>
      </c>
      <c r="F186">
        <v>3</v>
      </c>
      <c r="G186" t="s">
        <v>1529</v>
      </c>
      <c r="H186" t="s">
        <v>1530</v>
      </c>
      <c r="I186" t="s">
        <v>1528</v>
      </c>
      <c r="J186" t="s">
        <v>1524</v>
      </c>
      <c r="K186" t="s">
        <v>1525</v>
      </c>
      <c r="L186" s="2">
        <v>5</v>
      </c>
      <c r="M186" s="10">
        <v>566</v>
      </c>
      <c r="N186" s="7">
        <v>2830</v>
      </c>
    </row>
    <row r="187" spans="1:14" x14ac:dyDescent="0.3">
      <c r="A187">
        <v>1068</v>
      </c>
      <c r="B187" s="1">
        <v>45434</v>
      </c>
      <c r="C187">
        <v>2024</v>
      </c>
      <c r="D187">
        <v>5</v>
      </c>
      <c r="E187" t="str">
        <f t="shared" si="2"/>
        <v>Mei</v>
      </c>
      <c r="F187">
        <v>2</v>
      </c>
      <c r="G187" t="s">
        <v>1529</v>
      </c>
      <c r="H187" t="s">
        <v>1530</v>
      </c>
      <c r="I187" t="s">
        <v>1528</v>
      </c>
      <c r="J187" t="s">
        <v>1524</v>
      </c>
      <c r="K187" t="s">
        <v>1525</v>
      </c>
      <c r="L187" s="2">
        <v>5</v>
      </c>
      <c r="M187" s="10">
        <v>566</v>
      </c>
      <c r="N187" s="7">
        <v>2830</v>
      </c>
    </row>
    <row r="188" spans="1:14" x14ac:dyDescent="0.3">
      <c r="A188">
        <v>1068</v>
      </c>
      <c r="B188" s="1">
        <v>44655</v>
      </c>
      <c r="C188">
        <v>2022</v>
      </c>
      <c r="D188">
        <v>4</v>
      </c>
      <c r="E188" t="str">
        <f t="shared" si="2"/>
        <v>April</v>
      </c>
      <c r="F188">
        <v>2</v>
      </c>
      <c r="G188" t="s">
        <v>1529</v>
      </c>
      <c r="H188" t="s">
        <v>1530</v>
      </c>
      <c r="I188" t="s">
        <v>1528</v>
      </c>
      <c r="J188" t="s">
        <v>1524</v>
      </c>
      <c r="K188" t="s">
        <v>1525</v>
      </c>
      <c r="L188" s="2">
        <v>5</v>
      </c>
      <c r="M188" s="10">
        <v>566</v>
      </c>
      <c r="N188" s="7">
        <v>2830</v>
      </c>
    </row>
    <row r="189" spans="1:14" x14ac:dyDescent="0.3">
      <c r="A189">
        <v>1069</v>
      </c>
      <c r="B189" s="1">
        <v>45640</v>
      </c>
      <c r="C189">
        <v>2024</v>
      </c>
      <c r="D189">
        <v>12</v>
      </c>
      <c r="E189" t="str">
        <f t="shared" si="2"/>
        <v>Desember</v>
      </c>
      <c r="F189">
        <v>4</v>
      </c>
      <c r="G189" t="s">
        <v>1532</v>
      </c>
      <c r="H189" t="s">
        <v>1512</v>
      </c>
      <c r="I189" t="s">
        <v>1531</v>
      </c>
      <c r="J189" t="s">
        <v>1566</v>
      </c>
      <c r="K189" t="s">
        <v>1518</v>
      </c>
      <c r="L189" s="2">
        <v>1</v>
      </c>
      <c r="M189" s="10">
        <v>5629</v>
      </c>
      <c r="N189" s="7">
        <v>5629</v>
      </c>
    </row>
    <row r="190" spans="1:14" x14ac:dyDescent="0.3">
      <c r="A190">
        <v>1069</v>
      </c>
      <c r="B190" s="1">
        <v>45109</v>
      </c>
      <c r="C190">
        <v>2023</v>
      </c>
      <c r="D190">
        <v>7</v>
      </c>
      <c r="E190" t="str">
        <f t="shared" si="2"/>
        <v>Juli</v>
      </c>
      <c r="F190">
        <v>3</v>
      </c>
      <c r="G190" t="s">
        <v>1532</v>
      </c>
      <c r="H190" t="s">
        <v>1512</v>
      </c>
      <c r="I190" t="s">
        <v>1531</v>
      </c>
      <c r="J190" t="s">
        <v>1566</v>
      </c>
      <c r="K190" t="s">
        <v>1518</v>
      </c>
      <c r="L190" s="2">
        <v>1</v>
      </c>
      <c r="M190" s="10">
        <v>5629</v>
      </c>
      <c r="N190" s="7">
        <v>5629</v>
      </c>
    </row>
    <row r="191" spans="1:14" x14ac:dyDescent="0.3">
      <c r="A191">
        <v>1069</v>
      </c>
      <c r="B191" s="1">
        <v>45141</v>
      </c>
      <c r="C191">
        <v>2023</v>
      </c>
      <c r="D191">
        <v>8</v>
      </c>
      <c r="E191" t="str">
        <f t="shared" si="2"/>
        <v>Agustus</v>
      </c>
      <c r="F191">
        <v>3</v>
      </c>
      <c r="G191" t="s">
        <v>1532</v>
      </c>
      <c r="H191" t="s">
        <v>1512</v>
      </c>
      <c r="I191" t="s">
        <v>1531</v>
      </c>
      <c r="J191" t="s">
        <v>1566</v>
      </c>
      <c r="K191" t="s">
        <v>1518</v>
      </c>
      <c r="L191" s="2">
        <v>1</v>
      </c>
      <c r="M191" s="10">
        <v>5629</v>
      </c>
      <c r="N191" s="7">
        <v>5629</v>
      </c>
    </row>
    <row r="192" spans="1:14" x14ac:dyDescent="0.3">
      <c r="A192">
        <v>1070</v>
      </c>
      <c r="B192" s="1">
        <v>44881</v>
      </c>
      <c r="C192">
        <v>2022</v>
      </c>
      <c r="D192">
        <v>11</v>
      </c>
      <c r="E192" t="str">
        <f t="shared" si="2"/>
        <v>November</v>
      </c>
      <c r="F192">
        <v>4</v>
      </c>
      <c r="G192" t="s">
        <v>1533</v>
      </c>
      <c r="H192" t="s">
        <v>1520</v>
      </c>
      <c r="I192" t="s">
        <v>1516</v>
      </c>
      <c r="J192" t="s">
        <v>1524</v>
      </c>
      <c r="K192" t="s">
        <v>1514</v>
      </c>
      <c r="L192" s="2">
        <v>3</v>
      </c>
      <c r="M192" s="10">
        <v>579</v>
      </c>
      <c r="N192" s="7">
        <v>1737</v>
      </c>
    </row>
    <row r="193" spans="1:14" x14ac:dyDescent="0.3">
      <c r="A193">
        <v>1070</v>
      </c>
      <c r="B193" s="1">
        <v>45173</v>
      </c>
      <c r="C193">
        <v>2023</v>
      </c>
      <c r="D193">
        <v>9</v>
      </c>
      <c r="E193" t="str">
        <f t="shared" si="2"/>
        <v>September</v>
      </c>
      <c r="F193">
        <v>3</v>
      </c>
      <c r="G193" t="s">
        <v>1533</v>
      </c>
      <c r="H193" t="s">
        <v>1520</v>
      </c>
      <c r="I193" t="s">
        <v>1516</v>
      </c>
      <c r="J193" t="s">
        <v>1524</v>
      </c>
      <c r="K193" t="s">
        <v>1514</v>
      </c>
      <c r="L193" s="2">
        <v>3</v>
      </c>
      <c r="M193" s="10">
        <v>579</v>
      </c>
      <c r="N193" s="7">
        <v>1737</v>
      </c>
    </row>
    <row r="194" spans="1:14" x14ac:dyDescent="0.3">
      <c r="A194">
        <v>1070</v>
      </c>
      <c r="B194" s="1">
        <v>44588</v>
      </c>
      <c r="C194">
        <v>2022</v>
      </c>
      <c r="D194">
        <v>1</v>
      </c>
      <c r="E194" t="str">
        <f t="shared" si="2"/>
        <v>Januari</v>
      </c>
      <c r="F194">
        <v>1</v>
      </c>
      <c r="G194" t="s">
        <v>1533</v>
      </c>
      <c r="H194" t="s">
        <v>1520</v>
      </c>
      <c r="I194" t="s">
        <v>1516</v>
      </c>
      <c r="J194" t="s">
        <v>1524</v>
      </c>
      <c r="K194" t="s">
        <v>1514</v>
      </c>
      <c r="L194" s="2">
        <v>3</v>
      </c>
      <c r="M194" s="10">
        <v>579</v>
      </c>
      <c r="N194" s="7">
        <v>1737</v>
      </c>
    </row>
    <row r="195" spans="1:14" x14ac:dyDescent="0.3">
      <c r="A195">
        <v>1071</v>
      </c>
      <c r="B195" s="1">
        <v>44713</v>
      </c>
      <c r="C195">
        <v>2022</v>
      </c>
      <c r="D195">
        <v>6</v>
      </c>
      <c r="E195" t="str">
        <f t="shared" ref="E195:E258" si="3">TEXT(DATE(2026, D195, 1), "[$-id-ID]mmmm")</f>
        <v>Juni</v>
      </c>
      <c r="F195">
        <v>2</v>
      </c>
      <c r="G195" t="s">
        <v>1511</v>
      </c>
      <c r="H195" t="s">
        <v>1512</v>
      </c>
      <c r="I195" t="s">
        <v>1521</v>
      </c>
      <c r="J195" t="s">
        <v>1517</v>
      </c>
      <c r="K195" t="s">
        <v>1514</v>
      </c>
      <c r="L195" s="2">
        <v>2</v>
      </c>
      <c r="M195" s="10">
        <v>58940</v>
      </c>
      <c r="N195" s="7">
        <v>117880</v>
      </c>
    </row>
    <row r="196" spans="1:14" x14ac:dyDescent="0.3">
      <c r="A196">
        <v>1072</v>
      </c>
      <c r="B196" s="1">
        <v>45118</v>
      </c>
      <c r="C196">
        <v>2023</v>
      </c>
      <c r="D196">
        <v>7</v>
      </c>
      <c r="E196" t="str">
        <f t="shared" si="3"/>
        <v>Juli</v>
      </c>
      <c r="F196">
        <v>3</v>
      </c>
      <c r="G196" t="s">
        <v>1515</v>
      </c>
      <c r="H196" t="s">
        <v>1512</v>
      </c>
      <c r="I196" t="s">
        <v>1521</v>
      </c>
      <c r="J196" t="s">
        <v>1517</v>
      </c>
      <c r="K196" t="s">
        <v>1518</v>
      </c>
      <c r="L196" s="2">
        <v>1</v>
      </c>
      <c r="M196" s="10">
        <v>3615</v>
      </c>
      <c r="N196" s="7">
        <v>3615</v>
      </c>
    </row>
    <row r="197" spans="1:14" x14ac:dyDescent="0.3">
      <c r="A197">
        <v>1072</v>
      </c>
      <c r="B197" s="1">
        <v>44998</v>
      </c>
      <c r="C197">
        <v>2023</v>
      </c>
      <c r="D197">
        <v>3</v>
      </c>
      <c r="E197" t="str">
        <f t="shared" si="3"/>
        <v>Maret</v>
      </c>
      <c r="F197">
        <v>1</v>
      </c>
      <c r="G197" t="s">
        <v>1515</v>
      </c>
      <c r="H197" t="s">
        <v>1512</v>
      </c>
      <c r="I197" t="s">
        <v>1521</v>
      </c>
      <c r="J197" t="s">
        <v>1517</v>
      </c>
      <c r="K197" t="s">
        <v>1518</v>
      </c>
      <c r="L197" s="2">
        <v>1</v>
      </c>
      <c r="M197" s="10">
        <v>3615</v>
      </c>
      <c r="N197" s="7">
        <v>3615</v>
      </c>
    </row>
    <row r="198" spans="1:14" x14ac:dyDescent="0.3">
      <c r="A198">
        <v>1073</v>
      </c>
      <c r="B198" s="1">
        <v>45191</v>
      </c>
      <c r="C198">
        <v>2023</v>
      </c>
      <c r="D198">
        <v>9</v>
      </c>
      <c r="E198" t="str">
        <f t="shared" si="3"/>
        <v>September</v>
      </c>
      <c r="F198">
        <v>3</v>
      </c>
      <c r="G198" t="s">
        <v>1534</v>
      </c>
      <c r="H198" t="s">
        <v>1530</v>
      </c>
      <c r="I198" t="s">
        <v>1516</v>
      </c>
      <c r="J198" t="s">
        <v>1566</v>
      </c>
      <c r="K198" t="s">
        <v>1525</v>
      </c>
      <c r="L198" s="2">
        <v>3</v>
      </c>
      <c r="M198" s="10">
        <v>3472</v>
      </c>
      <c r="N198" s="7">
        <v>10416</v>
      </c>
    </row>
    <row r="199" spans="1:14" x14ac:dyDescent="0.3">
      <c r="A199">
        <v>1074</v>
      </c>
      <c r="B199" s="1">
        <v>44860</v>
      </c>
      <c r="C199">
        <v>2022</v>
      </c>
      <c r="D199">
        <v>10</v>
      </c>
      <c r="E199" t="str">
        <f t="shared" si="3"/>
        <v>Oktober</v>
      </c>
      <c r="F199">
        <v>4</v>
      </c>
      <c r="G199" t="s">
        <v>1519</v>
      </c>
      <c r="H199" t="s">
        <v>1520</v>
      </c>
      <c r="I199" t="s">
        <v>1516</v>
      </c>
      <c r="J199" t="s">
        <v>1524</v>
      </c>
      <c r="K199" t="s">
        <v>1514</v>
      </c>
      <c r="L199" s="2">
        <v>1</v>
      </c>
      <c r="M199" s="10">
        <v>2976</v>
      </c>
      <c r="N199" s="7">
        <v>2976</v>
      </c>
    </row>
    <row r="200" spans="1:14" x14ac:dyDescent="0.3">
      <c r="A200">
        <v>1074</v>
      </c>
      <c r="B200" s="1">
        <v>45286</v>
      </c>
      <c r="C200">
        <v>2023</v>
      </c>
      <c r="D200">
        <v>12</v>
      </c>
      <c r="E200" t="str">
        <f t="shared" si="3"/>
        <v>Desember</v>
      </c>
      <c r="F200">
        <v>4</v>
      </c>
      <c r="G200" t="s">
        <v>1519</v>
      </c>
      <c r="H200" t="s">
        <v>1520</v>
      </c>
      <c r="I200" t="s">
        <v>1516</v>
      </c>
      <c r="J200" t="s">
        <v>1524</v>
      </c>
      <c r="K200" t="s">
        <v>1514</v>
      </c>
      <c r="L200" s="2">
        <v>1</v>
      </c>
      <c r="M200" s="10">
        <v>2976</v>
      </c>
      <c r="N200" s="7">
        <v>2976</v>
      </c>
    </row>
    <row r="201" spans="1:14" x14ac:dyDescent="0.3">
      <c r="A201">
        <v>1075</v>
      </c>
      <c r="B201" s="1">
        <v>44579</v>
      </c>
      <c r="C201">
        <v>2022</v>
      </c>
      <c r="D201">
        <v>1</v>
      </c>
      <c r="E201" t="str">
        <f t="shared" si="3"/>
        <v>Januari</v>
      </c>
      <c r="F201">
        <v>1</v>
      </c>
      <c r="G201" t="s">
        <v>1522</v>
      </c>
      <c r="H201" t="s">
        <v>1520</v>
      </c>
      <c r="I201" t="s">
        <v>1531</v>
      </c>
      <c r="J201" t="s">
        <v>1566</v>
      </c>
      <c r="K201" t="s">
        <v>1514</v>
      </c>
      <c r="L201" s="2">
        <v>3</v>
      </c>
      <c r="M201" s="10">
        <v>359</v>
      </c>
      <c r="N201" s="7">
        <v>1077</v>
      </c>
    </row>
    <row r="202" spans="1:14" x14ac:dyDescent="0.3">
      <c r="A202">
        <v>1075</v>
      </c>
      <c r="B202" s="1">
        <v>45525</v>
      </c>
      <c r="C202">
        <v>2024</v>
      </c>
      <c r="D202">
        <v>8</v>
      </c>
      <c r="E202" t="str">
        <f t="shared" si="3"/>
        <v>Agustus</v>
      </c>
      <c r="F202">
        <v>3</v>
      </c>
      <c r="G202" t="s">
        <v>1522</v>
      </c>
      <c r="H202" t="s">
        <v>1520</v>
      </c>
      <c r="I202" t="s">
        <v>1531</v>
      </c>
      <c r="J202" t="s">
        <v>1566</v>
      </c>
      <c r="K202" t="s">
        <v>1514</v>
      </c>
      <c r="L202" s="2">
        <v>3</v>
      </c>
      <c r="M202" s="10">
        <v>359</v>
      </c>
      <c r="N202" s="7">
        <v>1077</v>
      </c>
    </row>
    <row r="203" spans="1:14" x14ac:dyDescent="0.3">
      <c r="A203">
        <v>1075</v>
      </c>
      <c r="B203" s="1">
        <v>44612</v>
      </c>
      <c r="C203">
        <v>2022</v>
      </c>
      <c r="D203">
        <v>2</v>
      </c>
      <c r="E203" t="str">
        <f t="shared" si="3"/>
        <v>Februari</v>
      </c>
      <c r="F203">
        <v>1</v>
      </c>
      <c r="G203" t="s">
        <v>1522</v>
      </c>
      <c r="H203" t="s">
        <v>1520</v>
      </c>
      <c r="I203" t="s">
        <v>1531</v>
      </c>
      <c r="J203" t="s">
        <v>1566</v>
      </c>
      <c r="K203" t="s">
        <v>1514</v>
      </c>
      <c r="L203" s="2">
        <v>3</v>
      </c>
      <c r="M203" s="10">
        <v>359</v>
      </c>
      <c r="N203" s="7">
        <v>1077</v>
      </c>
    </row>
    <row r="204" spans="1:14" x14ac:dyDescent="0.3">
      <c r="A204">
        <v>1075</v>
      </c>
      <c r="B204" s="1">
        <v>45031</v>
      </c>
      <c r="C204">
        <v>2023</v>
      </c>
      <c r="D204">
        <v>4</v>
      </c>
      <c r="E204" t="str">
        <f t="shared" si="3"/>
        <v>April</v>
      </c>
      <c r="F204">
        <v>2</v>
      </c>
      <c r="G204" t="s">
        <v>1522</v>
      </c>
      <c r="H204" t="s">
        <v>1520</v>
      </c>
      <c r="I204" t="s">
        <v>1531</v>
      </c>
      <c r="J204" t="s">
        <v>1566</v>
      </c>
      <c r="K204" t="s">
        <v>1514</v>
      </c>
      <c r="L204" s="2">
        <v>3</v>
      </c>
      <c r="M204" s="10">
        <v>359</v>
      </c>
      <c r="N204" s="7">
        <v>1077</v>
      </c>
    </row>
    <row r="205" spans="1:14" x14ac:dyDescent="0.3">
      <c r="A205">
        <v>1076</v>
      </c>
      <c r="B205" s="1">
        <v>44857</v>
      </c>
      <c r="C205">
        <v>2022</v>
      </c>
      <c r="D205">
        <v>10</v>
      </c>
      <c r="E205" t="str">
        <f t="shared" si="3"/>
        <v>Oktober</v>
      </c>
      <c r="F205">
        <v>4</v>
      </c>
      <c r="G205" t="s">
        <v>1523</v>
      </c>
      <c r="H205" t="s">
        <v>1512</v>
      </c>
      <c r="I205" t="s">
        <v>1531</v>
      </c>
      <c r="J205" t="s">
        <v>1517</v>
      </c>
      <c r="K205" t="s">
        <v>1525</v>
      </c>
      <c r="L205" s="2">
        <v>1</v>
      </c>
      <c r="M205" s="10">
        <v>20775</v>
      </c>
      <c r="N205" s="7">
        <v>20775</v>
      </c>
    </row>
    <row r="206" spans="1:14" x14ac:dyDescent="0.3">
      <c r="A206">
        <v>1076</v>
      </c>
      <c r="B206" s="1">
        <v>44949</v>
      </c>
      <c r="C206">
        <v>2023</v>
      </c>
      <c r="D206">
        <v>1</v>
      </c>
      <c r="E206" t="str">
        <f t="shared" si="3"/>
        <v>Januari</v>
      </c>
      <c r="F206">
        <v>1</v>
      </c>
      <c r="G206" t="s">
        <v>1523</v>
      </c>
      <c r="H206" t="s">
        <v>1512</v>
      </c>
      <c r="I206" t="s">
        <v>1531</v>
      </c>
      <c r="J206" t="s">
        <v>1517</v>
      </c>
      <c r="K206" t="s">
        <v>1525</v>
      </c>
      <c r="L206" s="2">
        <v>1</v>
      </c>
      <c r="M206" s="10">
        <v>20775</v>
      </c>
      <c r="N206" s="7">
        <v>20775</v>
      </c>
    </row>
    <row r="207" spans="1:14" x14ac:dyDescent="0.3">
      <c r="A207">
        <v>1076</v>
      </c>
      <c r="B207" s="1">
        <v>45187</v>
      </c>
      <c r="C207">
        <v>2023</v>
      </c>
      <c r="D207">
        <v>9</v>
      </c>
      <c r="E207" t="str">
        <f t="shared" si="3"/>
        <v>September</v>
      </c>
      <c r="F207">
        <v>3</v>
      </c>
      <c r="G207" t="s">
        <v>1523</v>
      </c>
      <c r="H207" t="s">
        <v>1512</v>
      </c>
      <c r="I207" t="s">
        <v>1531</v>
      </c>
      <c r="J207" t="s">
        <v>1517</v>
      </c>
      <c r="K207" t="s">
        <v>1525</v>
      </c>
      <c r="L207" s="2">
        <v>1</v>
      </c>
      <c r="M207" s="10">
        <v>20775</v>
      </c>
      <c r="N207" s="7">
        <v>20775</v>
      </c>
    </row>
    <row r="208" spans="1:14" x14ac:dyDescent="0.3">
      <c r="A208">
        <v>1077</v>
      </c>
      <c r="B208" s="1">
        <v>44999</v>
      </c>
      <c r="C208">
        <v>2023</v>
      </c>
      <c r="D208">
        <v>3</v>
      </c>
      <c r="E208" t="str">
        <f t="shared" si="3"/>
        <v>Maret</v>
      </c>
      <c r="F208">
        <v>1</v>
      </c>
      <c r="G208" t="s">
        <v>1526</v>
      </c>
      <c r="H208" t="s">
        <v>1527</v>
      </c>
      <c r="I208" t="s">
        <v>1516</v>
      </c>
      <c r="J208" t="s">
        <v>1517</v>
      </c>
      <c r="K208" t="s">
        <v>1514</v>
      </c>
      <c r="L208" s="2">
        <v>4</v>
      </c>
      <c r="M208" s="10">
        <v>920</v>
      </c>
      <c r="N208" s="7">
        <v>3680</v>
      </c>
    </row>
    <row r="209" spans="1:14" x14ac:dyDescent="0.3">
      <c r="A209">
        <v>1078</v>
      </c>
      <c r="B209" s="1">
        <v>44895</v>
      </c>
      <c r="C209">
        <v>2022</v>
      </c>
      <c r="D209">
        <v>11</v>
      </c>
      <c r="E209" t="str">
        <f t="shared" si="3"/>
        <v>November</v>
      </c>
      <c r="F209">
        <v>4</v>
      </c>
      <c r="G209" t="s">
        <v>1529</v>
      </c>
      <c r="H209" t="s">
        <v>1530</v>
      </c>
      <c r="I209" t="s">
        <v>1521</v>
      </c>
      <c r="J209" t="s">
        <v>1566</v>
      </c>
      <c r="K209" t="s">
        <v>1518</v>
      </c>
      <c r="L209" s="2">
        <v>2</v>
      </c>
      <c r="M209" s="10">
        <v>907</v>
      </c>
      <c r="N209" s="7">
        <v>1814</v>
      </c>
    </row>
    <row r="210" spans="1:14" x14ac:dyDescent="0.3">
      <c r="A210">
        <v>1078</v>
      </c>
      <c r="B210" s="1">
        <v>45648</v>
      </c>
      <c r="C210">
        <v>2024</v>
      </c>
      <c r="D210">
        <v>12</v>
      </c>
      <c r="E210" t="str">
        <f t="shared" si="3"/>
        <v>Desember</v>
      </c>
      <c r="F210">
        <v>4</v>
      </c>
      <c r="G210" t="s">
        <v>1529</v>
      </c>
      <c r="H210" t="s">
        <v>1530</v>
      </c>
      <c r="I210" t="s">
        <v>1521</v>
      </c>
      <c r="J210" t="s">
        <v>1566</v>
      </c>
      <c r="K210" t="s">
        <v>1518</v>
      </c>
      <c r="L210" s="2">
        <v>2</v>
      </c>
      <c r="M210" s="10">
        <v>907</v>
      </c>
      <c r="N210" s="7">
        <v>1814</v>
      </c>
    </row>
    <row r="211" spans="1:14" x14ac:dyDescent="0.3">
      <c r="A211">
        <v>1079</v>
      </c>
      <c r="B211" s="1">
        <v>45236</v>
      </c>
      <c r="C211">
        <v>2023</v>
      </c>
      <c r="D211">
        <v>11</v>
      </c>
      <c r="E211" t="str">
        <f t="shared" si="3"/>
        <v>November</v>
      </c>
      <c r="F211">
        <v>4</v>
      </c>
      <c r="G211" t="s">
        <v>1532</v>
      </c>
      <c r="H211" t="s">
        <v>1512</v>
      </c>
      <c r="I211" t="s">
        <v>1521</v>
      </c>
      <c r="J211" t="s">
        <v>1524</v>
      </c>
      <c r="K211" t="s">
        <v>1525</v>
      </c>
      <c r="L211" s="2">
        <v>1</v>
      </c>
      <c r="M211" s="10">
        <v>13388</v>
      </c>
      <c r="N211" s="7">
        <v>13388</v>
      </c>
    </row>
    <row r="212" spans="1:14" x14ac:dyDescent="0.3">
      <c r="A212">
        <v>1079</v>
      </c>
      <c r="B212" s="1">
        <v>45520</v>
      </c>
      <c r="C212">
        <v>2024</v>
      </c>
      <c r="D212">
        <v>8</v>
      </c>
      <c r="E212" t="str">
        <f t="shared" si="3"/>
        <v>Agustus</v>
      </c>
      <c r="F212">
        <v>3</v>
      </c>
      <c r="G212" t="s">
        <v>1532</v>
      </c>
      <c r="H212" t="s">
        <v>1512</v>
      </c>
      <c r="I212" t="s">
        <v>1521</v>
      </c>
      <c r="J212" t="s">
        <v>1524</v>
      </c>
      <c r="K212" t="s">
        <v>1525</v>
      </c>
      <c r="L212" s="2">
        <v>1</v>
      </c>
      <c r="M212" s="10">
        <v>13388</v>
      </c>
      <c r="N212" s="7">
        <v>13388</v>
      </c>
    </row>
    <row r="213" spans="1:14" x14ac:dyDescent="0.3">
      <c r="A213">
        <v>1079</v>
      </c>
      <c r="B213" s="1">
        <v>45125</v>
      </c>
      <c r="C213">
        <v>2023</v>
      </c>
      <c r="D213">
        <v>7</v>
      </c>
      <c r="E213" t="str">
        <f t="shared" si="3"/>
        <v>Juli</v>
      </c>
      <c r="F213">
        <v>3</v>
      </c>
      <c r="G213" t="s">
        <v>1532</v>
      </c>
      <c r="H213" t="s">
        <v>1512</v>
      </c>
      <c r="I213" t="s">
        <v>1521</v>
      </c>
      <c r="J213" t="s">
        <v>1524</v>
      </c>
      <c r="K213" t="s">
        <v>1525</v>
      </c>
      <c r="L213" s="2">
        <v>1</v>
      </c>
      <c r="M213" s="10">
        <v>13388</v>
      </c>
      <c r="N213" s="7">
        <v>13388</v>
      </c>
    </row>
    <row r="214" spans="1:14" x14ac:dyDescent="0.3">
      <c r="A214">
        <v>1079</v>
      </c>
      <c r="B214" s="1">
        <v>45104</v>
      </c>
      <c r="C214">
        <v>2023</v>
      </c>
      <c r="D214">
        <v>6</v>
      </c>
      <c r="E214" t="str">
        <f t="shared" si="3"/>
        <v>Juni</v>
      </c>
      <c r="F214">
        <v>2</v>
      </c>
      <c r="G214" t="s">
        <v>1532</v>
      </c>
      <c r="H214" t="s">
        <v>1512</v>
      </c>
      <c r="I214" t="s">
        <v>1521</v>
      </c>
      <c r="J214" t="s">
        <v>1524</v>
      </c>
      <c r="K214" t="s">
        <v>1525</v>
      </c>
      <c r="L214" s="2">
        <v>1</v>
      </c>
      <c r="M214" s="10">
        <v>13388</v>
      </c>
      <c r="N214" s="7">
        <v>13388</v>
      </c>
    </row>
    <row r="215" spans="1:14" x14ac:dyDescent="0.3">
      <c r="A215">
        <v>1079</v>
      </c>
      <c r="B215" s="1">
        <v>44936</v>
      </c>
      <c r="C215">
        <v>2023</v>
      </c>
      <c r="D215">
        <v>1</v>
      </c>
      <c r="E215" t="str">
        <f t="shared" si="3"/>
        <v>Januari</v>
      </c>
      <c r="F215">
        <v>1</v>
      </c>
      <c r="G215" t="s">
        <v>1532</v>
      </c>
      <c r="H215" t="s">
        <v>1512</v>
      </c>
      <c r="I215" t="s">
        <v>1521</v>
      </c>
      <c r="J215" t="s">
        <v>1524</v>
      </c>
      <c r="K215" t="s">
        <v>1525</v>
      </c>
      <c r="L215" s="2">
        <v>1</v>
      </c>
      <c r="M215" s="10">
        <v>13388</v>
      </c>
      <c r="N215" s="7">
        <v>13388</v>
      </c>
    </row>
    <row r="216" spans="1:14" x14ac:dyDescent="0.3">
      <c r="A216">
        <v>1079</v>
      </c>
      <c r="B216" s="1">
        <v>45033</v>
      </c>
      <c r="C216">
        <v>2023</v>
      </c>
      <c r="D216">
        <v>4</v>
      </c>
      <c r="E216" t="str">
        <f t="shared" si="3"/>
        <v>April</v>
      </c>
      <c r="F216">
        <v>2</v>
      </c>
      <c r="G216" t="s">
        <v>1532</v>
      </c>
      <c r="H216" t="s">
        <v>1512</v>
      </c>
      <c r="I216" t="s">
        <v>1521</v>
      </c>
      <c r="J216" t="s">
        <v>1524</v>
      </c>
      <c r="K216" t="s">
        <v>1525</v>
      </c>
      <c r="L216" s="2">
        <v>1</v>
      </c>
      <c r="M216" s="10">
        <v>13388</v>
      </c>
      <c r="N216" s="7">
        <v>13388</v>
      </c>
    </row>
    <row r="217" spans="1:14" x14ac:dyDescent="0.3">
      <c r="A217">
        <v>1080</v>
      </c>
      <c r="B217" s="1">
        <v>44720</v>
      </c>
      <c r="C217">
        <v>2022</v>
      </c>
      <c r="D217">
        <v>6</v>
      </c>
      <c r="E217" t="str">
        <f t="shared" si="3"/>
        <v>Juni</v>
      </c>
      <c r="F217">
        <v>2</v>
      </c>
      <c r="G217" t="s">
        <v>1533</v>
      </c>
      <c r="H217" t="s">
        <v>1520</v>
      </c>
      <c r="I217" t="s">
        <v>1528</v>
      </c>
      <c r="J217" t="s">
        <v>1517</v>
      </c>
      <c r="K217" t="s">
        <v>1518</v>
      </c>
      <c r="L217" s="2">
        <v>2</v>
      </c>
      <c r="M217" s="10">
        <v>372</v>
      </c>
      <c r="N217" s="7">
        <v>744</v>
      </c>
    </row>
    <row r="218" spans="1:14" x14ac:dyDescent="0.3">
      <c r="A218">
        <v>1080</v>
      </c>
      <c r="B218" s="1">
        <v>44889</v>
      </c>
      <c r="C218">
        <v>2022</v>
      </c>
      <c r="D218">
        <v>11</v>
      </c>
      <c r="E218" t="str">
        <f t="shared" si="3"/>
        <v>November</v>
      </c>
      <c r="F218">
        <v>4</v>
      </c>
      <c r="G218" t="s">
        <v>1533</v>
      </c>
      <c r="H218" t="s">
        <v>1520</v>
      </c>
      <c r="I218" t="s">
        <v>1528</v>
      </c>
      <c r="J218" t="s">
        <v>1517</v>
      </c>
      <c r="K218" t="s">
        <v>1518</v>
      </c>
      <c r="L218" s="2">
        <v>2</v>
      </c>
      <c r="M218" s="10">
        <v>372</v>
      </c>
      <c r="N218" s="7">
        <v>744</v>
      </c>
    </row>
    <row r="219" spans="1:14" x14ac:dyDescent="0.3">
      <c r="A219">
        <v>1080</v>
      </c>
      <c r="B219" s="1">
        <v>45621</v>
      </c>
      <c r="C219">
        <v>2024</v>
      </c>
      <c r="D219">
        <v>11</v>
      </c>
      <c r="E219" t="str">
        <f t="shared" si="3"/>
        <v>November</v>
      </c>
      <c r="F219">
        <v>4</v>
      </c>
      <c r="G219" t="s">
        <v>1533</v>
      </c>
      <c r="H219" t="s">
        <v>1520</v>
      </c>
      <c r="I219" t="s">
        <v>1528</v>
      </c>
      <c r="J219" t="s">
        <v>1517</v>
      </c>
      <c r="K219" t="s">
        <v>1518</v>
      </c>
      <c r="L219" s="2">
        <v>2</v>
      </c>
      <c r="M219" s="10">
        <v>372</v>
      </c>
      <c r="N219" s="7">
        <v>744</v>
      </c>
    </row>
    <row r="220" spans="1:14" x14ac:dyDescent="0.3">
      <c r="A220">
        <v>1081</v>
      </c>
      <c r="B220" s="1">
        <v>45397</v>
      </c>
      <c r="C220">
        <v>2024</v>
      </c>
      <c r="D220">
        <v>4</v>
      </c>
      <c r="E220" t="str">
        <f t="shared" si="3"/>
        <v>April</v>
      </c>
      <c r="F220">
        <v>2</v>
      </c>
      <c r="G220" t="s">
        <v>1511</v>
      </c>
      <c r="H220" t="s">
        <v>1512</v>
      </c>
      <c r="I220" t="s">
        <v>1516</v>
      </c>
      <c r="J220" t="s">
        <v>1566</v>
      </c>
      <c r="K220" t="s">
        <v>1525</v>
      </c>
      <c r="L220" s="2">
        <v>1</v>
      </c>
      <c r="M220" s="10">
        <v>44531</v>
      </c>
      <c r="N220" s="7">
        <v>44531</v>
      </c>
    </row>
    <row r="221" spans="1:14" x14ac:dyDescent="0.3">
      <c r="A221">
        <v>1081</v>
      </c>
      <c r="B221" s="1">
        <v>45498</v>
      </c>
      <c r="C221">
        <v>2024</v>
      </c>
      <c r="D221">
        <v>7</v>
      </c>
      <c r="E221" t="str">
        <f t="shared" si="3"/>
        <v>Juli</v>
      </c>
      <c r="F221">
        <v>3</v>
      </c>
      <c r="G221" t="s">
        <v>1511</v>
      </c>
      <c r="H221" t="s">
        <v>1512</v>
      </c>
      <c r="I221" t="s">
        <v>1516</v>
      </c>
      <c r="J221" t="s">
        <v>1566</v>
      </c>
      <c r="K221" t="s">
        <v>1525</v>
      </c>
      <c r="L221" s="2">
        <v>1</v>
      </c>
      <c r="M221" s="10">
        <v>44531</v>
      </c>
      <c r="N221" s="7">
        <v>44531</v>
      </c>
    </row>
    <row r="222" spans="1:14" x14ac:dyDescent="0.3">
      <c r="A222">
        <v>1082</v>
      </c>
      <c r="B222" s="1">
        <v>44662</v>
      </c>
      <c r="C222">
        <v>2022</v>
      </c>
      <c r="D222">
        <v>4</v>
      </c>
      <c r="E222" t="str">
        <f t="shared" si="3"/>
        <v>April</v>
      </c>
      <c r="F222">
        <v>2</v>
      </c>
      <c r="G222" t="s">
        <v>1515</v>
      </c>
      <c r="H222" t="s">
        <v>1512</v>
      </c>
      <c r="I222" t="s">
        <v>1528</v>
      </c>
      <c r="J222" t="s">
        <v>1566</v>
      </c>
      <c r="K222" t="s">
        <v>1514</v>
      </c>
      <c r="L222" s="2">
        <v>2</v>
      </c>
      <c r="M222" s="10">
        <v>1963</v>
      </c>
      <c r="N222" s="7">
        <v>3926</v>
      </c>
    </row>
    <row r="223" spans="1:14" x14ac:dyDescent="0.3">
      <c r="A223">
        <v>1082</v>
      </c>
      <c r="B223" s="1">
        <v>45252</v>
      </c>
      <c r="C223">
        <v>2023</v>
      </c>
      <c r="D223">
        <v>11</v>
      </c>
      <c r="E223" t="str">
        <f t="shared" si="3"/>
        <v>November</v>
      </c>
      <c r="F223">
        <v>4</v>
      </c>
      <c r="G223" t="s">
        <v>1515</v>
      </c>
      <c r="H223" t="s">
        <v>1512</v>
      </c>
      <c r="I223" t="s">
        <v>1528</v>
      </c>
      <c r="J223" t="s">
        <v>1566</v>
      </c>
      <c r="K223" t="s">
        <v>1514</v>
      </c>
      <c r="L223" s="2">
        <v>2</v>
      </c>
      <c r="M223" s="10">
        <v>1963</v>
      </c>
      <c r="N223" s="7">
        <v>3926</v>
      </c>
    </row>
    <row r="224" spans="1:14" x14ac:dyDescent="0.3">
      <c r="A224">
        <v>1082</v>
      </c>
      <c r="B224" s="1">
        <v>44829</v>
      </c>
      <c r="C224">
        <v>2022</v>
      </c>
      <c r="D224">
        <v>9</v>
      </c>
      <c r="E224" t="str">
        <f t="shared" si="3"/>
        <v>September</v>
      </c>
      <c r="F224">
        <v>3</v>
      </c>
      <c r="G224" t="s">
        <v>1515</v>
      </c>
      <c r="H224" t="s">
        <v>1512</v>
      </c>
      <c r="I224" t="s">
        <v>1528</v>
      </c>
      <c r="J224" t="s">
        <v>1566</v>
      </c>
      <c r="K224" t="s">
        <v>1514</v>
      </c>
      <c r="L224" s="2">
        <v>2</v>
      </c>
      <c r="M224" s="10">
        <v>1963</v>
      </c>
      <c r="N224" s="7">
        <v>3926</v>
      </c>
    </row>
    <row r="225" spans="1:14" x14ac:dyDescent="0.3">
      <c r="A225">
        <v>1082</v>
      </c>
      <c r="B225" s="1">
        <v>44741</v>
      </c>
      <c r="C225">
        <v>2022</v>
      </c>
      <c r="D225">
        <v>6</v>
      </c>
      <c r="E225" t="str">
        <f t="shared" si="3"/>
        <v>Juni</v>
      </c>
      <c r="F225">
        <v>2</v>
      </c>
      <c r="G225" t="s">
        <v>1515</v>
      </c>
      <c r="H225" t="s">
        <v>1512</v>
      </c>
      <c r="I225" t="s">
        <v>1528</v>
      </c>
      <c r="J225" t="s">
        <v>1566</v>
      </c>
      <c r="K225" t="s">
        <v>1514</v>
      </c>
      <c r="L225" s="2">
        <v>2</v>
      </c>
      <c r="M225" s="10">
        <v>1963</v>
      </c>
      <c r="N225" s="7">
        <v>3926</v>
      </c>
    </row>
    <row r="226" spans="1:14" x14ac:dyDescent="0.3">
      <c r="A226">
        <v>1082</v>
      </c>
      <c r="B226" s="1">
        <v>44692</v>
      </c>
      <c r="C226">
        <v>2022</v>
      </c>
      <c r="D226">
        <v>5</v>
      </c>
      <c r="E226" t="str">
        <f t="shared" si="3"/>
        <v>Mei</v>
      </c>
      <c r="F226">
        <v>2</v>
      </c>
      <c r="G226" t="s">
        <v>1515</v>
      </c>
      <c r="H226" t="s">
        <v>1512</v>
      </c>
      <c r="I226" t="s">
        <v>1528</v>
      </c>
      <c r="J226" t="s">
        <v>1566</v>
      </c>
      <c r="K226" t="s">
        <v>1514</v>
      </c>
      <c r="L226" s="2">
        <v>2</v>
      </c>
      <c r="M226" s="10">
        <v>1963</v>
      </c>
      <c r="N226" s="7">
        <v>3926</v>
      </c>
    </row>
    <row r="227" spans="1:14" x14ac:dyDescent="0.3">
      <c r="A227">
        <v>1083</v>
      </c>
      <c r="B227" s="1">
        <v>44598</v>
      </c>
      <c r="C227">
        <v>2022</v>
      </c>
      <c r="D227">
        <v>2</v>
      </c>
      <c r="E227" t="str">
        <f t="shared" si="3"/>
        <v>Februari</v>
      </c>
      <c r="F227">
        <v>1</v>
      </c>
      <c r="G227" t="s">
        <v>1534</v>
      </c>
      <c r="H227" t="s">
        <v>1530</v>
      </c>
      <c r="I227" t="s">
        <v>1521</v>
      </c>
      <c r="J227" t="s">
        <v>1517</v>
      </c>
      <c r="K227" t="s">
        <v>1514</v>
      </c>
      <c r="L227" s="2">
        <v>1</v>
      </c>
      <c r="M227" s="10">
        <v>2483</v>
      </c>
      <c r="N227" s="7">
        <v>2483</v>
      </c>
    </row>
    <row r="228" spans="1:14" x14ac:dyDescent="0.3">
      <c r="A228">
        <v>1083</v>
      </c>
      <c r="B228" s="1">
        <v>45512</v>
      </c>
      <c r="C228">
        <v>2024</v>
      </c>
      <c r="D228">
        <v>8</v>
      </c>
      <c r="E228" t="str">
        <f t="shared" si="3"/>
        <v>Agustus</v>
      </c>
      <c r="F228">
        <v>3</v>
      </c>
      <c r="G228" t="s">
        <v>1534</v>
      </c>
      <c r="H228" t="s">
        <v>1530</v>
      </c>
      <c r="I228" t="s">
        <v>1521</v>
      </c>
      <c r="J228" t="s">
        <v>1517</v>
      </c>
      <c r="K228" t="s">
        <v>1514</v>
      </c>
      <c r="L228" s="2">
        <v>1</v>
      </c>
      <c r="M228" s="10">
        <v>2483</v>
      </c>
      <c r="N228" s="7">
        <v>2483</v>
      </c>
    </row>
    <row r="229" spans="1:14" x14ac:dyDescent="0.3">
      <c r="A229">
        <v>1083</v>
      </c>
      <c r="B229" s="1">
        <v>45443</v>
      </c>
      <c r="C229">
        <v>2024</v>
      </c>
      <c r="D229">
        <v>5</v>
      </c>
      <c r="E229" t="str">
        <f t="shared" si="3"/>
        <v>Mei</v>
      </c>
      <c r="F229">
        <v>2</v>
      </c>
      <c r="G229" t="s">
        <v>1534</v>
      </c>
      <c r="H229" t="s">
        <v>1530</v>
      </c>
      <c r="I229" t="s">
        <v>1521</v>
      </c>
      <c r="J229" t="s">
        <v>1517</v>
      </c>
      <c r="K229" t="s">
        <v>1514</v>
      </c>
      <c r="L229" s="2">
        <v>1</v>
      </c>
      <c r="M229" s="10">
        <v>2483</v>
      </c>
      <c r="N229" s="7">
        <v>2483</v>
      </c>
    </row>
    <row r="230" spans="1:14" x14ac:dyDescent="0.3">
      <c r="A230">
        <v>1083</v>
      </c>
      <c r="B230" s="1">
        <v>44829</v>
      </c>
      <c r="C230">
        <v>2022</v>
      </c>
      <c r="D230">
        <v>9</v>
      </c>
      <c r="E230" t="str">
        <f t="shared" si="3"/>
        <v>September</v>
      </c>
      <c r="F230">
        <v>3</v>
      </c>
      <c r="G230" t="s">
        <v>1534</v>
      </c>
      <c r="H230" t="s">
        <v>1530</v>
      </c>
      <c r="I230" t="s">
        <v>1521</v>
      </c>
      <c r="J230" t="s">
        <v>1517</v>
      </c>
      <c r="K230" t="s">
        <v>1514</v>
      </c>
      <c r="L230" s="2">
        <v>1</v>
      </c>
      <c r="M230" s="10">
        <v>2483</v>
      </c>
      <c r="N230" s="7">
        <v>2483</v>
      </c>
    </row>
    <row r="231" spans="1:14" x14ac:dyDescent="0.3">
      <c r="A231">
        <v>1083</v>
      </c>
      <c r="B231" s="1">
        <v>45111</v>
      </c>
      <c r="C231">
        <v>2023</v>
      </c>
      <c r="D231">
        <v>7</v>
      </c>
      <c r="E231" t="str">
        <f t="shared" si="3"/>
        <v>Juli</v>
      </c>
      <c r="F231">
        <v>3</v>
      </c>
      <c r="G231" t="s">
        <v>1534</v>
      </c>
      <c r="H231" t="s">
        <v>1530</v>
      </c>
      <c r="I231" t="s">
        <v>1521</v>
      </c>
      <c r="J231" t="s">
        <v>1517</v>
      </c>
      <c r="K231" t="s">
        <v>1514</v>
      </c>
      <c r="L231" s="2">
        <v>1</v>
      </c>
      <c r="M231" s="10">
        <v>2483</v>
      </c>
      <c r="N231" s="7">
        <v>2483</v>
      </c>
    </row>
    <row r="232" spans="1:14" x14ac:dyDescent="0.3">
      <c r="A232">
        <v>1084</v>
      </c>
      <c r="B232" s="1">
        <v>44857</v>
      </c>
      <c r="C232">
        <v>2022</v>
      </c>
      <c r="D232">
        <v>10</v>
      </c>
      <c r="E232" t="str">
        <f t="shared" si="3"/>
        <v>Oktober</v>
      </c>
      <c r="F232">
        <v>4</v>
      </c>
      <c r="G232" t="s">
        <v>1519</v>
      </c>
      <c r="H232" t="s">
        <v>1520</v>
      </c>
      <c r="I232" t="s">
        <v>1535</v>
      </c>
      <c r="J232" t="s">
        <v>1517</v>
      </c>
      <c r="K232" t="s">
        <v>1525</v>
      </c>
      <c r="L232" s="2">
        <v>5</v>
      </c>
      <c r="M232" s="10">
        <v>18677</v>
      </c>
      <c r="N232" s="7">
        <v>93385</v>
      </c>
    </row>
    <row r="233" spans="1:14" x14ac:dyDescent="0.3">
      <c r="A233">
        <v>1084</v>
      </c>
      <c r="B233" s="1">
        <v>45169</v>
      </c>
      <c r="C233">
        <v>2023</v>
      </c>
      <c r="D233">
        <v>8</v>
      </c>
      <c r="E233" t="str">
        <f t="shared" si="3"/>
        <v>Agustus</v>
      </c>
      <c r="F233">
        <v>3</v>
      </c>
      <c r="G233" t="s">
        <v>1519</v>
      </c>
      <c r="H233" t="s">
        <v>1520</v>
      </c>
      <c r="I233" t="s">
        <v>1535</v>
      </c>
      <c r="J233" t="s">
        <v>1517</v>
      </c>
      <c r="K233" t="s">
        <v>1525</v>
      </c>
      <c r="L233" s="2">
        <v>5</v>
      </c>
      <c r="M233" s="10">
        <v>18677</v>
      </c>
      <c r="N233" s="7">
        <v>93385</v>
      </c>
    </row>
    <row r="234" spans="1:14" x14ac:dyDescent="0.3">
      <c r="A234">
        <v>1085</v>
      </c>
      <c r="B234" s="1">
        <v>45105</v>
      </c>
      <c r="C234">
        <v>2023</v>
      </c>
      <c r="D234">
        <v>6</v>
      </c>
      <c r="E234" t="str">
        <f t="shared" si="3"/>
        <v>Juni</v>
      </c>
      <c r="F234">
        <v>2</v>
      </c>
      <c r="G234" t="s">
        <v>1522</v>
      </c>
      <c r="H234" t="s">
        <v>1520</v>
      </c>
      <c r="I234" t="s">
        <v>1521</v>
      </c>
      <c r="J234" t="s">
        <v>1517</v>
      </c>
      <c r="K234" t="s">
        <v>1514</v>
      </c>
      <c r="L234" s="2">
        <v>1</v>
      </c>
      <c r="M234" s="10">
        <v>583</v>
      </c>
      <c r="N234" s="7">
        <v>583</v>
      </c>
    </row>
    <row r="235" spans="1:14" x14ac:dyDescent="0.3">
      <c r="A235">
        <v>1085</v>
      </c>
      <c r="B235" s="1">
        <v>44709</v>
      </c>
      <c r="C235">
        <v>2022</v>
      </c>
      <c r="D235">
        <v>5</v>
      </c>
      <c r="E235" t="str">
        <f t="shared" si="3"/>
        <v>Mei</v>
      </c>
      <c r="F235">
        <v>2</v>
      </c>
      <c r="G235" t="s">
        <v>1522</v>
      </c>
      <c r="H235" t="s">
        <v>1520</v>
      </c>
      <c r="I235" t="s">
        <v>1521</v>
      </c>
      <c r="J235" t="s">
        <v>1517</v>
      </c>
      <c r="K235" t="s">
        <v>1514</v>
      </c>
      <c r="L235" s="2">
        <v>1</v>
      </c>
      <c r="M235" s="10">
        <v>583</v>
      </c>
      <c r="N235" s="7">
        <v>583</v>
      </c>
    </row>
    <row r="236" spans="1:14" x14ac:dyDescent="0.3">
      <c r="A236">
        <v>1085</v>
      </c>
      <c r="B236" s="1">
        <v>44825</v>
      </c>
      <c r="C236">
        <v>2022</v>
      </c>
      <c r="D236">
        <v>9</v>
      </c>
      <c r="E236" t="str">
        <f t="shared" si="3"/>
        <v>September</v>
      </c>
      <c r="F236">
        <v>3</v>
      </c>
      <c r="G236" t="s">
        <v>1522</v>
      </c>
      <c r="H236" t="s">
        <v>1520</v>
      </c>
      <c r="I236" t="s">
        <v>1521</v>
      </c>
      <c r="J236" t="s">
        <v>1517</v>
      </c>
      <c r="K236" t="s">
        <v>1514</v>
      </c>
      <c r="L236" s="2">
        <v>1</v>
      </c>
      <c r="M236" s="10">
        <v>583</v>
      </c>
      <c r="N236" s="7">
        <v>583</v>
      </c>
    </row>
    <row r="237" spans="1:14" x14ac:dyDescent="0.3">
      <c r="A237">
        <v>1086</v>
      </c>
      <c r="B237" s="1">
        <v>44648</v>
      </c>
      <c r="C237">
        <v>2022</v>
      </c>
      <c r="D237">
        <v>3</v>
      </c>
      <c r="E237" t="str">
        <f t="shared" si="3"/>
        <v>Maret</v>
      </c>
      <c r="F237">
        <v>1</v>
      </c>
      <c r="G237" t="s">
        <v>1523</v>
      </c>
      <c r="H237" t="s">
        <v>1512</v>
      </c>
      <c r="I237" t="s">
        <v>1521</v>
      </c>
      <c r="J237" t="s">
        <v>1524</v>
      </c>
      <c r="K237" t="s">
        <v>1514</v>
      </c>
      <c r="L237" s="2">
        <v>1</v>
      </c>
      <c r="M237" s="10">
        <v>34775</v>
      </c>
      <c r="N237" s="7">
        <v>34775</v>
      </c>
    </row>
    <row r="238" spans="1:14" x14ac:dyDescent="0.3">
      <c r="A238">
        <v>1087</v>
      </c>
      <c r="B238" s="1">
        <v>44629</v>
      </c>
      <c r="C238">
        <v>2022</v>
      </c>
      <c r="D238">
        <v>3</v>
      </c>
      <c r="E238" t="str">
        <f t="shared" si="3"/>
        <v>Maret</v>
      </c>
      <c r="F238">
        <v>1</v>
      </c>
      <c r="G238" t="s">
        <v>1526</v>
      </c>
      <c r="H238" t="s">
        <v>1527</v>
      </c>
      <c r="I238" t="s">
        <v>1521</v>
      </c>
      <c r="J238" t="s">
        <v>1517</v>
      </c>
      <c r="K238" t="s">
        <v>1514</v>
      </c>
      <c r="L238" s="2">
        <v>3</v>
      </c>
      <c r="M238" s="10">
        <v>635</v>
      </c>
      <c r="N238" s="7">
        <v>1905</v>
      </c>
    </row>
    <row r="239" spans="1:14" x14ac:dyDescent="0.3">
      <c r="A239">
        <v>1088</v>
      </c>
      <c r="B239" s="1">
        <v>45545</v>
      </c>
      <c r="C239">
        <v>2024</v>
      </c>
      <c r="D239">
        <v>9</v>
      </c>
      <c r="E239" t="str">
        <f t="shared" si="3"/>
        <v>September</v>
      </c>
      <c r="F239">
        <v>3</v>
      </c>
      <c r="G239" t="s">
        <v>1529</v>
      </c>
      <c r="H239" t="s">
        <v>1530</v>
      </c>
      <c r="I239" t="s">
        <v>1521</v>
      </c>
      <c r="J239" t="s">
        <v>1524</v>
      </c>
      <c r="K239" t="s">
        <v>1525</v>
      </c>
      <c r="L239" s="2">
        <v>5</v>
      </c>
      <c r="M239" s="10">
        <v>527</v>
      </c>
      <c r="N239" s="7">
        <v>2635</v>
      </c>
    </row>
    <row r="240" spans="1:14" x14ac:dyDescent="0.3">
      <c r="A240">
        <v>1088</v>
      </c>
      <c r="B240" s="1">
        <v>44960</v>
      </c>
      <c r="C240">
        <v>2023</v>
      </c>
      <c r="D240">
        <v>2</v>
      </c>
      <c r="E240" t="str">
        <f t="shared" si="3"/>
        <v>Februari</v>
      </c>
      <c r="F240">
        <v>1</v>
      </c>
      <c r="G240" t="s">
        <v>1529</v>
      </c>
      <c r="H240" t="s">
        <v>1530</v>
      </c>
      <c r="I240" t="s">
        <v>1521</v>
      </c>
      <c r="J240" t="s">
        <v>1524</v>
      </c>
      <c r="K240" t="s">
        <v>1525</v>
      </c>
      <c r="L240" s="2">
        <v>5</v>
      </c>
      <c r="M240" s="10">
        <v>527</v>
      </c>
      <c r="N240" s="7">
        <v>2635</v>
      </c>
    </row>
    <row r="241" spans="1:14" x14ac:dyDescent="0.3">
      <c r="A241">
        <v>1089</v>
      </c>
      <c r="B241" s="1">
        <v>44888</v>
      </c>
      <c r="C241">
        <v>2022</v>
      </c>
      <c r="D241">
        <v>11</v>
      </c>
      <c r="E241" t="str">
        <f t="shared" si="3"/>
        <v>November</v>
      </c>
      <c r="F241">
        <v>4</v>
      </c>
      <c r="G241" t="s">
        <v>1532</v>
      </c>
      <c r="H241" t="s">
        <v>1512</v>
      </c>
      <c r="I241" t="s">
        <v>1535</v>
      </c>
      <c r="J241" t="s">
        <v>1524</v>
      </c>
      <c r="K241" t="s">
        <v>1525</v>
      </c>
      <c r="L241" s="2">
        <v>2</v>
      </c>
      <c r="M241" s="10">
        <v>3327</v>
      </c>
      <c r="N241" s="7">
        <v>6654</v>
      </c>
    </row>
    <row r="242" spans="1:14" x14ac:dyDescent="0.3">
      <c r="A242">
        <v>1089</v>
      </c>
      <c r="B242" s="1">
        <v>45271</v>
      </c>
      <c r="C242">
        <v>2023</v>
      </c>
      <c r="D242">
        <v>12</v>
      </c>
      <c r="E242" t="str">
        <f t="shared" si="3"/>
        <v>Desember</v>
      </c>
      <c r="F242">
        <v>4</v>
      </c>
      <c r="G242" t="s">
        <v>1532</v>
      </c>
      <c r="H242" t="s">
        <v>1512</v>
      </c>
      <c r="I242" t="s">
        <v>1535</v>
      </c>
      <c r="J242" t="s">
        <v>1524</v>
      </c>
      <c r="K242" t="s">
        <v>1525</v>
      </c>
      <c r="L242" s="2">
        <v>2</v>
      </c>
      <c r="M242" s="10">
        <v>3327</v>
      </c>
      <c r="N242" s="7">
        <v>6654</v>
      </c>
    </row>
    <row r="243" spans="1:14" x14ac:dyDescent="0.3">
      <c r="A243">
        <v>1090</v>
      </c>
      <c r="B243" s="1">
        <v>44817</v>
      </c>
      <c r="C243">
        <v>2022</v>
      </c>
      <c r="D243">
        <v>9</v>
      </c>
      <c r="E243" t="str">
        <f t="shared" si="3"/>
        <v>September</v>
      </c>
      <c r="F243">
        <v>3</v>
      </c>
      <c r="G243" t="s">
        <v>1533</v>
      </c>
      <c r="H243" t="s">
        <v>1520</v>
      </c>
      <c r="I243" t="s">
        <v>1528</v>
      </c>
      <c r="J243" t="s">
        <v>1517</v>
      </c>
      <c r="K243" t="s">
        <v>1518</v>
      </c>
      <c r="L243" s="2">
        <v>1</v>
      </c>
      <c r="M243" s="10">
        <v>383</v>
      </c>
      <c r="N243" s="7">
        <v>383</v>
      </c>
    </row>
    <row r="244" spans="1:14" x14ac:dyDescent="0.3">
      <c r="A244">
        <v>1090</v>
      </c>
      <c r="B244" s="1">
        <v>45173</v>
      </c>
      <c r="C244">
        <v>2023</v>
      </c>
      <c r="D244">
        <v>9</v>
      </c>
      <c r="E244" t="str">
        <f t="shared" si="3"/>
        <v>September</v>
      </c>
      <c r="F244">
        <v>3</v>
      </c>
      <c r="G244" t="s">
        <v>1533</v>
      </c>
      <c r="H244" t="s">
        <v>1520</v>
      </c>
      <c r="I244" t="s">
        <v>1528</v>
      </c>
      <c r="J244" t="s">
        <v>1517</v>
      </c>
      <c r="K244" t="s">
        <v>1518</v>
      </c>
      <c r="L244" s="2">
        <v>1</v>
      </c>
      <c r="M244" s="10">
        <v>383</v>
      </c>
      <c r="N244" s="7">
        <v>383</v>
      </c>
    </row>
    <row r="245" spans="1:14" x14ac:dyDescent="0.3">
      <c r="A245">
        <v>1090</v>
      </c>
      <c r="B245" s="1">
        <v>45419</v>
      </c>
      <c r="C245">
        <v>2024</v>
      </c>
      <c r="D245">
        <v>5</v>
      </c>
      <c r="E245" t="str">
        <f t="shared" si="3"/>
        <v>Mei</v>
      </c>
      <c r="F245">
        <v>2</v>
      </c>
      <c r="G245" t="s">
        <v>1533</v>
      </c>
      <c r="H245" t="s">
        <v>1520</v>
      </c>
      <c r="I245" t="s">
        <v>1528</v>
      </c>
      <c r="J245" t="s">
        <v>1517</v>
      </c>
      <c r="K245" t="s">
        <v>1518</v>
      </c>
      <c r="L245" s="2">
        <v>1</v>
      </c>
      <c r="M245" s="10">
        <v>383</v>
      </c>
      <c r="N245" s="7">
        <v>383</v>
      </c>
    </row>
    <row r="246" spans="1:14" x14ac:dyDescent="0.3">
      <c r="A246">
        <v>1090</v>
      </c>
      <c r="B246" s="1">
        <v>44996</v>
      </c>
      <c r="C246">
        <v>2023</v>
      </c>
      <c r="D246">
        <v>3</v>
      </c>
      <c r="E246" t="str">
        <f t="shared" si="3"/>
        <v>Maret</v>
      </c>
      <c r="F246">
        <v>1</v>
      </c>
      <c r="G246" t="s">
        <v>1533</v>
      </c>
      <c r="H246" t="s">
        <v>1520</v>
      </c>
      <c r="I246" t="s">
        <v>1528</v>
      </c>
      <c r="J246" t="s">
        <v>1517</v>
      </c>
      <c r="K246" t="s">
        <v>1518</v>
      </c>
      <c r="L246" s="2">
        <v>1</v>
      </c>
      <c r="M246" s="10">
        <v>383</v>
      </c>
      <c r="N246" s="7">
        <v>383</v>
      </c>
    </row>
    <row r="247" spans="1:14" x14ac:dyDescent="0.3">
      <c r="A247">
        <v>1091</v>
      </c>
      <c r="B247" s="1">
        <v>45424</v>
      </c>
      <c r="C247">
        <v>2024</v>
      </c>
      <c r="D247">
        <v>5</v>
      </c>
      <c r="E247" t="str">
        <f t="shared" si="3"/>
        <v>Mei</v>
      </c>
      <c r="F247">
        <v>2</v>
      </c>
      <c r="G247" t="s">
        <v>1511</v>
      </c>
      <c r="H247" t="s">
        <v>1512</v>
      </c>
      <c r="I247" t="s">
        <v>1513</v>
      </c>
      <c r="J247" t="s">
        <v>1566</v>
      </c>
      <c r="K247" t="s">
        <v>1518</v>
      </c>
      <c r="L247" s="2">
        <v>1</v>
      </c>
      <c r="M247" s="10">
        <v>61156</v>
      </c>
      <c r="N247" s="7">
        <v>61156</v>
      </c>
    </row>
    <row r="248" spans="1:14" x14ac:dyDescent="0.3">
      <c r="A248">
        <v>1091</v>
      </c>
      <c r="B248" s="1">
        <v>44723</v>
      </c>
      <c r="C248">
        <v>2022</v>
      </c>
      <c r="D248">
        <v>6</v>
      </c>
      <c r="E248" t="str">
        <f t="shared" si="3"/>
        <v>Juni</v>
      </c>
      <c r="F248">
        <v>2</v>
      </c>
      <c r="G248" t="s">
        <v>1511</v>
      </c>
      <c r="H248" t="s">
        <v>1512</v>
      </c>
      <c r="I248" t="s">
        <v>1513</v>
      </c>
      <c r="J248" t="s">
        <v>1566</v>
      </c>
      <c r="K248" t="s">
        <v>1518</v>
      </c>
      <c r="L248" s="2">
        <v>1</v>
      </c>
      <c r="M248" s="10">
        <v>61156</v>
      </c>
      <c r="N248" s="7">
        <v>61156</v>
      </c>
    </row>
    <row r="249" spans="1:14" x14ac:dyDescent="0.3">
      <c r="A249">
        <v>1091</v>
      </c>
      <c r="B249" s="1">
        <v>45359</v>
      </c>
      <c r="C249">
        <v>2024</v>
      </c>
      <c r="D249">
        <v>3</v>
      </c>
      <c r="E249" t="str">
        <f t="shared" si="3"/>
        <v>Maret</v>
      </c>
      <c r="F249">
        <v>1</v>
      </c>
      <c r="G249" t="s">
        <v>1511</v>
      </c>
      <c r="H249" t="s">
        <v>1512</v>
      </c>
      <c r="I249" t="s">
        <v>1513</v>
      </c>
      <c r="J249" t="s">
        <v>1566</v>
      </c>
      <c r="K249" t="s">
        <v>1518</v>
      </c>
      <c r="L249" s="2">
        <v>1</v>
      </c>
      <c r="M249" s="10">
        <v>61156</v>
      </c>
      <c r="N249" s="7">
        <v>61156</v>
      </c>
    </row>
    <row r="250" spans="1:14" x14ac:dyDescent="0.3">
      <c r="A250">
        <v>1091</v>
      </c>
      <c r="B250" s="1">
        <v>44957</v>
      </c>
      <c r="C250">
        <v>2023</v>
      </c>
      <c r="D250">
        <v>1</v>
      </c>
      <c r="E250" t="str">
        <f t="shared" si="3"/>
        <v>Januari</v>
      </c>
      <c r="F250">
        <v>1</v>
      </c>
      <c r="G250" t="s">
        <v>1511</v>
      </c>
      <c r="H250" t="s">
        <v>1512</v>
      </c>
      <c r="I250" t="s">
        <v>1513</v>
      </c>
      <c r="J250" t="s">
        <v>1566</v>
      </c>
      <c r="K250" t="s">
        <v>1518</v>
      </c>
      <c r="L250" s="2">
        <v>1</v>
      </c>
      <c r="M250" s="10">
        <v>61156</v>
      </c>
      <c r="N250" s="7">
        <v>61156</v>
      </c>
    </row>
    <row r="251" spans="1:14" x14ac:dyDescent="0.3">
      <c r="A251">
        <v>1091</v>
      </c>
      <c r="B251" s="1">
        <v>44566</v>
      </c>
      <c r="C251">
        <v>2022</v>
      </c>
      <c r="D251">
        <v>1</v>
      </c>
      <c r="E251" t="str">
        <f t="shared" si="3"/>
        <v>Januari</v>
      </c>
      <c r="F251">
        <v>1</v>
      </c>
      <c r="G251" t="s">
        <v>1511</v>
      </c>
      <c r="H251" t="s">
        <v>1512</v>
      </c>
      <c r="I251" t="s">
        <v>1513</v>
      </c>
      <c r="J251" t="s">
        <v>1566</v>
      </c>
      <c r="K251" t="s">
        <v>1518</v>
      </c>
      <c r="L251" s="2">
        <v>1</v>
      </c>
      <c r="M251" s="10">
        <v>61156</v>
      </c>
      <c r="N251" s="7">
        <v>61156</v>
      </c>
    </row>
    <row r="252" spans="1:14" x14ac:dyDescent="0.3">
      <c r="A252">
        <v>1091</v>
      </c>
      <c r="B252" s="1">
        <v>45625</v>
      </c>
      <c r="C252">
        <v>2024</v>
      </c>
      <c r="D252">
        <v>11</v>
      </c>
      <c r="E252" t="str">
        <f t="shared" si="3"/>
        <v>November</v>
      </c>
      <c r="F252">
        <v>4</v>
      </c>
      <c r="G252" t="s">
        <v>1511</v>
      </c>
      <c r="H252" t="s">
        <v>1512</v>
      </c>
      <c r="I252" t="s">
        <v>1513</v>
      </c>
      <c r="J252" t="s">
        <v>1566</v>
      </c>
      <c r="K252" t="s">
        <v>1518</v>
      </c>
      <c r="L252" s="2">
        <v>1</v>
      </c>
      <c r="M252" s="10">
        <v>61156</v>
      </c>
      <c r="N252" s="7">
        <v>61156</v>
      </c>
    </row>
    <row r="253" spans="1:14" x14ac:dyDescent="0.3">
      <c r="A253">
        <v>1091</v>
      </c>
      <c r="B253" s="1">
        <v>45415</v>
      </c>
      <c r="C253">
        <v>2024</v>
      </c>
      <c r="D253">
        <v>5</v>
      </c>
      <c r="E253" t="str">
        <f t="shared" si="3"/>
        <v>Mei</v>
      </c>
      <c r="F253">
        <v>2</v>
      </c>
      <c r="G253" t="s">
        <v>1511</v>
      </c>
      <c r="H253" t="s">
        <v>1512</v>
      </c>
      <c r="I253" t="s">
        <v>1513</v>
      </c>
      <c r="J253" t="s">
        <v>1566</v>
      </c>
      <c r="K253" t="s">
        <v>1518</v>
      </c>
      <c r="L253" s="2">
        <v>1</v>
      </c>
      <c r="M253" s="10">
        <v>61156</v>
      </c>
      <c r="N253" s="7">
        <v>61156</v>
      </c>
    </row>
    <row r="254" spans="1:14" x14ac:dyDescent="0.3">
      <c r="A254">
        <v>1092</v>
      </c>
      <c r="B254" s="1">
        <v>44716</v>
      </c>
      <c r="C254">
        <v>2022</v>
      </c>
      <c r="D254">
        <v>6</v>
      </c>
      <c r="E254" t="str">
        <f t="shared" si="3"/>
        <v>Juni</v>
      </c>
      <c r="F254">
        <v>2</v>
      </c>
      <c r="G254" t="s">
        <v>1515</v>
      </c>
      <c r="H254" t="s">
        <v>1512</v>
      </c>
      <c r="I254" t="s">
        <v>1516</v>
      </c>
      <c r="J254" t="s">
        <v>1524</v>
      </c>
      <c r="K254" t="s">
        <v>1525</v>
      </c>
      <c r="L254" s="2">
        <v>1</v>
      </c>
      <c r="M254" s="10">
        <v>3607</v>
      </c>
      <c r="N254" s="7">
        <v>3607</v>
      </c>
    </row>
    <row r="255" spans="1:14" x14ac:dyDescent="0.3">
      <c r="A255">
        <v>1092</v>
      </c>
      <c r="B255" s="1">
        <v>45098</v>
      </c>
      <c r="C255">
        <v>2023</v>
      </c>
      <c r="D255">
        <v>6</v>
      </c>
      <c r="E255" t="str">
        <f t="shared" si="3"/>
        <v>Juni</v>
      </c>
      <c r="F255">
        <v>2</v>
      </c>
      <c r="G255" t="s">
        <v>1515</v>
      </c>
      <c r="H255" t="s">
        <v>1512</v>
      </c>
      <c r="I255" t="s">
        <v>1516</v>
      </c>
      <c r="J255" t="s">
        <v>1524</v>
      </c>
      <c r="K255" t="s">
        <v>1525</v>
      </c>
      <c r="L255" s="2">
        <v>1</v>
      </c>
      <c r="M255" s="10">
        <v>3607</v>
      </c>
      <c r="N255" s="7">
        <v>3607</v>
      </c>
    </row>
    <row r="256" spans="1:14" x14ac:dyDescent="0.3">
      <c r="A256">
        <v>1092</v>
      </c>
      <c r="B256" s="1">
        <v>44928</v>
      </c>
      <c r="C256">
        <v>2023</v>
      </c>
      <c r="D256">
        <v>1</v>
      </c>
      <c r="E256" t="str">
        <f t="shared" si="3"/>
        <v>Januari</v>
      </c>
      <c r="F256">
        <v>1</v>
      </c>
      <c r="G256" t="s">
        <v>1515</v>
      </c>
      <c r="H256" t="s">
        <v>1512</v>
      </c>
      <c r="I256" t="s">
        <v>1516</v>
      </c>
      <c r="J256" t="s">
        <v>1524</v>
      </c>
      <c r="K256" t="s">
        <v>1525</v>
      </c>
      <c r="L256" s="2">
        <v>1</v>
      </c>
      <c r="M256" s="10">
        <v>3607</v>
      </c>
      <c r="N256" s="7">
        <v>3607</v>
      </c>
    </row>
    <row r="257" spans="1:14" x14ac:dyDescent="0.3">
      <c r="A257">
        <v>1093</v>
      </c>
      <c r="B257" s="1">
        <v>44846</v>
      </c>
      <c r="C257">
        <v>2022</v>
      </c>
      <c r="D257">
        <v>10</v>
      </c>
      <c r="E257" t="str">
        <f t="shared" si="3"/>
        <v>Oktober</v>
      </c>
      <c r="F257">
        <v>4</v>
      </c>
      <c r="G257" t="s">
        <v>1534</v>
      </c>
      <c r="H257" t="s">
        <v>1530</v>
      </c>
      <c r="I257" t="s">
        <v>1521</v>
      </c>
      <c r="J257" t="s">
        <v>1566</v>
      </c>
      <c r="K257" t="s">
        <v>1525</v>
      </c>
      <c r="L257" s="2">
        <v>3</v>
      </c>
      <c r="M257" s="10">
        <v>3055</v>
      </c>
      <c r="N257" s="7">
        <v>9165</v>
      </c>
    </row>
    <row r="258" spans="1:14" x14ac:dyDescent="0.3">
      <c r="A258">
        <v>1093</v>
      </c>
      <c r="B258" s="1">
        <v>45104</v>
      </c>
      <c r="C258">
        <v>2023</v>
      </c>
      <c r="D258">
        <v>6</v>
      </c>
      <c r="E258" t="str">
        <f t="shared" si="3"/>
        <v>Juni</v>
      </c>
      <c r="F258">
        <v>2</v>
      </c>
      <c r="G258" t="s">
        <v>1534</v>
      </c>
      <c r="H258" t="s">
        <v>1530</v>
      </c>
      <c r="I258" t="s">
        <v>1521</v>
      </c>
      <c r="J258" t="s">
        <v>1566</v>
      </c>
      <c r="K258" t="s">
        <v>1525</v>
      </c>
      <c r="L258" s="2">
        <v>3</v>
      </c>
      <c r="M258" s="10">
        <v>3055</v>
      </c>
      <c r="N258" s="7">
        <v>9165</v>
      </c>
    </row>
    <row r="259" spans="1:14" x14ac:dyDescent="0.3">
      <c r="A259">
        <v>1094</v>
      </c>
      <c r="B259" s="1">
        <v>45004</v>
      </c>
      <c r="C259">
        <v>2023</v>
      </c>
      <c r="D259">
        <v>3</v>
      </c>
      <c r="E259" t="str">
        <f t="shared" ref="E259:E322" si="4">TEXT(DATE(2026, D259, 1), "[$-id-ID]mmmm")</f>
        <v>Maret</v>
      </c>
      <c r="F259">
        <v>1</v>
      </c>
      <c r="G259" t="s">
        <v>1519</v>
      </c>
      <c r="H259" t="s">
        <v>1520</v>
      </c>
      <c r="I259" t="s">
        <v>1521</v>
      </c>
      <c r="J259" t="s">
        <v>1517</v>
      </c>
      <c r="K259" t="s">
        <v>1525</v>
      </c>
      <c r="L259" s="2">
        <v>4</v>
      </c>
      <c r="M259" s="10">
        <v>18106</v>
      </c>
      <c r="N259" s="7">
        <v>72424</v>
      </c>
    </row>
    <row r="260" spans="1:14" x14ac:dyDescent="0.3">
      <c r="A260">
        <v>1094</v>
      </c>
      <c r="B260" s="1">
        <v>45276</v>
      </c>
      <c r="C260">
        <v>2023</v>
      </c>
      <c r="D260">
        <v>12</v>
      </c>
      <c r="E260" t="str">
        <f t="shared" si="4"/>
        <v>Desember</v>
      </c>
      <c r="F260">
        <v>4</v>
      </c>
      <c r="G260" t="s">
        <v>1519</v>
      </c>
      <c r="H260" t="s">
        <v>1520</v>
      </c>
      <c r="I260" t="s">
        <v>1521</v>
      </c>
      <c r="J260" t="s">
        <v>1517</v>
      </c>
      <c r="K260" t="s">
        <v>1525</v>
      </c>
      <c r="L260" s="2">
        <v>4</v>
      </c>
      <c r="M260" s="10">
        <v>18106</v>
      </c>
      <c r="N260" s="7">
        <v>72424</v>
      </c>
    </row>
    <row r="261" spans="1:14" x14ac:dyDescent="0.3">
      <c r="A261">
        <v>1094</v>
      </c>
      <c r="B261" s="1">
        <v>45483</v>
      </c>
      <c r="C261">
        <v>2024</v>
      </c>
      <c r="D261">
        <v>7</v>
      </c>
      <c r="E261" t="str">
        <f t="shared" si="4"/>
        <v>Juli</v>
      </c>
      <c r="F261">
        <v>3</v>
      </c>
      <c r="G261" t="s">
        <v>1519</v>
      </c>
      <c r="H261" t="s">
        <v>1520</v>
      </c>
      <c r="I261" t="s">
        <v>1521</v>
      </c>
      <c r="J261" t="s">
        <v>1517</v>
      </c>
      <c r="K261" t="s">
        <v>1525</v>
      </c>
      <c r="L261" s="2">
        <v>4</v>
      </c>
      <c r="M261" s="10">
        <v>18106</v>
      </c>
      <c r="N261" s="7">
        <v>72424</v>
      </c>
    </row>
    <row r="262" spans="1:14" x14ac:dyDescent="0.3">
      <c r="A262">
        <v>1095</v>
      </c>
      <c r="B262" s="1">
        <v>44723</v>
      </c>
      <c r="C262">
        <v>2022</v>
      </c>
      <c r="D262">
        <v>6</v>
      </c>
      <c r="E262" t="str">
        <f t="shared" si="4"/>
        <v>Juni</v>
      </c>
      <c r="F262">
        <v>2</v>
      </c>
      <c r="G262" t="s">
        <v>1522</v>
      </c>
      <c r="H262" t="s">
        <v>1520</v>
      </c>
      <c r="I262" t="s">
        <v>1516</v>
      </c>
      <c r="J262" t="s">
        <v>1566</v>
      </c>
      <c r="K262" t="s">
        <v>1518</v>
      </c>
      <c r="L262" s="2">
        <v>5</v>
      </c>
      <c r="M262" s="10">
        <v>103</v>
      </c>
      <c r="N262" s="7">
        <v>515</v>
      </c>
    </row>
    <row r="263" spans="1:14" x14ac:dyDescent="0.3">
      <c r="A263">
        <v>1096</v>
      </c>
      <c r="B263" s="1">
        <v>44853</v>
      </c>
      <c r="C263">
        <v>2022</v>
      </c>
      <c r="D263">
        <v>10</v>
      </c>
      <c r="E263" t="str">
        <f t="shared" si="4"/>
        <v>Oktober</v>
      </c>
      <c r="F263">
        <v>4</v>
      </c>
      <c r="G263" t="s">
        <v>1523</v>
      </c>
      <c r="H263" t="s">
        <v>1512</v>
      </c>
      <c r="I263" t="s">
        <v>1521</v>
      </c>
      <c r="J263" t="s">
        <v>1524</v>
      </c>
      <c r="K263" t="s">
        <v>1514</v>
      </c>
      <c r="L263" s="2">
        <v>1</v>
      </c>
      <c r="M263" s="10">
        <v>13217</v>
      </c>
      <c r="N263" s="7">
        <v>13217</v>
      </c>
    </row>
    <row r="264" spans="1:14" x14ac:dyDescent="0.3">
      <c r="A264">
        <v>1096</v>
      </c>
      <c r="B264" s="1">
        <v>44954</v>
      </c>
      <c r="C264">
        <v>2023</v>
      </c>
      <c r="D264">
        <v>1</v>
      </c>
      <c r="E264" t="str">
        <f t="shared" si="4"/>
        <v>Januari</v>
      </c>
      <c r="F264">
        <v>1</v>
      </c>
      <c r="G264" t="s">
        <v>1523</v>
      </c>
      <c r="H264" t="s">
        <v>1512</v>
      </c>
      <c r="I264" t="s">
        <v>1521</v>
      </c>
      <c r="J264" t="s">
        <v>1524</v>
      </c>
      <c r="K264" t="s">
        <v>1514</v>
      </c>
      <c r="L264" s="2">
        <v>1</v>
      </c>
      <c r="M264" s="10">
        <v>13217</v>
      </c>
      <c r="N264" s="7">
        <v>13217</v>
      </c>
    </row>
    <row r="265" spans="1:14" x14ac:dyDescent="0.3">
      <c r="A265">
        <v>1096</v>
      </c>
      <c r="B265" s="1">
        <v>44974</v>
      </c>
      <c r="C265">
        <v>2023</v>
      </c>
      <c r="D265">
        <v>2</v>
      </c>
      <c r="E265" t="str">
        <f t="shared" si="4"/>
        <v>Februari</v>
      </c>
      <c r="F265">
        <v>1</v>
      </c>
      <c r="G265" t="s">
        <v>1523</v>
      </c>
      <c r="H265" t="s">
        <v>1512</v>
      </c>
      <c r="I265" t="s">
        <v>1521</v>
      </c>
      <c r="J265" t="s">
        <v>1524</v>
      </c>
      <c r="K265" t="s">
        <v>1514</v>
      </c>
      <c r="L265" s="2">
        <v>1</v>
      </c>
      <c r="M265" s="10">
        <v>13217</v>
      </c>
      <c r="N265" s="7">
        <v>13217</v>
      </c>
    </row>
    <row r="266" spans="1:14" x14ac:dyDescent="0.3">
      <c r="A266">
        <v>1097</v>
      </c>
      <c r="B266" s="1">
        <v>45086</v>
      </c>
      <c r="C266">
        <v>2023</v>
      </c>
      <c r="D266">
        <v>6</v>
      </c>
      <c r="E266" t="str">
        <f t="shared" si="4"/>
        <v>Juni</v>
      </c>
      <c r="F266">
        <v>2</v>
      </c>
      <c r="G266" t="s">
        <v>1526</v>
      </c>
      <c r="H266" t="s">
        <v>1527</v>
      </c>
      <c r="I266" t="s">
        <v>1528</v>
      </c>
      <c r="J266" t="s">
        <v>1566</v>
      </c>
      <c r="K266" t="s">
        <v>1525</v>
      </c>
      <c r="L266" s="2">
        <v>2</v>
      </c>
      <c r="M266" s="10">
        <v>511</v>
      </c>
      <c r="N266" s="7">
        <v>1022</v>
      </c>
    </row>
    <row r="267" spans="1:14" x14ac:dyDescent="0.3">
      <c r="A267">
        <v>1097</v>
      </c>
      <c r="B267" s="1">
        <v>44861</v>
      </c>
      <c r="C267">
        <v>2022</v>
      </c>
      <c r="D267">
        <v>10</v>
      </c>
      <c r="E267" t="str">
        <f t="shared" si="4"/>
        <v>Oktober</v>
      </c>
      <c r="F267">
        <v>4</v>
      </c>
      <c r="G267" t="s">
        <v>1526</v>
      </c>
      <c r="H267" t="s">
        <v>1527</v>
      </c>
      <c r="I267" t="s">
        <v>1528</v>
      </c>
      <c r="J267" t="s">
        <v>1566</v>
      </c>
      <c r="K267" t="s">
        <v>1525</v>
      </c>
      <c r="L267" s="2">
        <v>2</v>
      </c>
      <c r="M267" s="10">
        <v>511</v>
      </c>
      <c r="N267" s="7">
        <v>1022</v>
      </c>
    </row>
    <row r="268" spans="1:14" x14ac:dyDescent="0.3">
      <c r="A268">
        <v>1097</v>
      </c>
      <c r="B268" s="1">
        <v>45091</v>
      </c>
      <c r="C268">
        <v>2023</v>
      </c>
      <c r="D268">
        <v>6</v>
      </c>
      <c r="E268" t="str">
        <f t="shared" si="4"/>
        <v>Juni</v>
      </c>
      <c r="F268">
        <v>2</v>
      </c>
      <c r="G268" t="s">
        <v>1526</v>
      </c>
      <c r="H268" t="s">
        <v>1527</v>
      </c>
      <c r="I268" t="s">
        <v>1528</v>
      </c>
      <c r="J268" t="s">
        <v>1566</v>
      </c>
      <c r="K268" t="s">
        <v>1525</v>
      </c>
      <c r="L268" s="2">
        <v>2</v>
      </c>
      <c r="M268" s="10">
        <v>511</v>
      </c>
      <c r="N268" s="7">
        <v>1022</v>
      </c>
    </row>
    <row r="269" spans="1:14" x14ac:dyDescent="0.3">
      <c r="A269">
        <v>1098</v>
      </c>
      <c r="B269" s="1">
        <v>45191</v>
      </c>
      <c r="C269">
        <v>2023</v>
      </c>
      <c r="D269">
        <v>9</v>
      </c>
      <c r="E269" t="str">
        <f t="shared" si="4"/>
        <v>September</v>
      </c>
      <c r="F269">
        <v>3</v>
      </c>
      <c r="G269" t="s">
        <v>1529</v>
      </c>
      <c r="H269" t="s">
        <v>1530</v>
      </c>
      <c r="I269" t="s">
        <v>1535</v>
      </c>
      <c r="J269" t="s">
        <v>1566</v>
      </c>
      <c r="K269" t="s">
        <v>1518</v>
      </c>
      <c r="L269" s="2">
        <v>2</v>
      </c>
      <c r="M269" s="10">
        <v>513</v>
      </c>
      <c r="N269" s="7">
        <v>1026</v>
      </c>
    </row>
    <row r="270" spans="1:14" x14ac:dyDescent="0.3">
      <c r="A270">
        <v>1098</v>
      </c>
      <c r="B270" s="1">
        <v>45055</v>
      </c>
      <c r="C270">
        <v>2023</v>
      </c>
      <c r="D270">
        <v>5</v>
      </c>
      <c r="E270" t="str">
        <f t="shared" si="4"/>
        <v>Mei</v>
      </c>
      <c r="F270">
        <v>2</v>
      </c>
      <c r="G270" t="s">
        <v>1529</v>
      </c>
      <c r="H270" t="s">
        <v>1530</v>
      </c>
      <c r="I270" t="s">
        <v>1535</v>
      </c>
      <c r="J270" t="s">
        <v>1566</v>
      </c>
      <c r="K270" t="s">
        <v>1518</v>
      </c>
      <c r="L270" s="2">
        <v>2</v>
      </c>
      <c r="M270" s="10">
        <v>513</v>
      </c>
      <c r="N270" s="7">
        <v>1026</v>
      </c>
    </row>
    <row r="271" spans="1:14" x14ac:dyDescent="0.3">
      <c r="A271">
        <v>1099</v>
      </c>
      <c r="B271" s="1">
        <v>44728</v>
      </c>
      <c r="C271">
        <v>2022</v>
      </c>
      <c r="D271">
        <v>6</v>
      </c>
      <c r="E271" t="str">
        <f t="shared" si="4"/>
        <v>Juni</v>
      </c>
      <c r="F271">
        <v>2</v>
      </c>
      <c r="G271" t="s">
        <v>1532</v>
      </c>
      <c r="H271" t="s">
        <v>1512</v>
      </c>
      <c r="I271" t="s">
        <v>1513</v>
      </c>
      <c r="J271" t="s">
        <v>1566</v>
      </c>
      <c r="K271" t="s">
        <v>1518</v>
      </c>
      <c r="L271" s="2">
        <v>2</v>
      </c>
      <c r="M271" s="10">
        <v>6283</v>
      </c>
      <c r="N271" s="7">
        <v>12566</v>
      </c>
    </row>
    <row r="272" spans="1:14" x14ac:dyDescent="0.3">
      <c r="A272">
        <v>1099</v>
      </c>
      <c r="B272" s="1">
        <v>45613</v>
      </c>
      <c r="C272">
        <v>2024</v>
      </c>
      <c r="D272">
        <v>11</v>
      </c>
      <c r="E272" t="str">
        <f t="shared" si="4"/>
        <v>November</v>
      </c>
      <c r="F272">
        <v>4</v>
      </c>
      <c r="G272" t="s">
        <v>1532</v>
      </c>
      <c r="H272" t="s">
        <v>1512</v>
      </c>
      <c r="I272" t="s">
        <v>1513</v>
      </c>
      <c r="J272" t="s">
        <v>1566</v>
      </c>
      <c r="K272" t="s">
        <v>1518</v>
      </c>
      <c r="L272" s="2">
        <v>2</v>
      </c>
      <c r="M272" s="10">
        <v>6283</v>
      </c>
      <c r="N272" s="7">
        <v>12566</v>
      </c>
    </row>
    <row r="273" spans="1:14" x14ac:dyDescent="0.3">
      <c r="A273">
        <v>1099</v>
      </c>
      <c r="B273" s="1">
        <v>45058</v>
      </c>
      <c r="C273">
        <v>2023</v>
      </c>
      <c r="D273">
        <v>5</v>
      </c>
      <c r="E273" t="str">
        <f t="shared" si="4"/>
        <v>Mei</v>
      </c>
      <c r="F273">
        <v>2</v>
      </c>
      <c r="G273" t="s">
        <v>1532</v>
      </c>
      <c r="H273" t="s">
        <v>1512</v>
      </c>
      <c r="I273" t="s">
        <v>1513</v>
      </c>
      <c r="J273" t="s">
        <v>1566</v>
      </c>
      <c r="K273" t="s">
        <v>1518</v>
      </c>
      <c r="L273" s="2">
        <v>2</v>
      </c>
      <c r="M273" s="10">
        <v>6283</v>
      </c>
      <c r="N273" s="7">
        <v>12566</v>
      </c>
    </row>
    <row r="274" spans="1:14" x14ac:dyDescent="0.3">
      <c r="A274">
        <v>1100</v>
      </c>
      <c r="B274" s="1">
        <v>45652</v>
      </c>
      <c r="C274">
        <v>2024</v>
      </c>
      <c r="D274">
        <v>12</v>
      </c>
      <c r="E274" t="str">
        <f t="shared" si="4"/>
        <v>Desember</v>
      </c>
      <c r="F274">
        <v>4</v>
      </c>
      <c r="G274" t="s">
        <v>1533</v>
      </c>
      <c r="H274" t="s">
        <v>1520</v>
      </c>
      <c r="I274" t="s">
        <v>1516</v>
      </c>
      <c r="J274" t="s">
        <v>1566</v>
      </c>
      <c r="K274" t="s">
        <v>1525</v>
      </c>
      <c r="L274" s="2">
        <v>4</v>
      </c>
      <c r="M274" s="10">
        <v>552</v>
      </c>
      <c r="N274" s="7">
        <v>2208</v>
      </c>
    </row>
    <row r="275" spans="1:14" x14ac:dyDescent="0.3">
      <c r="A275">
        <v>1100</v>
      </c>
      <c r="B275" s="1">
        <v>44717</v>
      </c>
      <c r="C275">
        <v>2022</v>
      </c>
      <c r="D275">
        <v>6</v>
      </c>
      <c r="E275" t="str">
        <f t="shared" si="4"/>
        <v>Juni</v>
      </c>
      <c r="F275">
        <v>2</v>
      </c>
      <c r="G275" t="s">
        <v>1533</v>
      </c>
      <c r="H275" t="s">
        <v>1520</v>
      </c>
      <c r="I275" t="s">
        <v>1516</v>
      </c>
      <c r="J275" t="s">
        <v>1566</v>
      </c>
      <c r="K275" t="s">
        <v>1525</v>
      </c>
      <c r="L275" s="2">
        <v>4</v>
      </c>
      <c r="M275" s="10">
        <v>552</v>
      </c>
      <c r="N275" s="7">
        <v>2208</v>
      </c>
    </row>
    <row r="276" spans="1:14" x14ac:dyDescent="0.3">
      <c r="A276">
        <v>1100</v>
      </c>
      <c r="B276" s="1">
        <v>44847</v>
      </c>
      <c r="C276">
        <v>2022</v>
      </c>
      <c r="D276">
        <v>10</v>
      </c>
      <c r="E276" t="str">
        <f t="shared" si="4"/>
        <v>Oktober</v>
      </c>
      <c r="F276">
        <v>4</v>
      </c>
      <c r="G276" t="s">
        <v>1533</v>
      </c>
      <c r="H276" t="s">
        <v>1520</v>
      </c>
      <c r="I276" t="s">
        <v>1516</v>
      </c>
      <c r="J276" t="s">
        <v>1566</v>
      </c>
      <c r="K276" t="s">
        <v>1525</v>
      </c>
      <c r="L276" s="2">
        <v>4</v>
      </c>
      <c r="M276" s="10">
        <v>552</v>
      </c>
      <c r="N276" s="7">
        <v>2208</v>
      </c>
    </row>
    <row r="277" spans="1:14" x14ac:dyDescent="0.3">
      <c r="A277">
        <v>1100</v>
      </c>
      <c r="B277" s="1">
        <v>44687</v>
      </c>
      <c r="C277">
        <v>2022</v>
      </c>
      <c r="D277">
        <v>5</v>
      </c>
      <c r="E277" t="str">
        <f t="shared" si="4"/>
        <v>Mei</v>
      </c>
      <c r="F277">
        <v>2</v>
      </c>
      <c r="G277" t="s">
        <v>1533</v>
      </c>
      <c r="H277" t="s">
        <v>1520</v>
      </c>
      <c r="I277" t="s">
        <v>1516</v>
      </c>
      <c r="J277" t="s">
        <v>1566</v>
      </c>
      <c r="K277" t="s">
        <v>1525</v>
      </c>
      <c r="L277" s="2">
        <v>4</v>
      </c>
      <c r="M277" s="10">
        <v>552</v>
      </c>
      <c r="N277" s="7">
        <v>2208</v>
      </c>
    </row>
    <row r="278" spans="1:14" x14ac:dyDescent="0.3">
      <c r="A278">
        <v>1100</v>
      </c>
      <c r="B278" s="1">
        <v>45535</v>
      </c>
      <c r="C278">
        <v>2024</v>
      </c>
      <c r="D278">
        <v>8</v>
      </c>
      <c r="E278" t="str">
        <f t="shared" si="4"/>
        <v>Agustus</v>
      </c>
      <c r="F278">
        <v>3</v>
      </c>
      <c r="G278" t="s">
        <v>1533</v>
      </c>
      <c r="H278" t="s">
        <v>1520</v>
      </c>
      <c r="I278" t="s">
        <v>1516</v>
      </c>
      <c r="J278" t="s">
        <v>1566</v>
      </c>
      <c r="K278" t="s">
        <v>1525</v>
      </c>
      <c r="L278" s="2">
        <v>4</v>
      </c>
      <c r="M278" s="10">
        <v>552</v>
      </c>
      <c r="N278" s="7">
        <v>2208</v>
      </c>
    </row>
    <row r="279" spans="1:14" x14ac:dyDescent="0.3">
      <c r="A279">
        <v>1101</v>
      </c>
      <c r="B279" s="1">
        <v>45123</v>
      </c>
      <c r="C279">
        <v>2023</v>
      </c>
      <c r="D279">
        <v>7</v>
      </c>
      <c r="E279" t="str">
        <f t="shared" si="4"/>
        <v>Juli</v>
      </c>
      <c r="F279">
        <v>3</v>
      </c>
      <c r="G279" t="s">
        <v>1511</v>
      </c>
      <c r="H279" t="s">
        <v>1512</v>
      </c>
      <c r="I279" t="s">
        <v>1513</v>
      </c>
      <c r="J279" t="s">
        <v>1524</v>
      </c>
      <c r="K279" t="s">
        <v>1514</v>
      </c>
      <c r="L279" s="2">
        <v>1</v>
      </c>
      <c r="M279" s="10">
        <v>56441</v>
      </c>
      <c r="N279" s="7">
        <v>56441</v>
      </c>
    </row>
    <row r="280" spans="1:14" x14ac:dyDescent="0.3">
      <c r="A280">
        <v>1101</v>
      </c>
      <c r="B280" s="1">
        <v>45140</v>
      </c>
      <c r="C280">
        <v>2023</v>
      </c>
      <c r="D280">
        <v>8</v>
      </c>
      <c r="E280" t="str">
        <f t="shared" si="4"/>
        <v>Agustus</v>
      </c>
      <c r="F280">
        <v>3</v>
      </c>
      <c r="G280" t="s">
        <v>1511</v>
      </c>
      <c r="H280" t="s">
        <v>1512</v>
      </c>
      <c r="I280" t="s">
        <v>1513</v>
      </c>
      <c r="J280" t="s">
        <v>1524</v>
      </c>
      <c r="K280" t="s">
        <v>1514</v>
      </c>
      <c r="L280" s="2">
        <v>1</v>
      </c>
      <c r="M280" s="10">
        <v>56441</v>
      </c>
      <c r="N280" s="7">
        <v>56441</v>
      </c>
    </row>
    <row r="281" spans="1:14" x14ac:dyDescent="0.3">
      <c r="A281">
        <v>1102</v>
      </c>
      <c r="B281" s="1">
        <v>44615</v>
      </c>
      <c r="C281">
        <v>2022</v>
      </c>
      <c r="D281">
        <v>2</v>
      </c>
      <c r="E281" t="str">
        <f t="shared" si="4"/>
        <v>Februari</v>
      </c>
      <c r="F281">
        <v>1</v>
      </c>
      <c r="G281" t="s">
        <v>1515</v>
      </c>
      <c r="H281" t="s">
        <v>1512</v>
      </c>
      <c r="I281" t="s">
        <v>1528</v>
      </c>
      <c r="J281" t="s">
        <v>1566</v>
      </c>
      <c r="K281" t="s">
        <v>1518</v>
      </c>
      <c r="L281" s="2">
        <v>2</v>
      </c>
      <c r="M281" s="10">
        <v>4833</v>
      </c>
      <c r="N281" s="7">
        <v>9666</v>
      </c>
    </row>
    <row r="282" spans="1:14" x14ac:dyDescent="0.3">
      <c r="A282">
        <v>1102</v>
      </c>
      <c r="B282" s="1">
        <v>44574</v>
      </c>
      <c r="C282">
        <v>2022</v>
      </c>
      <c r="D282">
        <v>1</v>
      </c>
      <c r="E282" t="str">
        <f t="shared" si="4"/>
        <v>Januari</v>
      </c>
      <c r="F282">
        <v>1</v>
      </c>
      <c r="G282" t="s">
        <v>1515</v>
      </c>
      <c r="H282" t="s">
        <v>1512</v>
      </c>
      <c r="I282" t="s">
        <v>1528</v>
      </c>
      <c r="J282" t="s">
        <v>1566</v>
      </c>
      <c r="K282" t="s">
        <v>1518</v>
      </c>
      <c r="L282" s="2">
        <v>2</v>
      </c>
      <c r="M282" s="10">
        <v>4833</v>
      </c>
      <c r="N282" s="7">
        <v>9666</v>
      </c>
    </row>
    <row r="283" spans="1:14" x14ac:dyDescent="0.3">
      <c r="A283">
        <v>1102</v>
      </c>
      <c r="B283" s="1">
        <v>44616</v>
      </c>
      <c r="C283">
        <v>2022</v>
      </c>
      <c r="D283">
        <v>2</v>
      </c>
      <c r="E283" t="str">
        <f t="shared" si="4"/>
        <v>Februari</v>
      </c>
      <c r="F283">
        <v>1</v>
      </c>
      <c r="G283" t="s">
        <v>1515</v>
      </c>
      <c r="H283" t="s">
        <v>1512</v>
      </c>
      <c r="I283" t="s">
        <v>1528</v>
      </c>
      <c r="J283" t="s">
        <v>1566</v>
      </c>
      <c r="K283" t="s">
        <v>1518</v>
      </c>
      <c r="L283" s="2">
        <v>2</v>
      </c>
      <c r="M283" s="10">
        <v>4833</v>
      </c>
      <c r="N283" s="7">
        <v>9666</v>
      </c>
    </row>
    <row r="284" spans="1:14" x14ac:dyDescent="0.3">
      <c r="A284">
        <v>1103</v>
      </c>
      <c r="B284" s="1">
        <v>44934</v>
      </c>
      <c r="C284">
        <v>2023</v>
      </c>
      <c r="D284">
        <v>1</v>
      </c>
      <c r="E284" t="str">
        <f t="shared" si="4"/>
        <v>Januari</v>
      </c>
      <c r="F284">
        <v>1</v>
      </c>
      <c r="G284" t="s">
        <v>1534</v>
      </c>
      <c r="H284" t="s">
        <v>1530</v>
      </c>
      <c r="I284" t="s">
        <v>1528</v>
      </c>
      <c r="J284" t="s">
        <v>1566</v>
      </c>
      <c r="K284" t="s">
        <v>1514</v>
      </c>
      <c r="L284" s="2">
        <v>1</v>
      </c>
      <c r="M284" s="10">
        <v>1314</v>
      </c>
      <c r="N284" s="7">
        <v>1314</v>
      </c>
    </row>
    <row r="285" spans="1:14" x14ac:dyDescent="0.3">
      <c r="A285">
        <v>1103</v>
      </c>
      <c r="B285" s="1">
        <v>44647</v>
      </c>
      <c r="C285">
        <v>2022</v>
      </c>
      <c r="D285">
        <v>3</v>
      </c>
      <c r="E285" t="str">
        <f t="shared" si="4"/>
        <v>Maret</v>
      </c>
      <c r="F285">
        <v>1</v>
      </c>
      <c r="G285" t="s">
        <v>1534</v>
      </c>
      <c r="H285" t="s">
        <v>1530</v>
      </c>
      <c r="I285" t="s">
        <v>1528</v>
      </c>
      <c r="J285" t="s">
        <v>1566</v>
      </c>
      <c r="K285" t="s">
        <v>1514</v>
      </c>
      <c r="L285" s="2">
        <v>1</v>
      </c>
      <c r="M285" s="10">
        <v>1314</v>
      </c>
      <c r="N285" s="7">
        <v>1314</v>
      </c>
    </row>
    <row r="286" spans="1:14" x14ac:dyDescent="0.3">
      <c r="A286">
        <v>1103</v>
      </c>
      <c r="B286" s="1">
        <v>45224</v>
      </c>
      <c r="C286">
        <v>2023</v>
      </c>
      <c r="D286">
        <v>10</v>
      </c>
      <c r="E286" t="str">
        <f t="shared" si="4"/>
        <v>Oktober</v>
      </c>
      <c r="F286">
        <v>4</v>
      </c>
      <c r="G286" t="s">
        <v>1534</v>
      </c>
      <c r="H286" t="s">
        <v>1530</v>
      </c>
      <c r="I286" t="s">
        <v>1528</v>
      </c>
      <c r="J286" t="s">
        <v>1566</v>
      </c>
      <c r="K286" t="s">
        <v>1514</v>
      </c>
      <c r="L286" s="2">
        <v>1</v>
      </c>
      <c r="M286" s="10">
        <v>1314</v>
      </c>
      <c r="N286" s="7">
        <v>1314</v>
      </c>
    </row>
    <row r="287" spans="1:14" x14ac:dyDescent="0.3">
      <c r="A287">
        <v>1103</v>
      </c>
      <c r="B287" s="1">
        <v>45145</v>
      </c>
      <c r="C287">
        <v>2023</v>
      </c>
      <c r="D287">
        <v>8</v>
      </c>
      <c r="E287" t="str">
        <f t="shared" si="4"/>
        <v>Agustus</v>
      </c>
      <c r="F287">
        <v>3</v>
      </c>
      <c r="G287" t="s">
        <v>1534</v>
      </c>
      <c r="H287" t="s">
        <v>1530</v>
      </c>
      <c r="I287" t="s">
        <v>1528</v>
      </c>
      <c r="J287" t="s">
        <v>1566</v>
      </c>
      <c r="K287" t="s">
        <v>1514</v>
      </c>
      <c r="L287" s="2">
        <v>1</v>
      </c>
      <c r="M287" s="10">
        <v>1314</v>
      </c>
      <c r="N287" s="7">
        <v>1314</v>
      </c>
    </row>
    <row r="288" spans="1:14" x14ac:dyDescent="0.3">
      <c r="A288">
        <v>1103</v>
      </c>
      <c r="B288" s="1">
        <v>45655</v>
      </c>
      <c r="C288">
        <v>2024</v>
      </c>
      <c r="D288">
        <v>12</v>
      </c>
      <c r="E288" t="str">
        <f t="shared" si="4"/>
        <v>Desember</v>
      </c>
      <c r="F288">
        <v>4</v>
      </c>
      <c r="G288" t="s">
        <v>1534</v>
      </c>
      <c r="H288" t="s">
        <v>1530</v>
      </c>
      <c r="I288" t="s">
        <v>1528</v>
      </c>
      <c r="J288" t="s">
        <v>1566</v>
      </c>
      <c r="K288" t="s">
        <v>1514</v>
      </c>
      <c r="L288" s="2">
        <v>1</v>
      </c>
      <c r="M288" s="10">
        <v>1314</v>
      </c>
      <c r="N288" s="7">
        <v>1314</v>
      </c>
    </row>
    <row r="289" spans="1:14" x14ac:dyDescent="0.3">
      <c r="A289">
        <v>1103</v>
      </c>
      <c r="B289" s="1">
        <v>44754</v>
      </c>
      <c r="C289">
        <v>2022</v>
      </c>
      <c r="D289">
        <v>7</v>
      </c>
      <c r="E289" t="str">
        <f t="shared" si="4"/>
        <v>Juli</v>
      </c>
      <c r="F289">
        <v>3</v>
      </c>
      <c r="G289" t="s">
        <v>1534</v>
      </c>
      <c r="H289" t="s">
        <v>1530</v>
      </c>
      <c r="I289" t="s">
        <v>1528</v>
      </c>
      <c r="J289" t="s">
        <v>1566</v>
      </c>
      <c r="K289" t="s">
        <v>1514</v>
      </c>
      <c r="L289" s="2">
        <v>1</v>
      </c>
      <c r="M289" s="10">
        <v>1314</v>
      </c>
      <c r="N289" s="7">
        <v>1314</v>
      </c>
    </row>
    <row r="290" spans="1:14" x14ac:dyDescent="0.3">
      <c r="A290">
        <v>1103</v>
      </c>
      <c r="B290" s="1">
        <v>44661</v>
      </c>
      <c r="C290">
        <v>2022</v>
      </c>
      <c r="D290">
        <v>4</v>
      </c>
      <c r="E290" t="str">
        <f t="shared" si="4"/>
        <v>April</v>
      </c>
      <c r="F290">
        <v>2</v>
      </c>
      <c r="G290" t="s">
        <v>1534</v>
      </c>
      <c r="H290" t="s">
        <v>1530</v>
      </c>
      <c r="I290" t="s">
        <v>1528</v>
      </c>
      <c r="J290" t="s">
        <v>1566</v>
      </c>
      <c r="K290" t="s">
        <v>1514</v>
      </c>
      <c r="L290" s="2">
        <v>1</v>
      </c>
      <c r="M290" s="10">
        <v>1314</v>
      </c>
      <c r="N290" s="7">
        <v>1314</v>
      </c>
    </row>
    <row r="291" spans="1:14" x14ac:dyDescent="0.3">
      <c r="A291">
        <v>1104</v>
      </c>
      <c r="B291" s="1">
        <v>45008</v>
      </c>
      <c r="C291">
        <v>2023</v>
      </c>
      <c r="D291">
        <v>3</v>
      </c>
      <c r="E291" t="str">
        <f t="shared" si="4"/>
        <v>Maret</v>
      </c>
      <c r="F291">
        <v>1</v>
      </c>
      <c r="G291" t="s">
        <v>1519</v>
      </c>
      <c r="H291" t="s">
        <v>1520</v>
      </c>
      <c r="I291" t="s">
        <v>1513</v>
      </c>
      <c r="J291" t="s">
        <v>1517</v>
      </c>
      <c r="K291" t="s">
        <v>1525</v>
      </c>
      <c r="L291" s="2">
        <v>1</v>
      </c>
      <c r="M291" s="10">
        <v>5201</v>
      </c>
      <c r="N291" s="7">
        <v>5201</v>
      </c>
    </row>
    <row r="292" spans="1:14" x14ac:dyDescent="0.3">
      <c r="A292">
        <v>1105</v>
      </c>
      <c r="B292" s="1">
        <v>44678</v>
      </c>
      <c r="C292">
        <v>2022</v>
      </c>
      <c r="D292">
        <v>4</v>
      </c>
      <c r="E292" t="str">
        <f t="shared" si="4"/>
        <v>April</v>
      </c>
      <c r="F292">
        <v>2</v>
      </c>
      <c r="G292" t="s">
        <v>1522</v>
      </c>
      <c r="H292" t="s">
        <v>1520</v>
      </c>
      <c r="I292" t="s">
        <v>1513</v>
      </c>
      <c r="J292" t="s">
        <v>1517</v>
      </c>
      <c r="K292" t="s">
        <v>1514</v>
      </c>
      <c r="L292" s="2">
        <v>2</v>
      </c>
      <c r="M292" s="10">
        <v>469</v>
      </c>
      <c r="N292" s="7">
        <v>938</v>
      </c>
    </row>
    <row r="293" spans="1:14" x14ac:dyDescent="0.3">
      <c r="A293">
        <v>1105</v>
      </c>
      <c r="B293" s="1">
        <v>44927</v>
      </c>
      <c r="C293">
        <v>2023</v>
      </c>
      <c r="D293">
        <v>1</v>
      </c>
      <c r="E293" t="str">
        <f t="shared" si="4"/>
        <v>Januari</v>
      </c>
      <c r="F293">
        <v>1</v>
      </c>
      <c r="G293" t="s">
        <v>1522</v>
      </c>
      <c r="H293" t="s">
        <v>1520</v>
      </c>
      <c r="I293" t="s">
        <v>1513</v>
      </c>
      <c r="J293" t="s">
        <v>1517</v>
      </c>
      <c r="K293" t="s">
        <v>1514</v>
      </c>
      <c r="L293" s="2">
        <v>2</v>
      </c>
      <c r="M293" s="10">
        <v>469</v>
      </c>
      <c r="N293" s="7">
        <v>938</v>
      </c>
    </row>
    <row r="294" spans="1:14" x14ac:dyDescent="0.3">
      <c r="A294">
        <v>1105</v>
      </c>
      <c r="B294" s="1">
        <v>44799</v>
      </c>
      <c r="C294">
        <v>2022</v>
      </c>
      <c r="D294">
        <v>8</v>
      </c>
      <c r="E294" t="str">
        <f t="shared" si="4"/>
        <v>Agustus</v>
      </c>
      <c r="F294">
        <v>3</v>
      </c>
      <c r="G294" t="s">
        <v>1522</v>
      </c>
      <c r="H294" t="s">
        <v>1520</v>
      </c>
      <c r="I294" t="s">
        <v>1513</v>
      </c>
      <c r="J294" t="s">
        <v>1517</v>
      </c>
      <c r="K294" t="s">
        <v>1514</v>
      </c>
      <c r="L294" s="2">
        <v>2</v>
      </c>
      <c r="M294" s="10">
        <v>469</v>
      </c>
      <c r="N294" s="7">
        <v>938</v>
      </c>
    </row>
    <row r="295" spans="1:14" x14ac:dyDescent="0.3">
      <c r="A295">
        <v>1105</v>
      </c>
      <c r="B295" s="1">
        <v>44573</v>
      </c>
      <c r="C295">
        <v>2022</v>
      </c>
      <c r="D295">
        <v>1</v>
      </c>
      <c r="E295" t="str">
        <f t="shared" si="4"/>
        <v>Januari</v>
      </c>
      <c r="F295">
        <v>1</v>
      </c>
      <c r="G295" t="s">
        <v>1522</v>
      </c>
      <c r="H295" t="s">
        <v>1520</v>
      </c>
      <c r="I295" t="s">
        <v>1513</v>
      </c>
      <c r="J295" t="s">
        <v>1517</v>
      </c>
      <c r="K295" t="s">
        <v>1514</v>
      </c>
      <c r="L295" s="2">
        <v>2</v>
      </c>
      <c r="M295" s="10">
        <v>469</v>
      </c>
      <c r="N295" s="7">
        <v>938</v>
      </c>
    </row>
    <row r="296" spans="1:14" x14ac:dyDescent="0.3">
      <c r="A296">
        <v>1105</v>
      </c>
      <c r="B296" s="1">
        <v>44762</v>
      </c>
      <c r="C296">
        <v>2022</v>
      </c>
      <c r="D296">
        <v>7</v>
      </c>
      <c r="E296" t="str">
        <f t="shared" si="4"/>
        <v>Juli</v>
      </c>
      <c r="F296">
        <v>3</v>
      </c>
      <c r="G296" t="s">
        <v>1522</v>
      </c>
      <c r="H296" t="s">
        <v>1520</v>
      </c>
      <c r="I296" t="s">
        <v>1513</v>
      </c>
      <c r="J296" t="s">
        <v>1517</v>
      </c>
      <c r="K296" t="s">
        <v>1514</v>
      </c>
      <c r="L296" s="2">
        <v>2</v>
      </c>
      <c r="M296" s="10">
        <v>469</v>
      </c>
      <c r="N296" s="7">
        <v>938</v>
      </c>
    </row>
    <row r="297" spans="1:14" x14ac:dyDescent="0.3">
      <c r="A297">
        <v>1106</v>
      </c>
      <c r="B297" s="1">
        <v>44967</v>
      </c>
      <c r="C297">
        <v>2023</v>
      </c>
      <c r="D297">
        <v>2</v>
      </c>
      <c r="E297" t="str">
        <f t="shared" si="4"/>
        <v>Februari</v>
      </c>
      <c r="F297">
        <v>1</v>
      </c>
      <c r="G297" t="s">
        <v>1523</v>
      </c>
      <c r="H297" t="s">
        <v>1512</v>
      </c>
      <c r="I297" t="s">
        <v>1521</v>
      </c>
      <c r="J297" t="s">
        <v>1517</v>
      </c>
      <c r="K297" t="s">
        <v>1518</v>
      </c>
      <c r="L297" s="2">
        <v>2</v>
      </c>
      <c r="M297" s="10">
        <v>24448</v>
      </c>
      <c r="N297" s="7">
        <v>48896</v>
      </c>
    </row>
    <row r="298" spans="1:14" x14ac:dyDescent="0.3">
      <c r="A298">
        <v>1106</v>
      </c>
      <c r="B298" s="1">
        <v>45172</v>
      </c>
      <c r="C298">
        <v>2023</v>
      </c>
      <c r="D298">
        <v>9</v>
      </c>
      <c r="E298" t="str">
        <f t="shared" si="4"/>
        <v>September</v>
      </c>
      <c r="F298">
        <v>3</v>
      </c>
      <c r="G298" t="s">
        <v>1523</v>
      </c>
      <c r="H298" t="s">
        <v>1512</v>
      </c>
      <c r="I298" t="s">
        <v>1521</v>
      </c>
      <c r="J298" t="s">
        <v>1517</v>
      </c>
      <c r="K298" t="s">
        <v>1518</v>
      </c>
      <c r="L298" s="2">
        <v>2</v>
      </c>
      <c r="M298" s="10">
        <v>24448</v>
      </c>
      <c r="N298" s="7">
        <v>48896</v>
      </c>
    </row>
    <row r="299" spans="1:14" x14ac:dyDescent="0.3">
      <c r="A299">
        <v>1106</v>
      </c>
      <c r="B299" s="1">
        <v>45600</v>
      </c>
      <c r="C299">
        <v>2024</v>
      </c>
      <c r="D299">
        <v>11</v>
      </c>
      <c r="E299" t="str">
        <f t="shared" si="4"/>
        <v>November</v>
      </c>
      <c r="F299">
        <v>4</v>
      </c>
      <c r="G299" t="s">
        <v>1523</v>
      </c>
      <c r="H299" t="s">
        <v>1512</v>
      </c>
      <c r="I299" t="s">
        <v>1521</v>
      </c>
      <c r="J299" t="s">
        <v>1517</v>
      </c>
      <c r="K299" t="s">
        <v>1518</v>
      </c>
      <c r="L299" s="2">
        <v>2</v>
      </c>
      <c r="M299" s="10">
        <v>24448</v>
      </c>
      <c r="N299" s="7">
        <v>48896</v>
      </c>
    </row>
    <row r="300" spans="1:14" x14ac:dyDescent="0.3">
      <c r="A300">
        <v>1106</v>
      </c>
      <c r="B300" s="1">
        <v>45272</v>
      </c>
      <c r="C300">
        <v>2023</v>
      </c>
      <c r="D300">
        <v>12</v>
      </c>
      <c r="E300" t="str">
        <f t="shared" si="4"/>
        <v>Desember</v>
      </c>
      <c r="F300">
        <v>4</v>
      </c>
      <c r="G300" t="s">
        <v>1523</v>
      </c>
      <c r="H300" t="s">
        <v>1512</v>
      </c>
      <c r="I300" t="s">
        <v>1521</v>
      </c>
      <c r="J300" t="s">
        <v>1517</v>
      </c>
      <c r="K300" t="s">
        <v>1518</v>
      </c>
      <c r="L300" s="2">
        <v>2</v>
      </c>
      <c r="M300" s="10">
        <v>24448</v>
      </c>
      <c r="N300" s="7">
        <v>48896</v>
      </c>
    </row>
    <row r="301" spans="1:14" x14ac:dyDescent="0.3">
      <c r="A301">
        <v>1107</v>
      </c>
      <c r="B301" s="1">
        <v>45064</v>
      </c>
      <c r="C301">
        <v>2023</v>
      </c>
      <c r="D301">
        <v>5</v>
      </c>
      <c r="E301" t="str">
        <f t="shared" si="4"/>
        <v>Mei</v>
      </c>
      <c r="F301">
        <v>2</v>
      </c>
      <c r="G301" t="s">
        <v>1526</v>
      </c>
      <c r="H301" t="s">
        <v>1527</v>
      </c>
      <c r="I301" t="s">
        <v>1535</v>
      </c>
      <c r="J301" t="s">
        <v>1517</v>
      </c>
      <c r="K301" t="s">
        <v>1518</v>
      </c>
      <c r="L301" s="2">
        <v>3</v>
      </c>
      <c r="M301" s="10">
        <v>378</v>
      </c>
      <c r="N301" s="7">
        <v>1134</v>
      </c>
    </row>
    <row r="302" spans="1:14" x14ac:dyDescent="0.3">
      <c r="A302">
        <v>1108</v>
      </c>
      <c r="B302" s="1">
        <v>45292</v>
      </c>
      <c r="C302">
        <v>2024</v>
      </c>
      <c r="D302">
        <v>1</v>
      </c>
      <c r="E302" t="str">
        <f t="shared" si="4"/>
        <v>Januari</v>
      </c>
      <c r="F302">
        <v>1</v>
      </c>
      <c r="G302" t="s">
        <v>1529</v>
      </c>
      <c r="H302" t="s">
        <v>1530</v>
      </c>
      <c r="I302" t="s">
        <v>1535</v>
      </c>
      <c r="J302" t="s">
        <v>1517</v>
      </c>
      <c r="K302" t="s">
        <v>1518</v>
      </c>
      <c r="L302" s="2">
        <v>1</v>
      </c>
      <c r="M302" s="10">
        <v>1310</v>
      </c>
      <c r="N302" s="7">
        <v>1310</v>
      </c>
    </row>
    <row r="303" spans="1:14" x14ac:dyDescent="0.3">
      <c r="A303">
        <v>1108</v>
      </c>
      <c r="B303" s="1">
        <v>44684</v>
      </c>
      <c r="C303">
        <v>2022</v>
      </c>
      <c r="D303">
        <v>5</v>
      </c>
      <c r="E303" t="str">
        <f t="shared" si="4"/>
        <v>Mei</v>
      </c>
      <c r="F303">
        <v>2</v>
      </c>
      <c r="G303" t="s">
        <v>1529</v>
      </c>
      <c r="H303" t="s">
        <v>1530</v>
      </c>
      <c r="I303" t="s">
        <v>1535</v>
      </c>
      <c r="J303" t="s">
        <v>1517</v>
      </c>
      <c r="K303" t="s">
        <v>1518</v>
      </c>
      <c r="L303" s="2">
        <v>1</v>
      </c>
      <c r="M303" s="10">
        <v>1310</v>
      </c>
      <c r="N303" s="7">
        <v>1310</v>
      </c>
    </row>
    <row r="304" spans="1:14" x14ac:dyDescent="0.3">
      <c r="A304">
        <v>1108</v>
      </c>
      <c r="B304" s="1">
        <v>45245</v>
      </c>
      <c r="C304">
        <v>2023</v>
      </c>
      <c r="D304">
        <v>11</v>
      </c>
      <c r="E304" t="str">
        <f t="shared" si="4"/>
        <v>November</v>
      </c>
      <c r="F304">
        <v>4</v>
      </c>
      <c r="G304" t="s">
        <v>1529</v>
      </c>
      <c r="H304" t="s">
        <v>1530</v>
      </c>
      <c r="I304" t="s">
        <v>1535</v>
      </c>
      <c r="J304" t="s">
        <v>1517</v>
      </c>
      <c r="K304" t="s">
        <v>1518</v>
      </c>
      <c r="L304" s="2">
        <v>1</v>
      </c>
      <c r="M304" s="10">
        <v>1310</v>
      </c>
      <c r="N304" s="7">
        <v>1310</v>
      </c>
    </row>
    <row r="305" spans="1:14" x14ac:dyDescent="0.3">
      <c r="A305">
        <v>1108</v>
      </c>
      <c r="B305" s="1">
        <v>44716</v>
      </c>
      <c r="C305">
        <v>2022</v>
      </c>
      <c r="D305">
        <v>6</v>
      </c>
      <c r="E305" t="str">
        <f t="shared" si="4"/>
        <v>Juni</v>
      </c>
      <c r="F305">
        <v>2</v>
      </c>
      <c r="G305" t="s">
        <v>1529</v>
      </c>
      <c r="H305" t="s">
        <v>1530</v>
      </c>
      <c r="I305" t="s">
        <v>1535</v>
      </c>
      <c r="J305" t="s">
        <v>1517</v>
      </c>
      <c r="K305" t="s">
        <v>1518</v>
      </c>
      <c r="L305" s="2">
        <v>1</v>
      </c>
      <c r="M305" s="10">
        <v>1310</v>
      </c>
      <c r="N305" s="7">
        <v>1310</v>
      </c>
    </row>
    <row r="306" spans="1:14" x14ac:dyDescent="0.3">
      <c r="A306">
        <v>1108</v>
      </c>
      <c r="B306" s="1">
        <v>45502</v>
      </c>
      <c r="C306">
        <v>2024</v>
      </c>
      <c r="D306">
        <v>7</v>
      </c>
      <c r="E306" t="str">
        <f t="shared" si="4"/>
        <v>Juli</v>
      </c>
      <c r="F306">
        <v>3</v>
      </c>
      <c r="G306" t="s">
        <v>1529</v>
      </c>
      <c r="H306" t="s">
        <v>1530</v>
      </c>
      <c r="I306" t="s">
        <v>1535</v>
      </c>
      <c r="J306" t="s">
        <v>1517</v>
      </c>
      <c r="K306" t="s">
        <v>1518</v>
      </c>
      <c r="L306" s="2">
        <v>1</v>
      </c>
      <c r="M306" s="10">
        <v>1310</v>
      </c>
      <c r="N306" s="7">
        <v>1310</v>
      </c>
    </row>
    <row r="307" spans="1:14" x14ac:dyDescent="0.3">
      <c r="A307">
        <v>1109</v>
      </c>
      <c r="B307" s="1">
        <v>45003</v>
      </c>
      <c r="C307">
        <v>2023</v>
      </c>
      <c r="D307">
        <v>3</v>
      </c>
      <c r="E307" t="str">
        <f t="shared" si="4"/>
        <v>Maret</v>
      </c>
      <c r="F307">
        <v>1</v>
      </c>
      <c r="G307" t="s">
        <v>1532</v>
      </c>
      <c r="H307" t="s">
        <v>1512</v>
      </c>
      <c r="I307" t="s">
        <v>1535</v>
      </c>
      <c r="J307" t="s">
        <v>1524</v>
      </c>
      <c r="K307" t="s">
        <v>1525</v>
      </c>
      <c r="L307" s="2">
        <v>1</v>
      </c>
      <c r="M307" s="10">
        <v>5590</v>
      </c>
      <c r="N307" s="7">
        <v>5590</v>
      </c>
    </row>
    <row r="308" spans="1:14" x14ac:dyDescent="0.3">
      <c r="A308">
        <v>1109</v>
      </c>
      <c r="B308" s="1">
        <v>45008</v>
      </c>
      <c r="C308">
        <v>2023</v>
      </c>
      <c r="D308">
        <v>3</v>
      </c>
      <c r="E308" t="str">
        <f t="shared" si="4"/>
        <v>Maret</v>
      </c>
      <c r="F308">
        <v>1</v>
      </c>
      <c r="G308" t="s">
        <v>1532</v>
      </c>
      <c r="H308" t="s">
        <v>1512</v>
      </c>
      <c r="I308" t="s">
        <v>1535</v>
      </c>
      <c r="J308" t="s">
        <v>1524</v>
      </c>
      <c r="K308" t="s">
        <v>1525</v>
      </c>
      <c r="L308" s="2">
        <v>1</v>
      </c>
      <c r="M308" s="10">
        <v>5590</v>
      </c>
      <c r="N308" s="7">
        <v>5590</v>
      </c>
    </row>
    <row r="309" spans="1:14" x14ac:dyDescent="0.3">
      <c r="A309">
        <v>1110</v>
      </c>
      <c r="B309" s="1">
        <v>45069</v>
      </c>
      <c r="C309">
        <v>2023</v>
      </c>
      <c r="D309">
        <v>5</v>
      </c>
      <c r="E309" t="str">
        <f t="shared" si="4"/>
        <v>Mei</v>
      </c>
      <c r="F309">
        <v>2</v>
      </c>
      <c r="G309" t="s">
        <v>1533</v>
      </c>
      <c r="H309" t="s">
        <v>1520</v>
      </c>
      <c r="I309" t="s">
        <v>1516</v>
      </c>
      <c r="J309" t="s">
        <v>1566</v>
      </c>
      <c r="K309" t="s">
        <v>1525</v>
      </c>
      <c r="L309" s="2">
        <v>3</v>
      </c>
      <c r="M309" s="10">
        <v>405</v>
      </c>
      <c r="N309" s="7">
        <v>1215</v>
      </c>
    </row>
    <row r="310" spans="1:14" x14ac:dyDescent="0.3">
      <c r="A310">
        <v>1110</v>
      </c>
      <c r="B310" s="1">
        <v>44954</v>
      </c>
      <c r="C310">
        <v>2023</v>
      </c>
      <c r="D310">
        <v>1</v>
      </c>
      <c r="E310" t="str">
        <f t="shared" si="4"/>
        <v>Januari</v>
      </c>
      <c r="F310">
        <v>1</v>
      </c>
      <c r="G310" t="s">
        <v>1533</v>
      </c>
      <c r="H310" t="s">
        <v>1520</v>
      </c>
      <c r="I310" t="s">
        <v>1516</v>
      </c>
      <c r="J310" t="s">
        <v>1566</v>
      </c>
      <c r="K310" t="s">
        <v>1525</v>
      </c>
      <c r="L310" s="2">
        <v>3</v>
      </c>
      <c r="M310" s="10">
        <v>405</v>
      </c>
      <c r="N310" s="7">
        <v>1215</v>
      </c>
    </row>
    <row r="311" spans="1:14" x14ac:dyDescent="0.3">
      <c r="A311">
        <v>1110</v>
      </c>
      <c r="B311" s="1">
        <v>44648</v>
      </c>
      <c r="C311">
        <v>2022</v>
      </c>
      <c r="D311">
        <v>3</v>
      </c>
      <c r="E311" t="str">
        <f t="shared" si="4"/>
        <v>Maret</v>
      </c>
      <c r="F311">
        <v>1</v>
      </c>
      <c r="G311" t="s">
        <v>1533</v>
      </c>
      <c r="H311" t="s">
        <v>1520</v>
      </c>
      <c r="I311" t="s">
        <v>1516</v>
      </c>
      <c r="J311" t="s">
        <v>1566</v>
      </c>
      <c r="K311" t="s">
        <v>1525</v>
      </c>
      <c r="L311" s="2">
        <v>3</v>
      </c>
      <c r="M311" s="10">
        <v>405</v>
      </c>
      <c r="N311" s="7">
        <v>1215</v>
      </c>
    </row>
    <row r="312" spans="1:14" x14ac:dyDescent="0.3">
      <c r="A312">
        <v>1110</v>
      </c>
      <c r="B312" s="1">
        <v>45251</v>
      </c>
      <c r="C312">
        <v>2023</v>
      </c>
      <c r="D312">
        <v>11</v>
      </c>
      <c r="E312" t="str">
        <f t="shared" si="4"/>
        <v>November</v>
      </c>
      <c r="F312">
        <v>4</v>
      </c>
      <c r="G312" t="s">
        <v>1533</v>
      </c>
      <c r="H312" t="s">
        <v>1520</v>
      </c>
      <c r="I312" t="s">
        <v>1516</v>
      </c>
      <c r="J312" t="s">
        <v>1566</v>
      </c>
      <c r="K312" t="s">
        <v>1525</v>
      </c>
      <c r="L312" s="2">
        <v>3</v>
      </c>
      <c r="M312" s="10">
        <v>405</v>
      </c>
      <c r="N312" s="7">
        <v>1215</v>
      </c>
    </row>
    <row r="313" spans="1:14" x14ac:dyDescent="0.3">
      <c r="A313">
        <v>1111</v>
      </c>
      <c r="B313" s="1">
        <v>45467</v>
      </c>
      <c r="C313">
        <v>2024</v>
      </c>
      <c r="D313">
        <v>6</v>
      </c>
      <c r="E313" t="str">
        <f t="shared" si="4"/>
        <v>Juni</v>
      </c>
      <c r="F313">
        <v>2</v>
      </c>
      <c r="G313" t="s">
        <v>1511</v>
      </c>
      <c r="H313" t="s">
        <v>1512</v>
      </c>
      <c r="I313" t="s">
        <v>1531</v>
      </c>
      <c r="J313" t="s">
        <v>1566</v>
      </c>
      <c r="K313" t="s">
        <v>1525</v>
      </c>
      <c r="L313" s="2">
        <v>1</v>
      </c>
      <c r="M313" s="10">
        <v>51984</v>
      </c>
      <c r="N313" s="7">
        <v>51984</v>
      </c>
    </row>
    <row r="314" spans="1:14" x14ac:dyDescent="0.3">
      <c r="A314">
        <v>1111</v>
      </c>
      <c r="B314" s="1">
        <v>44972</v>
      </c>
      <c r="C314">
        <v>2023</v>
      </c>
      <c r="D314">
        <v>2</v>
      </c>
      <c r="E314" t="str">
        <f t="shared" si="4"/>
        <v>Februari</v>
      </c>
      <c r="F314">
        <v>1</v>
      </c>
      <c r="G314" t="s">
        <v>1511</v>
      </c>
      <c r="H314" t="s">
        <v>1512</v>
      </c>
      <c r="I314" t="s">
        <v>1531</v>
      </c>
      <c r="J314" t="s">
        <v>1566</v>
      </c>
      <c r="K314" t="s">
        <v>1525</v>
      </c>
      <c r="L314" s="2">
        <v>1</v>
      </c>
      <c r="M314" s="10">
        <v>51984</v>
      </c>
      <c r="N314" s="7">
        <v>51984</v>
      </c>
    </row>
    <row r="315" spans="1:14" x14ac:dyDescent="0.3">
      <c r="A315">
        <v>1111</v>
      </c>
      <c r="B315" s="1">
        <v>44632</v>
      </c>
      <c r="C315">
        <v>2022</v>
      </c>
      <c r="D315">
        <v>3</v>
      </c>
      <c r="E315" t="str">
        <f t="shared" si="4"/>
        <v>Maret</v>
      </c>
      <c r="F315">
        <v>1</v>
      </c>
      <c r="G315" t="s">
        <v>1511</v>
      </c>
      <c r="H315" t="s">
        <v>1512</v>
      </c>
      <c r="I315" t="s">
        <v>1531</v>
      </c>
      <c r="J315" t="s">
        <v>1566</v>
      </c>
      <c r="K315" t="s">
        <v>1525</v>
      </c>
      <c r="L315" s="2">
        <v>1</v>
      </c>
      <c r="M315" s="10">
        <v>51984</v>
      </c>
      <c r="N315" s="7">
        <v>51984</v>
      </c>
    </row>
    <row r="316" spans="1:14" x14ac:dyDescent="0.3">
      <c r="A316">
        <v>1112</v>
      </c>
      <c r="B316" s="1">
        <v>45207</v>
      </c>
      <c r="C316">
        <v>2023</v>
      </c>
      <c r="D316">
        <v>10</v>
      </c>
      <c r="E316" t="str">
        <f t="shared" si="4"/>
        <v>Oktober</v>
      </c>
      <c r="F316">
        <v>4</v>
      </c>
      <c r="G316" t="s">
        <v>1515</v>
      </c>
      <c r="H316" t="s">
        <v>1512</v>
      </c>
      <c r="I316" t="s">
        <v>1513</v>
      </c>
      <c r="J316" t="s">
        <v>1524</v>
      </c>
      <c r="K316" t="s">
        <v>1525</v>
      </c>
      <c r="L316" s="2">
        <v>3</v>
      </c>
      <c r="M316" s="10">
        <v>2766</v>
      </c>
      <c r="N316" s="7">
        <v>8298</v>
      </c>
    </row>
    <row r="317" spans="1:14" x14ac:dyDescent="0.3">
      <c r="A317">
        <v>1113</v>
      </c>
      <c r="B317" s="1">
        <v>44932</v>
      </c>
      <c r="C317">
        <v>2023</v>
      </c>
      <c r="D317">
        <v>1</v>
      </c>
      <c r="E317" t="str">
        <f t="shared" si="4"/>
        <v>Januari</v>
      </c>
      <c r="F317">
        <v>1</v>
      </c>
      <c r="G317" t="s">
        <v>1534</v>
      </c>
      <c r="H317" t="s">
        <v>1530</v>
      </c>
      <c r="I317" t="s">
        <v>1535</v>
      </c>
      <c r="J317" t="s">
        <v>1566</v>
      </c>
      <c r="K317" t="s">
        <v>1518</v>
      </c>
      <c r="L317" s="2">
        <v>3</v>
      </c>
      <c r="M317" s="10">
        <v>2625</v>
      </c>
      <c r="N317" s="7">
        <v>7875</v>
      </c>
    </row>
    <row r="318" spans="1:14" x14ac:dyDescent="0.3">
      <c r="A318">
        <v>1113</v>
      </c>
      <c r="B318" s="1">
        <v>44660</v>
      </c>
      <c r="C318">
        <v>2022</v>
      </c>
      <c r="D318">
        <v>4</v>
      </c>
      <c r="E318" t="str">
        <f t="shared" si="4"/>
        <v>April</v>
      </c>
      <c r="F318">
        <v>2</v>
      </c>
      <c r="G318" t="s">
        <v>1534</v>
      </c>
      <c r="H318" t="s">
        <v>1530</v>
      </c>
      <c r="I318" t="s">
        <v>1535</v>
      </c>
      <c r="J318" t="s">
        <v>1566</v>
      </c>
      <c r="K318" t="s">
        <v>1518</v>
      </c>
      <c r="L318" s="2">
        <v>3</v>
      </c>
      <c r="M318" s="10">
        <v>2625</v>
      </c>
      <c r="N318" s="7">
        <v>7875</v>
      </c>
    </row>
    <row r="319" spans="1:14" x14ac:dyDescent="0.3">
      <c r="A319">
        <v>1113</v>
      </c>
      <c r="B319" s="1">
        <v>45512</v>
      </c>
      <c r="C319">
        <v>2024</v>
      </c>
      <c r="D319">
        <v>8</v>
      </c>
      <c r="E319" t="str">
        <f t="shared" si="4"/>
        <v>Agustus</v>
      </c>
      <c r="F319">
        <v>3</v>
      </c>
      <c r="G319" t="s">
        <v>1534</v>
      </c>
      <c r="H319" t="s">
        <v>1530</v>
      </c>
      <c r="I319" t="s">
        <v>1535</v>
      </c>
      <c r="J319" t="s">
        <v>1566</v>
      </c>
      <c r="K319" t="s">
        <v>1518</v>
      </c>
      <c r="L319" s="2">
        <v>3</v>
      </c>
      <c r="M319" s="10">
        <v>2625</v>
      </c>
      <c r="N319" s="7">
        <v>7875</v>
      </c>
    </row>
    <row r="320" spans="1:14" x14ac:dyDescent="0.3">
      <c r="A320">
        <v>1114</v>
      </c>
      <c r="B320" s="1">
        <v>45106</v>
      </c>
      <c r="C320">
        <v>2023</v>
      </c>
      <c r="D320">
        <v>6</v>
      </c>
      <c r="E320" t="str">
        <f t="shared" si="4"/>
        <v>Juni</v>
      </c>
      <c r="F320">
        <v>2</v>
      </c>
      <c r="G320" t="s">
        <v>1519</v>
      </c>
      <c r="H320" t="s">
        <v>1520</v>
      </c>
      <c r="I320" t="s">
        <v>1521</v>
      </c>
      <c r="J320" t="s">
        <v>1524</v>
      </c>
      <c r="K320" t="s">
        <v>1518</v>
      </c>
      <c r="L320" s="2">
        <v>2</v>
      </c>
      <c r="M320" s="10">
        <v>2573</v>
      </c>
      <c r="N320" s="7">
        <v>5146</v>
      </c>
    </row>
    <row r="321" spans="1:14" x14ac:dyDescent="0.3">
      <c r="A321">
        <v>1114</v>
      </c>
      <c r="B321" s="1">
        <v>44912</v>
      </c>
      <c r="C321">
        <v>2022</v>
      </c>
      <c r="D321">
        <v>12</v>
      </c>
      <c r="E321" t="str">
        <f t="shared" si="4"/>
        <v>Desember</v>
      </c>
      <c r="F321">
        <v>4</v>
      </c>
      <c r="G321" t="s">
        <v>1519</v>
      </c>
      <c r="H321" t="s">
        <v>1520</v>
      </c>
      <c r="I321" t="s">
        <v>1521</v>
      </c>
      <c r="J321" t="s">
        <v>1524</v>
      </c>
      <c r="K321" t="s">
        <v>1518</v>
      </c>
      <c r="L321" s="2">
        <v>2</v>
      </c>
      <c r="M321" s="10">
        <v>2573</v>
      </c>
      <c r="N321" s="7">
        <v>5146</v>
      </c>
    </row>
    <row r="322" spans="1:14" x14ac:dyDescent="0.3">
      <c r="A322">
        <v>1114</v>
      </c>
      <c r="B322" s="1">
        <v>45094</v>
      </c>
      <c r="C322">
        <v>2023</v>
      </c>
      <c r="D322">
        <v>6</v>
      </c>
      <c r="E322" t="str">
        <f t="shared" si="4"/>
        <v>Juni</v>
      </c>
      <c r="F322">
        <v>2</v>
      </c>
      <c r="G322" t="s">
        <v>1519</v>
      </c>
      <c r="H322" t="s">
        <v>1520</v>
      </c>
      <c r="I322" t="s">
        <v>1521</v>
      </c>
      <c r="J322" t="s">
        <v>1524</v>
      </c>
      <c r="K322" t="s">
        <v>1518</v>
      </c>
      <c r="L322" s="2">
        <v>2</v>
      </c>
      <c r="M322" s="10">
        <v>2573</v>
      </c>
      <c r="N322" s="7">
        <v>5146</v>
      </c>
    </row>
    <row r="323" spans="1:14" x14ac:dyDescent="0.3">
      <c r="A323">
        <v>1114</v>
      </c>
      <c r="B323" s="1">
        <v>44707</v>
      </c>
      <c r="C323">
        <v>2022</v>
      </c>
      <c r="D323">
        <v>5</v>
      </c>
      <c r="E323" t="str">
        <f t="shared" ref="E323:E386" si="5">TEXT(DATE(2026, D323, 1), "[$-id-ID]mmmm")</f>
        <v>Mei</v>
      </c>
      <c r="F323">
        <v>2</v>
      </c>
      <c r="G323" t="s">
        <v>1519</v>
      </c>
      <c r="H323" t="s">
        <v>1520</v>
      </c>
      <c r="I323" t="s">
        <v>1521</v>
      </c>
      <c r="J323" t="s">
        <v>1524</v>
      </c>
      <c r="K323" t="s">
        <v>1518</v>
      </c>
      <c r="L323" s="2">
        <v>2</v>
      </c>
      <c r="M323" s="10">
        <v>2573</v>
      </c>
      <c r="N323" s="7">
        <v>5146</v>
      </c>
    </row>
    <row r="324" spans="1:14" x14ac:dyDescent="0.3">
      <c r="A324">
        <v>1115</v>
      </c>
      <c r="B324" s="1">
        <v>45596</v>
      </c>
      <c r="C324">
        <v>2024</v>
      </c>
      <c r="D324">
        <v>10</v>
      </c>
      <c r="E324" t="str">
        <f t="shared" si="5"/>
        <v>Oktober</v>
      </c>
      <c r="F324">
        <v>4</v>
      </c>
      <c r="G324" t="s">
        <v>1522</v>
      </c>
      <c r="H324" t="s">
        <v>1520</v>
      </c>
      <c r="I324" t="s">
        <v>1516</v>
      </c>
      <c r="J324" t="s">
        <v>1566</v>
      </c>
      <c r="K324" t="s">
        <v>1525</v>
      </c>
      <c r="L324" s="2">
        <v>2</v>
      </c>
      <c r="M324" s="10">
        <v>798</v>
      </c>
      <c r="N324" s="7">
        <v>1596</v>
      </c>
    </row>
    <row r="325" spans="1:14" x14ac:dyDescent="0.3">
      <c r="A325">
        <v>1116</v>
      </c>
      <c r="B325" s="1">
        <v>45214</v>
      </c>
      <c r="C325">
        <v>2023</v>
      </c>
      <c r="D325">
        <v>10</v>
      </c>
      <c r="E325" t="str">
        <f t="shared" si="5"/>
        <v>Oktober</v>
      </c>
      <c r="F325">
        <v>4</v>
      </c>
      <c r="G325" t="s">
        <v>1523</v>
      </c>
      <c r="H325" t="s">
        <v>1512</v>
      </c>
      <c r="I325" t="s">
        <v>1535</v>
      </c>
      <c r="J325" t="s">
        <v>1566</v>
      </c>
      <c r="K325" t="s">
        <v>1514</v>
      </c>
      <c r="L325" s="2">
        <v>2</v>
      </c>
      <c r="M325" s="10">
        <v>31517</v>
      </c>
      <c r="N325" s="7">
        <v>63034</v>
      </c>
    </row>
    <row r="326" spans="1:14" x14ac:dyDescent="0.3">
      <c r="A326">
        <v>1117</v>
      </c>
      <c r="B326" s="1">
        <v>44616</v>
      </c>
      <c r="C326">
        <v>2022</v>
      </c>
      <c r="D326">
        <v>2</v>
      </c>
      <c r="E326" t="str">
        <f t="shared" si="5"/>
        <v>Februari</v>
      </c>
      <c r="F326">
        <v>1</v>
      </c>
      <c r="G326" t="s">
        <v>1526</v>
      </c>
      <c r="H326" t="s">
        <v>1527</v>
      </c>
      <c r="I326" t="s">
        <v>1513</v>
      </c>
      <c r="J326" t="s">
        <v>1524</v>
      </c>
      <c r="K326" t="s">
        <v>1518</v>
      </c>
      <c r="L326" s="2">
        <v>1</v>
      </c>
      <c r="M326" s="10">
        <v>343</v>
      </c>
      <c r="N326" s="7">
        <v>343</v>
      </c>
    </row>
    <row r="327" spans="1:14" x14ac:dyDescent="0.3">
      <c r="A327">
        <v>1117</v>
      </c>
      <c r="B327" s="1">
        <v>44668</v>
      </c>
      <c r="C327">
        <v>2022</v>
      </c>
      <c r="D327">
        <v>4</v>
      </c>
      <c r="E327" t="str">
        <f t="shared" si="5"/>
        <v>April</v>
      </c>
      <c r="F327">
        <v>2</v>
      </c>
      <c r="G327" t="s">
        <v>1526</v>
      </c>
      <c r="H327" t="s">
        <v>1527</v>
      </c>
      <c r="I327" t="s">
        <v>1513</v>
      </c>
      <c r="J327" t="s">
        <v>1524</v>
      </c>
      <c r="K327" t="s">
        <v>1518</v>
      </c>
      <c r="L327" s="2">
        <v>1</v>
      </c>
      <c r="M327" s="10">
        <v>343</v>
      </c>
      <c r="N327" s="7">
        <v>343</v>
      </c>
    </row>
    <row r="328" spans="1:14" x14ac:dyDescent="0.3">
      <c r="A328">
        <v>1117</v>
      </c>
      <c r="B328" s="1">
        <v>44642</v>
      </c>
      <c r="C328">
        <v>2022</v>
      </c>
      <c r="D328">
        <v>3</v>
      </c>
      <c r="E328" t="str">
        <f t="shared" si="5"/>
        <v>Maret</v>
      </c>
      <c r="F328">
        <v>1</v>
      </c>
      <c r="G328" t="s">
        <v>1526</v>
      </c>
      <c r="H328" t="s">
        <v>1527</v>
      </c>
      <c r="I328" t="s">
        <v>1513</v>
      </c>
      <c r="J328" t="s">
        <v>1524</v>
      </c>
      <c r="K328" t="s">
        <v>1518</v>
      </c>
      <c r="L328" s="2">
        <v>1</v>
      </c>
      <c r="M328" s="10">
        <v>343</v>
      </c>
      <c r="N328" s="7">
        <v>343</v>
      </c>
    </row>
    <row r="329" spans="1:14" x14ac:dyDescent="0.3">
      <c r="A329">
        <v>1118</v>
      </c>
      <c r="B329" s="1">
        <v>44682</v>
      </c>
      <c r="C329">
        <v>2022</v>
      </c>
      <c r="D329">
        <v>5</v>
      </c>
      <c r="E329" t="str">
        <f t="shared" si="5"/>
        <v>Mei</v>
      </c>
      <c r="F329">
        <v>2</v>
      </c>
      <c r="G329" t="s">
        <v>1529</v>
      </c>
      <c r="H329" t="s">
        <v>1530</v>
      </c>
      <c r="I329" t="s">
        <v>1513</v>
      </c>
      <c r="J329" t="s">
        <v>1524</v>
      </c>
      <c r="K329" t="s">
        <v>1525</v>
      </c>
      <c r="L329" s="2">
        <v>3</v>
      </c>
      <c r="M329" s="10">
        <v>1021</v>
      </c>
      <c r="N329" s="7">
        <v>3063</v>
      </c>
    </row>
    <row r="330" spans="1:14" x14ac:dyDescent="0.3">
      <c r="A330">
        <v>1119</v>
      </c>
      <c r="B330" s="1">
        <v>45142</v>
      </c>
      <c r="C330">
        <v>2023</v>
      </c>
      <c r="D330">
        <v>8</v>
      </c>
      <c r="E330" t="str">
        <f t="shared" si="5"/>
        <v>Agustus</v>
      </c>
      <c r="F330">
        <v>3</v>
      </c>
      <c r="G330" t="s">
        <v>1532</v>
      </c>
      <c r="H330" t="s">
        <v>1512</v>
      </c>
      <c r="I330" t="s">
        <v>1535</v>
      </c>
      <c r="J330" t="s">
        <v>1566</v>
      </c>
      <c r="K330" t="s">
        <v>1514</v>
      </c>
      <c r="L330" s="2">
        <v>1</v>
      </c>
      <c r="M330" s="10">
        <v>8543</v>
      </c>
      <c r="N330" s="7">
        <v>8543</v>
      </c>
    </row>
    <row r="331" spans="1:14" x14ac:dyDescent="0.3">
      <c r="A331">
        <v>1119</v>
      </c>
      <c r="B331" s="1">
        <v>45404</v>
      </c>
      <c r="C331">
        <v>2024</v>
      </c>
      <c r="D331">
        <v>4</v>
      </c>
      <c r="E331" t="str">
        <f t="shared" si="5"/>
        <v>April</v>
      </c>
      <c r="F331">
        <v>2</v>
      </c>
      <c r="G331" t="s">
        <v>1532</v>
      </c>
      <c r="H331" t="s">
        <v>1512</v>
      </c>
      <c r="I331" t="s">
        <v>1535</v>
      </c>
      <c r="J331" t="s">
        <v>1566</v>
      </c>
      <c r="K331" t="s">
        <v>1514</v>
      </c>
      <c r="L331" s="2">
        <v>1</v>
      </c>
      <c r="M331" s="10">
        <v>8543</v>
      </c>
      <c r="N331" s="7">
        <v>8543</v>
      </c>
    </row>
    <row r="332" spans="1:14" x14ac:dyDescent="0.3">
      <c r="A332">
        <v>1119</v>
      </c>
      <c r="B332" s="1">
        <v>45220</v>
      </c>
      <c r="C332">
        <v>2023</v>
      </c>
      <c r="D332">
        <v>10</v>
      </c>
      <c r="E332" t="str">
        <f t="shared" si="5"/>
        <v>Oktober</v>
      </c>
      <c r="F332">
        <v>4</v>
      </c>
      <c r="G332" t="s">
        <v>1532</v>
      </c>
      <c r="H332" t="s">
        <v>1512</v>
      </c>
      <c r="I332" t="s">
        <v>1535</v>
      </c>
      <c r="J332" t="s">
        <v>1566</v>
      </c>
      <c r="K332" t="s">
        <v>1514</v>
      </c>
      <c r="L332" s="2">
        <v>1</v>
      </c>
      <c r="M332" s="10">
        <v>8543</v>
      </c>
      <c r="N332" s="7">
        <v>8543</v>
      </c>
    </row>
    <row r="333" spans="1:14" x14ac:dyDescent="0.3">
      <c r="A333">
        <v>1119</v>
      </c>
      <c r="B333" s="1">
        <v>44716</v>
      </c>
      <c r="C333">
        <v>2022</v>
      </c>
      <c r="D333">
        <v>6</v>
      </c>
      <c r="E333" t="str">
        <f t="shared" si="5"/>
        <v>Juni</v>
      </c>
      <c r="F333">
        <v>2</v>
      </c>
      <c r="G333" t="s">
        <v>1532</v>
      </c>
      <c r="H333" t="s">
        <v>1512</v>
      </c>
      <c r="I333" t="s">
        <v>1535</v>
      </c>
      <c r="J333" t="s">
        <v>1566</v>
      </c>
      <c r="K333" t="s">
        <v>1514</v>
      </c>
      <c r="L333" s="2">
        <v>1</v>
      </c>
      <c r="M333" s="10">
        <v>8543</v>
      </c>
      <c r="N333" s="7">
        <v>8543</v>
      </c>
    </row>
    <row r="334" spans="1:14" x14ac:dyDescent="0.3">
      <c r="A334">
        <v>1121</v>
      </c>
      <c r="B334" s="1">
        <v>44641</v>
      </c>
      <c r="C334">
        <v>2022</v>
      </c>
      <c r="D334">
        <v>3</v>
      </c>
      <c r="E334" t="str">
        <f t="shared" si="5"/>
        <v>Maret</v>
      </c>
      <c r="F334">
        <v>1</v>
      </c>
      <c r="G334" t="s">
        <v>1511</v>
      </c>
      <c r="H334" t="s">
        <v>1512</v>
      </c>
      <c r="I334" t="s">
        <v>1516</v>
      </c>
      <c r="J334" t="s">
        <v>1566</v>
      </c>
      <c r="K334" t="s">
        <v>1525</v>
      </c>
      <c r="L334" s="2">
        <v>1</v>
      </c>
      <c r="M334" s="10">
        <v>51840</v>
      </c>
      <c r="N334" s="7">
        <v>51840</v>
      </c>
    </row>
    <row r="335" spans="1:14" x14ac:dyDescent="0.3">
      <c r="A335">
        <v>1121</v>
      </c>
      <c r="B335" s="1">
        <v>45612</v>
      </c>
      <c r="C335">
        <v>2024</v>
      </c>
      <c r="D335">
        <v>11</v>
      </c>
      <c r="E335" t="str">
        <f t="shared" si="5"/>
        <v>November</v>
      </c>
      <c r="F335">
        <v>4</v>
      </c>
      <c r="G335" t="s">
        <v>1511</v>
      </c>
      <c r="H335" t="s">
        <v>1512</v>
      </c>
      <c r="I335" t="s">
        <v>1516</v>
      </c>
      <c r="J335" t="s">
        <v>1566</v>
      </c>
      <c r="K335" t="s">
        <v>1525</v>
      </c>
      <c r="L335" s="2">
        <v>1</v>
      </c>
      <c r="M335" s="10">
        <v>51840</v>
      </c>
      <c r="N335" s="7">
        <v>51840</v>
      </c>
    </row>
    <row r="336" spans="1:14" x14ac:dyDescent="0.3">
      <c r="A336">
        <v>1122</v>
      </c>
      <c r="B336" s="1">
        <v>44928</v>
      </c>
      <c r="C336">
        <v>2023</v>
      </c>
      <c r="D336">
        <v>1</v>
      </c>
      <c r="E336" t="str">
        <f t="shared" si="5"/>
        <v>Januari</v>
      </c>
      <c r="F336">
        <v>1</v>
      </c>
      <c r="G336" t="s">
        <v>1515</v>
      </c>
      <c r="H336" t="s">
        <v>1512</v>
      </c>
      <c r="I336" t="s">
        <v>1513</v>
      </c>
      <c r="J336" t="s">
        <v>1566</v>
      </c>
      <c r="K336" t="s">
        <v>1525</v>
      </c>
      <c r="L336" s="2">
        <v>2</v>
      </c>
      <c r="M336" s="10">
        <v>4435</v>
      </c>
      <c r="N336" s="7">
        <v>8870</v>
      </c>
    </row>
    <row r="337" spans="1:14" x14ac:dyDescent="0.3">
      <c r="A337">
        <v>1122</v>
      </c>
      <c r="B337" s="1">
        <v>45309</v>
      </c>
      <c r="C337">
        <v>2024</v>
      </c>
      <c r="D337">
        <v>1</v>
      </c>
      <c r="E337" t="str">
        <f t="shared" si="5"/>
        <v>Januari</v>
      </c>
      <c r="F337">
        <v>1</v>
      </c>
      <c r="G337" t="s">
        <v>1515</v>
      </c>
      <c r="H337" t="s">
        <v>1512</v>
      </c>
      <c r="I337" t="s">
        <v>1513</v>
      </c>
      <c r="J337" t="s">
        <v>1566</v>
      </c>
      <c r="K337" t="s">
        <v>1525</v>
      </c>
      <c r="L337" s="2">
        <v>2</v>
      </c>
      <c r="M337" s="10">
        <v>4435</v>
      </c>
      <c r="N337" s="7">
        <v>8870</v>
      </c>
    </row>
    <row r="338" spans="1:14" x14ac:dyDescent="0.3">
      <c r="A338">
        <v>1122</v>
      </c>
      <c r="B338" s="1">
        <v>44671</v>
      </c>
      <c r="C338">
        <v>2022</v>
      </c>
      <c r="D338">
        <v>4</v>
      </c>
      <c r="E338" t="str">
        <f t="shared" si="5"/>
        <v>April</v>
      </c>
      <c r="F338">
        <v>2</v>
      </c>
      <c r="G338" t="s">
        <v>1515</v>
      </c>
      <c r="H338" t="s">
        <v>1512</v>
      </c>
      <c r="I338" t="s">
        <v>1513</v>
      </c>
      <c r="J338" t="s">
        <v>1566</v>
      </c>
      <c r="K338" t="s">
        <v>1525</v>
      </c>
      <c r="L338" s="2">
        <v>2</v>
      </c>
      <c r="M338" s="10">
        <v>4435</v>
      </c>
      <c r="N338" s="7">
        <v>8870</v>
      </c>
    </row>
    <row r="339" spans="1:14" x14ac:dyDescent="0.3">
      <c r="A339">
        <v>1122</v>
      </c>
      <c r="B339" s="1">
        <v>44697</v>
      </c>
      <c r="C339">
        <v>2022</v>
      </c>
      <c r="D339">
        <v>5</v>
      </c>
      <c r="E339" t="str">
        <f t="shared" si="5"/>
        <v>Mei</v>
      </c>
      <c r="F339">
        <v>2</v>
      </c>
      <c r="G339" t="s">
        <v>1515</v>
      </c>
      <c r="H339" t="s">
        <v>1512</v>
      </c>
      <c r="I339" t="s">
        <v>1513</v>
      </c>
      <c r="J339" t="s">
        <v>1566</v>
      </c>
      <c r="K339" t="s">
        <v>1525</v>
      </c>
      <c r="L339" s="2">
        <v>2</v>
      </c>
      <c r="M339" s="10">
        <v>4435</v>
      </c>
      <c r="N339" s="7">
        <v>8870</v>
      </c>
    </row>
    <row r="340" spans="1:14" x14ac:dyDescent="0.3">
      <c r="A340">
        <v>1122</v>
      </c>
      <c r="B340" s="1">
        <v>45207</v>
      </c>
      <c r="C340">
        <v>2023</v>
      </c>
      <c r="D340">
        <v>10</v>
      </c>
      <c r="E340" t="str">
        <f t="shared" si="5"/>
        <v>Oktober</v>
      </c>
      <c r="F340">
        <v>4</v>
      </c>
      <c r="G340" t="s">
        <v>1515</v>
      </c>
      <c r="H340" t="s">
        <v>1512</v>
      </c>
      <c r="I340" t="s">
        <v>1513</v>
      </c>
      <c r="J340" t="s">
        <v>1566</v>
      </c>
      <c r="K340" t="s">
        <v>1525</v>
      </c>
      <c r="L340" s="2">
        <v>2</v>
      </c>
      <c r="M340" s="10">
        <v>4435</v>
      </c>
      <c r="N340" s="7">
        <v>8870</v>
      </c>
    </row>
    <row r="341" spans="1:14" x14ac:dyDescent="0.3">
      <c r="A341">
        <v>1123</v>
      </c>
      <c r="B341" s="1">
        <v>45214</v>
      </c>
      <c r="C341">
        <v>2023</v>
      </c>
      <c r="D341">
        <v>10</v>
      </c>
      <c r="E341" t="str">
        <f t="shared" si="5"/>
        <v>Oktober</v>
      </c>
      <c r="F341">
        <v>4</v>
      </c>
      <c r="G341" t="s">
        <v>1534</v>
      </c>
      <c r="H341" t="s">
        <v>1530</v>
      </c>
      <c r="I341" t="s">
        <v>1513</v>
      </c>
      <c r="J341" t="s">
        <v>1566</v>
      </c>
      <c r="K341" t="s">
        <v>1514</v>
      </c>
      <c r="L341" s="2">
        <v>3</v>
      </c>
      <c r="M341" s="10">
        <v>2138</v>
      </c>
      <c r="N341" s="7">
        <v>6414</v>
      </c>
    </row>
    <row r="342" spans="1:14" x14ac:dyDescent="0.3">
      <c r="A342">
        <v>1123</v>
      </c>
      <c r="B342" s="1">
        <v>44870</v>
      </c>
      <c r="C342">
        <v>2022</v>
      </c>
      <c r="D342">
        <v>11</v>
      </c>
      <c r="E342" t="str">
        <f t="shared" si="5"/>
        <v>November</v>
      </c>
      <c r="F342">
        <v>4</v>
      </c>
      <c r="G342" t="s">
        <v>1534</v>
      </c>
      <c r="H342" t="s">
        <v>1530</v>
      </c>
      <c r="I342" t="s">
        <v>1513</v>
      </c>
      <c r="J342" t="s">
        <v>1566</v>
      </c>
      <c r="K342" t="s">
        <v>1514</v>
      </c>
      <c r="L342" s="2">
        <v>3</v>
      </c>
      <c r="M342" s="10">
        <v>2138</v>
      </c>
      <c r="N342" s="7">
        <v>6414</v>
      </c>
    </row>
    <row r="343" spans="1:14" x14ac:dyDescent="0.3">
      <c r="A343">
        <v>1124</v>
      </c>
      <c r="B343" s="1">
        <v>45121</v>
      </c>
      <c r="C343">
        <v>2023</v>
      </c>
      <c r="D343">
        <v>7</v>
      </c>
      <c r="E343" t="str">
        <f t="shared" si="5"/>
        <v>Juli</v>
      </c>
      <c r="F343">
        <v>3</v>
      </c>
      <c r="G343" t="s">
        <v>1519</v>
      </c>
      <c r="H343" t="s">
        <v>1520</v>
      </c>
      <c r="I343" t="s">
        <v>1528</v>
      </c>
      <c r="J343" t="s">
        <v>1566</v>
      </c>
      <c r="K343" t="s">
        <v>1514</v>
      </c>
      <c r="L343" s="2">
        <v>5</v>
      </c>
      <c r="M343" s="10">
        <v>5434</v>
      </c>
      <c r="N343" s="7">
        <v>27170</v>
      </c>
    </row>
    <row r="344" spans="1:14" x14ac:dyDescent="0.3">
      <c r="A344">
        <v>1124</v>
      </c>
      <c r="B344" s="1">
        <v>45261</v>
      </c>
      <c r="C344">
        <v>2023</v>
      </c>
      <c r="D344">
        <v>12</v>
      </c>
      <c r="E344" t="str">
        <f t="shared" si="5"/>
        <v>Desember</v>
      </c>
      <c r="F344">
        <v>4</v>
      </c>
      <c r="G344" t="s">
        <v>1519</v>
      </c>
      <c r="H344" t="s">
        <v>1520</v>
      </c>
      <c r="I344" t="s">
        <v>1528</v>
      </c>
      <c r="J344" t="s">
        <v>1566</v>
      </c>
      <c r="K344" t="s">
        <v>1514</v>
      </c>
      <c r="L344" s="2">
        <v>5</v>
      </c>
      <c r="M344" s="10">
        <v>5434</v>
      </c>
      <c r="N344" s="7">
        <v>27170</v>
      </c>
    </row>
    <row r="345" spans="1:14" x14ac:dyDescent="0.3">
      <c r="A345">
        <v>1125</v>
      </c>
      <c r="B345" s="1">
        <v>45264</v>
      </c>
      <c r="C345">
        <v>2023</v>
      </c>
      <c r="D345">
        <v>12</v>
      </c>
      <c r="E345" t="str">
        <f t="shared" si="5"/>
        <v>Desember</v>
      </c>
      <c r="F345">
        <v>4</v>
      </c>
      <c r="G345" t="s">
        <v>1522</v>
      </c>
      <c r="H345" t="s">
        <v>1520</v>
      </c>
      <c r="I345" t="s">
        <v>1513</v>
      </c>
      <c r="J345" t="s">
        <v>1566</v>
      </c>
      <c r="K345" t="s">
        <v>1518</v>
      </c>
      <c r="L345" s="2">
        <v>1</v>
      </c>
      <c r="M345" s="10">
        <v>961</v>
      </c>
      <c r="N345" s="7">
        <v>961</v>
      </c>
    </row>
    <row r="346" spans="1:14" x14ac:dyDescent="0.3">
      <c r="A346">
        <v>1125</v>
      </c>
      <c r="B346" s="1">
        <v>44749</v>
      </c>
      <c r="C346">
        <v>2022</v>
      </c>
      <c r="D346">
        <v>7</v>
      </c>
      <c r="E346" t="str">
        <f t="shared" si="5"/>
        <v>Juli</v>
      </c>
      <c r="F346">
        <v>3</v>
      </c>
      <c r="G346" t="s">
        <v>1522</v>
      </c>
      <c r="H346" t="s">
        <v>1520</v>
      </c>
      <c r="I346" t="s">
        <v>1513</v>
      </c>
      <c r="J346" t="s">
        <v>1566</v>
      </c>
      <c r="K346" t="s">
        <v>1518</v>
      </c>
      <c r="L346" s="2">
        <v>1</v>
      </c>
      <c r="M346" s="10">
        <v>961</v>
      </c>
      <c r="N346" s="7">
        <v>961</v>
      </c>
    </row>
    <row r="347" spans="1:14" x14ac:dyDescent="0.3">
      <c r="A347">
        <v>1125</v>
      </c>
      <c r="B347" s="1">
        <v>45160</v>
      </c>
      <c r="C347">
        <v>2023</v>
      </c>
      <c r="D347">
        <v>8</v>
      </c>
      <c r="E347" t="str">
        <f t="shared" si="5"/>
        <v>Agustus</v>
      </c>
      <c r="F347">
        <v>3</v>
      </c>
      <c r="G347" t="s">
        <v>1522</v>
      </c>
      <c r="H347" t="s">
        <v>1520</v>
      </c>
      <c r="I347" t="s">
        <v>1513</v>
      </c>
      <c r="J347" t="s">
        <v>1566</v>
      </c>
      <c r="K347" t="s">
        <v>1518</v>
      </c>
      <c r="L347" s="2">
        <v>1</v>
      </c>
      <c r="M347" s="10">
        <v>961</v>
      </c>
      <c r="N347" s="7">
        <v>961</v>
      </c>
    </row>
    <row r="348" spans="1:14" x14ac:dyDescent="0.3">
      <c r="A348">
        <v>1125</v>
      </c>
      <c r="B348" s="1">
        <v>44819</v>
      </c>
      <c r="C348">
        <v>2022</v>
      </c>
      <c r="D348">
        <v>9</v>
      </c>
      <c r="E348" t="str">
        <f t="shared" si="5"/>
        <v>September</v>
      </c>
      <c r="F348">
        <v>3</v>
      </c>
      <c r="G348" t="s">
        <v>1522</v>
      </c>
      <c r="H348" t="s">
        <v>1520</v>
      </c>
      <c r="I348" t="s">
        <v>1513</v>
      </c>
      <c r="J348" t="s">
        <v>1566</v>
      </c>
      <c r="K348" t="s">
        <v>1518</v>
      </c>
      <c r="L348" s="2">
        <v>1</v>
      </c>
      <c r="M348" s="10">
        <v>961</v>
      </c>
      <c r="N348" s="7">
        <v>961</v>
      </c>
    </row>
    <row r="349" spans="1:14" x14ac:dyDescent="0.3">
      <c r="A349">
        <v>1126</v>
      </c>
      <c r="B349" s="1">
        <v>44831</v>
      </c>
      <c r="C349">
        <v>2022</v>
      </c>
      <c r="D349">
        <v>9</v>
      </c>
      <c r="E349" t="str">
        <f t="shared" si="5"/>
        <v>September</v>
      </c>
      <c r="F349">
        <v>3</v>
      </c>
      <c r="G349" t="s">
        <v>1523</v>
      </c>
      <c r="H349" t="s">
        <v>1512</v>
      </c>
      <c r="I349" t="s">
        <v>1521</v>
      </c>
      <c r="J349" t="s">
        <v>1517</v>
      </c>
      <c r="K349" t="s">
        <v>1514</v>
      </c>
      <c r="L349" s="2">
        <v>2</v>
      </c>
      <c r="M349" s="10">
        <v>28891</v>
      </c>
      <c r="N349" s="7">
        <v>57782</v>
      </c>
    </row>
    <row r="350" spans="1:14" x14ac:dyDescent="0.3">
      <c r="A350">
        <v>1126</v>
      </c>
      <c r="B350" s="1">
        <v>45118</v>
      </c>
      <c r="C350">
        <v>2023</v>
      </c>
      <c r="D350">
        <v>7</v>
      </c>
      <c r="E350" t="str">
        <f t="shared" si="5"/>
        <v>Juli</v>
      </c>
      <c r="F350">
        <v>3</v>
      </c>
      <c r="G350" t="s">
        <v>1523</v>
      </c>
      <c r="H350" t="s">
        <v>1512</v>
      </c>
      <c r="I350" t="s">
        <v>1521</v>
      </c>
      <c r="J350" t="s">
        <v>1517</v>
      </c>
      <c r="K350" t="s">
        <v>1514</v>
      </c>
      <c r="L350" s="2">
        <v>2</v>
      </c>
      <c r="M350" s="10">
        <v>28891</v>
      </c>
      <c r="N350" s="7">
        <v>57782</v>
      </c>
    </row>
    <row r="351" spans="1:14" x14ac:dyDescent="0.3">
      <c r="A351">
        <v>1126</v>
      </c>
      <c r="B351" s="1">
        <v>45439</v>
      </c>
      <c r="C351">
        <v>2024</v>
      </c>
      <c r="D351">
        <v>5</v>
      </c>
      <c r="E351" t="str">
        <f t="shared" si="5"/>
        <v>Mei</v>
      </c>
      <c r="F351">
        <v>2</v>
      </c>
      <c r="G351" t="s">
        <v>1523</v>
      </c>
      <c r="H351" t="s">
        <v>1512</v>
      </c>
      <c r="I351" t="s">
        <v>1521</v>
      </c>
      <c r="J351" t="s">
        <v>1517</v>
      </c>
      <c r="K351" t="s">
        <v>1514</v>
      </c>
      <c r="L351" s="2">
        <v>2</v>
      </c>
      <c r="M351" s="10">
        <v>28891</v>
      </c>
      <c r="N351" s="7">
        <v>57782</v>
      </c>
    </row>
    <row r="352" spans="1:14" x14ac:dyDescent="0.3">
      <c r="A352">
        <v>1126</v>
      </c>
      <c r="B352" s="1">
        <v>44614</v>
      </c>
      <c r="C352">
        <v>2022</v>
      </c>
      <c r="D352">
        <v>2</v>
      </c>
      <c r="E352" t="str">
        <f t="shared" si="5"/>
        <v>Februari</v>
      </c>
      <c r="F352">
        <v>1</v>
      </c>
      <c r="G352" t="s">
        <v>1523</v>
      </c>
      <c r="H352" t="s">
        <v>1512</v>
      </c>
      <c r="I352" t="s">
        <v>1521</v>
      </c>
      <c r="J352" t="s">
        <v>1517</v>
      </c>
      <c r="K352" t="s">
        <v>1514</v>
      </c>
      <c r="L352" s="2">
        <v>2</v>
      </c>
      <c r="M352" s="10">
        <v>28891</v>
      </c>
      <c r="N352" s="7">
        <v>57782</v>
      </c>
    </row>
    <row r="353" spans="1:14" x14ac:dyDescent="0.3">
      <c r="A353">
        <v>1127</v>
      </c>
      <c r="B353" s="1">
        <v>45284</v>
      </c>
      <c r="C353">
        <v>2023</v>
      </c>
      <c r="D353">
        <v>12</v>
      </c>
      <c r="E353" t="str">
        <f t="shared" si="5"/>
        <v>Desember</v>
      </c>
      <c r="F353">
        <v>4</v>
      </c>
      <c r="G353" t="s">
        <v>1526</v>
      </c>
      <c r="H353" t="s">
        <v>1527</v>
      </c>
      <c r="I353" t="s">
        <v>1535</v>
      </c>
      <c r="J353" t="s">
        <v>1566</v>
      </c>
      <c r="K353" t="s">
        <v>1525</v>
      </c>
      <c r="L353" s="2">
        <v>3</v>
      </c>
      <c r="M353" s="10">
        <v>433</v>
      </c>
      <c r="N353" s="7">
        <v>1299</v>
      </c>
    </row>
    <row r="354" spans="1:14" x14ac:dyDescent="0.3">
      <c r="A354">
        <v>1127</v>
      </c>
      <c r="B354" s="1">
        <v>45178</v>
      </c>
      <c r="C354">
        <v>2023</v>
      </c>
      <c r="D354">
        <v>9</v>
      </c>
      <c r="E354" t="str">
        <f t="shared" si="5"/>
        <v>September</v>
      </c>
      <c r="F354">
        <v>3</v>
      </c>
      <c r="G354" t="s">
        <v>1526</v>
      </c>
      <c r="H354" t="s">
        <v>1527</v>
      </c>
      <c r="I354" t="s">
        <v>1535</v>
      </c>
      <c r="J354" t="s">
        <v>1566</v>
      </c>
      <c r="K354" t="s">
        <v>1525</v>
      </c>
      <c r="L354" s="2">
        <v>3</v>
      </c>
      <c r="M354" s="10">
        <v>433</v>
      </c>
      <c r="N354" s="7">
        <v>1299</v>
      </c>
    </row>
    <row r="355" spans="1:14" x14ac:dyDescent="0.3">
      <c r="A355">
        <v>1127</v>
      </c>
      <c r="B355" s="1">
        <v>45215</v>
      </c>
      <c r="C355">
        <v>2023</v>
      </c>
      <c r="D355">
        <v>10</v>
      </c>
      <c r="E355" t="str">
        <f t="shared" si="5"/>
        <v>Oktober</v>
      </c>
      <c r="F355">
        <v>4</v>
      </c>
      <c r="G355" t="s">
        <v>1526</v>
      </c>
      <c r="H355" t="s">
        <v>1527</v>
      </c>
      <c r="I355" t="s">
        <v>1535</v>
      </c>
      <c r="J355" t="s">
        <v>1566</v>
      </c>
      <c r="K355" t="s">
        <v>1525</v>
      </c>
      <c r="L355" s="2">
        <v>3</v>
      </c>
      <c r="M355" s="10">
        <v>433</v>
      </c>
      <c r="N355" s="7">
        <v>1299</v>
      </c>
    </row>
    <row r="356" spans="1:14" x14ac:dyDescent="0.3">
      <c r="A356">
        <v>1127</v>
      </c>
      <c r="B356" s="1">
        <v>45194</v>
      </c>
      <c r="C356">
        <v>2023</v>
      </c>
      <c r="D356">
        <v>9</v>
      </c>
      <c r="E356" t="str">
        <f t="shared" si="5"/>
        <v>September</v>
      </c>
      <c r="F356">
        <v>3</v>
      </c>
      <c r="G356" t="s">
        <v>1526</v>
      </c>
      <c r="H356" t="s">
        <v>1527</v>
      </c>
      <c r="I356" t="s">
        <v>1535</v>
      </c>
      <c r="J356" t="s">
        <v>1566</v>
      </c>
      <c r="K356" t="s">
        <v>1525</v>
      </c>
      <c r="L356" s="2">
        <v>3</v>
      </c>
      <c r="M356" s="10">
        <v>433</v>
      </c>
      <c r="N356" s="7">
        <v>1299</v>
      </c>
    </row>
    <row r="357" spans="1:14" x14ac:dyDescent="0.3">
      <c r="A357">
        <v>1128</v>
      </c>
      <c r="B357" s="1">
        <v>44916</v>
      </c>
      <c r="C357">
        <v>2022</v>
      </c>
      <c r="D357">
        <v>12</v>
      </c>
      <c r="E357" t="str">
        <f t="shared" si="5"/>
        <v>Desember</v>
      </c>
      <c r="F357">
        <v>4</v>
      </c>
      <c r="G357" t="s">
        <v>1529</v>
      </c>
      <c r="H357" t="s">
        <v>1530</v>
      </c>
      <c r="I357" t="s">
        <v>1535</v>
      </c>
      <c r="J357" t="s">
        <v>1566</v>
      </c>
      <c r="K357" t="s">
        <v>1525</v>
      </c>
      <c r="L357" s="2">
        <v>2</v>
      </c>
      <c r="M357" s="10">
        <v>912</v>
      </c>
      <c r="N357" s="7">
        <v>1824</v>
      </c>
    </row>
    <row r="358" spans="1:14" x14ac:dyDescent="0.3">
      <c r="A358">
        <v>1128</v>
      </c>
      <c r="B358" s="1">
        <v>45015</v>
      </c>
      <c r="C358">
        <v>2023</v>
      </c>
      <c r="D358">
        <v>3</v>
      </c>
      <c r="E358" t="str">
        <f t="shared" si="5"/>
        <v>Maret</v>
      </c>
      <c r="F358">
        <v>1</v>
      </c>
      <c r="G358" t="s">
        <v>1529</v>
      </c>
      <c r="H358" t="s">
        <v>1530</v>
      </c>
      <c r="I358" t="s">
        <v>1535</v>
      </c>
      <c r="J358" t="s">
        <v>1566</v>
      </c>
      <c r="K358" t="s">
        <v>1525</v>
      </c>
      <c r="L358" s="2">
        <v>2</v>
      </c>
      <c r="M358" s="10">
        <v>912</v>
      </c>
      <c r="N358" s="7">
        <v>1824</v>
      </c>
    </row>
    <row r="359" spans="1:14" x14ac:dyDescent="0.3">
      <c r="A359">
        <v>1129</v>
      </c>
      <c r="B359" s="1">
        <v>45288</v>
      </c>
      <c r="C359">
        <v>2023</v>
      </c>
      <c r="D359">
        <v>12</v>
      </c>
      <c r="E359" t="str">
        <f t="shared" si="5"/>
        <v>Desember</v>
      </c>
      <c r="F359">
        <v>4</v>
      </c>
      <c r="G359" t="s">
        <v>1532</v>
      </c>
      <c r="H359" t="s">
        <v>1512</v>
      </c>
      <c r="I359" t="s">
        <v>1513</v>
      </c>
      <c r="J359" t="s">
        <v>1517</v>
      </c>
      <c r="K359" t="s">
        <v>1514</v>
      </c>
      <c r="L359" s="2">
        <v>2</v>
      </c>
      <c r="M359" s="10">
        <v>12792</v>
      </c>
      <c r="N359" s="7">
        <v>25584</v>
      </c>
    </row>
    <row r="360" spans="1:14" x14ac:dyDescent="0.3">
      <c r="A360">
        <v>1130</v>
      </c>
      <c r="B360" s="1">
        <v>45111</v>
      </c>
      <c r="C360">
        <v>2023</v>
      </c>
      <c r="D360">
        <v>7</v>
      </c>
      <c r="E360" t="str">
        <f t="shared" si="5"/>
        <v>Juli</v>
      </c>
      <c r="F360">
        <v>3</v>
      </c>
      <c r="G360" t="s">
        <v>1533</v>
      </c>
      <c r="H360" t="s">
        <v>1520</v>
      </c>
      <c r="I360" t="s">
        <v>1531</v>
      </c>
      <c r="J360" t="s">
        <v>1517</v>
      </c>
      <c r="K360" t="s">
        <v>1525</v>
      </c>
      <c r="L360" s="2">
        <v>3</v>
      </c>
      <c r="M360" s="10">
        <v>150</v>
      </c>
      <c r="N360" s="7">
        <v>450</v>
      </c>
    </row>
    <row r="361" spans="1:14" x14ac:dyDescent="0.3">
      <c r="A361">
        <v>1130</v>
      </c>
      <c r="B361" s="1">
        <v>44821</v>
      </c>
      <c r="C361">
        <v>2022</v>
      </c>
      <c r="D361">
        <v>9</v>
      </c>
      <c r="E361" t="str">
        <f t="shared" si="5"/>
        <v>September</v>
      </c>
      <c r="F361">
        <v>3</v>
      </c>
      <c r="G361" t="s">
        <v>1533</v>
      </c>
      <c r="H361" t="s">
        <v>1520</v>
      </c>
      <c r="I361" t="s">
        <v>1531</v>
      </c>
      <c r="J361" t="s">
        <v>1517</v>
      </c>
      <c r="K361" t="s">
        <v>1525</v>
      </c>
      <c r="L361" s="2">
        <v>3</v>
      </c>
      <c r="M361" s="10">
        <v>150</v>
      </c>
      <c r="N361" s="7">
        <v>450</v>
      </c>
    </row>
    <row r="362" spans="1:14" x14ac:dyDescent="0.3">
      <c r="A362">
        <v>1131</v>
      </c>
      <c r="B362" s="1">
        <v>45627</v>
      </c>
      <c r="C362">
        <v>2024</v>
      </c>
      <c r="D362">
        <v>12</v>
      </c>
      <c r="E362" t="str">
        <f t="shared" si="5"/>
        <v>Desember</v>
      </c>
      <c r="F362">
        <v>4</v>
      </c>
      <c r="G362" t="s">
        <v>1511</v>
      </c>
      <c r="H362" t="s">
        <v>1512</v>
      </c>
      <c r="I362" t="s">
        <v>1528</v>
      </c>
      <c r="J362" t="s">
        <v>1517</v>
      </c>
      <c r="K362" t="s">
        <v>1514</v>
      </c>
      <c r="L362" s="2">
        <v>1</v>
      </c>
      <c r="M362" s="10">
        <v>61259</v>
      </c>
      <c r="N362" s="7">
        <v>61259</v>
      </c>
    </row>
    <row r="363" spans="1:14" x14ac:dyDescent="0.3">
      <c r="A363">
        <v>1132</v>
      </c>
      <c r="B363" s="1">
        <v>45011</v>
      </c>
      <c r="C363">
        <v>2023</v>
      </c>
      <c r="D363">
        <v>3</v>
      </c>
      <c r="E363" t="str">
        <f t="shared" si="5"/>
        <v>Maret</v>
      </c>
      <c r="F363">
        <v>1</v>
      </c>
      <c r="G363" t="s">
        <v>1515</v>
      </c>
      <c r="H363" t="s">
        <v>1512</v>
      </c>
      <c r="I363" t="s">
        <v>1513</v>
      </c>
      <c r="J363" t="s">
        <v>1566</v>
      </c>
      <c r="K363" t="s">
        <v>1514</v>
      </c>
      <c r="L363" s="2">
        <v>1</v>
      </c>
      <c r="M363" s="10">
        <v>2998</v>
      </c>
      <c r="N363" s="7">
        <v>2998</v>
      </c>
    </row>
    <row r="364" spans="1:14" x14ac:dyDescent="0.3">
      <c r="A364">
        <v>1132</v>
      </c>
      <c r="B364" s="1">
        <v>44978</v>
      </c>
      <c r="C364">
        <v>2023</v>
      </c>
      <c r="D364">
        <v>2</v>
      </c>
      <c r="E364" t="str">
        <f t="shared" si="5"/>
        <v>Februari</v>
      </c>
      <c r="F364">
        <v>1</v>
      </c>
      <c r="G364" t="s">
        <v>1515</v>
      </c>
      <c r="H364" t="s">
        <v>1512</v>
      </c>
      <c r="I364" t="s">
        <v>1513</v>
      </c>
      <c r="J364" t="s">
        <v>1566</v>
      </c>
      <c r="K364" t="s">
        <v>1514</v>
      </c>
      <c r="L364" s="2">
        <v>1</v>
      </c>
      <c r="M364" s="10">
        <v>2998</v>
      </c>
      <c r="N364" s="7">
        <v>2998</v>
      </c>
    </row>
    <row r="365" spans="1:14" x14ac:dyDescent="0.3">
      <c r="A365">
        <v>1133</v>
      </c>
      <c r="B365" s="1">
        <v>45246</v>
      </c>
      <c r="C365">
        <v>2023</v>
      </c>
      <c r="D365">
        <v>11</v>
      </c>
      <c r="E365" t="str">
        <f t="shared" si="5"/>
        <v>November</v>
      </c>
      <c r="F365">
        <v>4</v>
      </c>
      <c r="G365" t="s">
        <v>1534</v>
      </c>
      <c r="H365" t="s">
        <v>1530</v>
      </c>
      <c r="I365" t="s">
        <v>1528</v>
      </c>
      <c r="J365" t="s">
        <v>1517</v>
      </c>
      <c r="K365" t="s">
        <v>1518</v>
      </c>
      <c r="L365" s="2">
        <v>3</v>
      </c>
      <c r="M365" s="10">
        <v>1682</v>
      </c>
      <c r="N365" s="7">
        <v>5046</v>
      </c>
    </row>
    <row r="366" spans="1:14" x14ac:dyDescent="0.3">
      <c r="A366">
        <v>1133</v>
      </c>
      <c r="B366" s="1">
        <v>45416</v>
      </c>
      <c r="C366">
        <v>2024</v>
      </c>
      <c r="D366">
        <v>5</v>
      </c>
      <c r="E366" t="str">
        <f t="shared" si="5"/>
        <v>Mei</v>
      </c>
      <c r="F366">
        <v>2</v>
      </c>
      <c r="G366" t="s">
        <v>1534</v>
      </c>
      <c r="H366" t="s">
        <v>1530</v>
      </c>
      <c r="I366" t="s">
        <v>1528</v>
      </c>
      <c r="J366" t="s">
        <v>1517</v>
      </c>
      <c r="K366" t="s">
        <v>1518</v>
      </c>
      <c r="L366" s="2">
        <v>3</v>
      </c>
      <c r="M366" s="10">
        <v>1682</v>
      </c>
      <c r="N366" s="7">
        <v>5046</v>
      </c>
    </row>
    <row r="367" spans="1:14" x14ac:dyDescent="0.3">
      <c r="A367">
        <v>1133</v>
      </c>
      <c r="B367" s="1">
        <v>45442</v>
      </c>
      <c r="C367">
        <v>2024</v>
      </c>
      <c r="D367">
        <v>5</v>
      </c>
      <c r="E367" t="str">
        <f t="shared" si="5"/>
        <v>Mei</v>
      </c>
      <c r="F367">
        <v>2</v>
      </c>
      <c r="G367" t="s">
        <v>1534</v>
      </c>
      <c r="H367" t="s">
        <v>1530</v>
      </c>
      <c r="I367" t="s">
        <v>1528</v>
      </c>
      <c r="J367" t="s">
        <v>1517</v>
      </c>
      <c r="K367" t="s">
        <v>1518</v>
      </c>
      <c r="L367" s="2">
        <v>3</v>
      </c>
      <c r="M367" s="10">
        <v>1682</v>
      </c>
      <c r="N367" s="7">
        <v>5046</v>
      </c>
    </row>
    <row r="368" spans="1:14" x14ac:dyDescent="0.3">
      <c r="A368">
        <v>1134</v>
      </c>
      <c r="B368" s="1">
        <v>44907</v>
      </c>
      <c r="C368">
        <v>2022</v>
      </c>
      <c r="D368">
        <v>12</v>
      </c>
      <c r="E368" t="str">
        <f t="shared" si="5"/>
        <v>Desember</v>
      </c>
      <c r="F368">
        <v>4</v>
      </c>
      <c r="G368" t="s">
        <v>1519</v>
      </c>
      <c r="H368" t="s">
        <v>1520</v>
      </c>
      <c r="I368" t="s">
        <v>1513</v>
      </c>
      <c r="J368" t="s">
        <v>1566</v>
      </c>
      <c r="K368" t="s">
        <v>1518</v>
      </c>
      <c r="L368" s="2">
        <v>1</v>
      </c>
      <c r="M368" s="10">
        <v>12576</v>
      </c>
      <c r="N368" s="7">
        <v>12576</v>
      </c>
    </row>
    <row r="369" spans="1:14" x14ac:dyDescent="0.3">
      <c r="A369">
        <v>1134</v>
      </c>
      <c r="B369" s="1">
        <v>44591</v>
      </c>
      <c r="C369">
        <v>2022</v>
      </c>
      <c r="D369">
        <v>1</v>
      </c>
      <c r="E369" t="str">
        <f t="shared" si="5"/>
        <v>Januari</v>
      </c>
      <c r="F369">
        <v>1</v>
      </c>
      <c r="G369" t="s">
        <v>1519</v>
      </c>
      <c r="H369" t="s">
        <v>1520</v>
      </c>
      <c r="I369" t="s">
        <v>1513</v>
      </c>
      <c r="J369" t="s">
        <v>1566</v>
      </c>
      <c r="K369" t="s">
        <v>1518</v>
      </c>
      <c r="L369" s="2">
        <v>1</v>
      </c>
      <c r="M369" s="10">
        <v>12576</v>
      </c>
      <c r="N369" s="7">
        <v>12576</v>
      </c>
    </row>
    <row r="370" spans="1:14" x14ac:dyDescent="0.3">
      <c r="A370">
        <v>1134</v>
      </c>
      <c r="B370" s="1">
        <v>45045</v>
      </c>
      <c r="C370">
        <v>2023</v>
      </c>
      <c r="D370">
        <v>4</v>
      </c>
      <c r="E370" t="str">
        <f t="shared" si="5"/>
        <v>April</v>
      </c>
      <c r="F370">
        <v>2</v>
      </c>
      <c r="G370" t="s">
        <v>1519</v>
      </c>
      <c r="H370" t="s">
        <v>1520</v>
      </c>
      <c r="I370" t="s">
        <v>1513</v>
      </c>
      <c r="J370" t="s">
        <v>1566</v>
      </c>
      <c r="K370" t="s">
        <v>1518</v>
      </c>
      <c r="L370" s="2">
        <v>1</v>
      </c>
      <c r="M370" s="10">
        <v>12576</v>
      </c>
      <c r="N370" s="7">
        <v>12576</v>
      </c>
    </row>
    <row r="371" spans="1:14" x14ac:dyDescent="0.3">
      <c r="A371">
        <v>1135</v>
      </c>
      <c r="B371" s="1">
        <v>45144</v>
      </c>
      <c r="C371">
        <v>2023</v>
      </c>
      <c r="D371">
        <v>8</v>
      </c>
      <c r="E371" t="str">
        <f t="shared" si="5"/>
        <v>Agustus</v>
      </c>
      <c r="F371">
        <v>3</v>
      </c>
      <c r="G371" t="s">
        <v>1522</v>
      </c>
      <c r="H371" t="s">
        <v>1520</v>
      </c>
      <c r="I371" t="s">
        <v>1535</v>
      </c>
      <c r="J371" t="s">
        <v>1524</v>
      </c>
      <c r="K371" t="s">
        <v>1525</v>
      </c>
      <c r="L371" s="2">
        <v>1</v>
      </c>
      <c r="M371" s="10">
        <v>740</v>
      </c>
      <c r="N371" s="7">
        <v>740</v>
      </c>
    </row>
    <row r="372" spans="1:14" x14ac:dyDescent="0.3">
      <c r="A372">
        <v>1135</v>
      </c>
      <c r="B372" s="1">
        <v>45267</v>
      </c>
      <c r="C372">
        <v>2023</v>
      </c>
      <c r="D372">
        <v>12</v>
      </c>
      <c r="E372" t="str">
        <f t="shared" si="5"/>
        <v>Desember</v>
      </c>
      <c r="F372">
        <v>4</v>
      </c>
      <c r="G372" t="s">
        <v>1522</v>
      </c>
      <c r="H372" t="s">
        <v>1520</v>
      </c>
      <c r="I372" t="s">
        <v>1535</v>
      </c>
      <c r="J372" t="s">
        <v>1524</v>
      </c>
      <c r="K372" t="s">
        <v>1525</v>
      </c>
      <c r="L372" s="2">
        <v>1</v>
      </c>
      <c r="M372" s="10">
        <v>740</v>
      </c>
      <c r="N372" s="7">
        <v>740</v>
      </c>
    </row>
    <row r="373" spans="1:14" x14ac:dyDescent="0.3">
      <c r="A373">
        <v>1135</v>
      </c>
      <c r="B373" s="1">
        <v>44590</v>
      </c>
      <c r="C373">
        <v>2022</v>
      </c>
      <c r="D373">
        <v>1</v>
      </c>
      <c r="E373" t="str">
        <f t="shared" si="5"/>
        <v>Januari</v>
      </c>
      <c r="F373">
        <v>1</v>
      </c>
      <c r="G373" t="s">
        <v>1522</v>
      </c>
      <c r="H373" t="s">
        <v>1520</v>
      </c>
      <c r="I373" t="s">
        <v>1535</v>
      </c>
      <c r="J373" t="s">
        <v>1524</v>
      </c>
      <c r="K373" t="s">
        <v>1525</v>
      </c>
      <c r="L373" s="2">
        <v>1</v>
      </c>
      <c r="M373" s="10">
        <v>740</v>
      </c>
      <c r="N373" s="7">
        <v>740</v>
      </c>
    </row>
    <row r="374" spans="1:14" x14ac:dyDescent="0.3">
      <c r="A374">
        <v>1135</v>
      </c>
      <c r="B374" s="1">
        <v>45432</v>
      </c>
      <c r="C374">
        <v>2024</v>
      </c>
      <c r="D374">
        <v>5</v>
      </c>
      <c r="E374" t="str">
        <f t="shared" si="5"/>
        <v>Mei</v>
      </c>
      <c r="F374">
        <v>2</v>
      </c>
      <c r="G374" t="s">
        <v>1522</v>
      </c>
      <c r="H374" t="s">
        <v>1520</v>
      </c>
      <c r="I374" t="s">
        <v>1535</v>
      </c>
      <c r="J374" t="s">
        <v>1524</v>
      </c>
      <c r="K374" t="s">
        <v>1525</v>
      </c>
      <c r="L374" s="2">
        <v>1</v>
      </c>
      <c r="M374" s="10">
        <v>740</v>
      </c>
      <c r="N374" s="7">
        <v>740</v>
      </c>
    </row>
    <row r="375" spans="1:14" x14ac:dyDescent="0.3">
      <c r="A375">
        <v>1136</v>
      </c>
      <c r="B375" s="1">
        <v>45277</v>
      </c>
      <c r="C375">
        <v>2023</v>
      </c>
      <c r="D375">
        <v>12</v>
      </c>
      <c r="E375" t="str">
        <f t="shared" si="5"/>
        <v>Desember</v>
      </c>
      <c r="F375">
        <v>4</v>
      </c>
      <c r="G375" t="s">
        <v>1523</v>
      </c>
      <c r="H375" t="s">
        <v>1512</v>
      </c>
      <c r="I375" t="s">
        <v>1528</v>
      </c>
      <c r="J375" t="s">
        <v>1517</v>
      </c>
      <c r="K375" t="s">
        <v>1518</v>
      </c>
      <c r="L375" s="2">
        <v>2</v>
      </c>
      <c r="M375" s="10">
        <v>38690</v>
      </c>
      <c r="N375" s="7">
        <v>77380</v>
      </c>
    </row>
    <row r="376" spans="1:14" x14ac:dyDescent="0.3">
      <c r="A376">
        <v>1136</v>
      </c>
      <c r="B376" s="1">
        <v>45647</v>
      </c>
      <c r="C376">
        <v>2024</v>
      </c>
      <c r="D376">
        <v>12</v>
      </c>
      <c r="E376" t="str">
        <f t="shared" si="5"/>
        <v>Desember</v>
      </c>
      <c r="F376">
        <v>4</v>
      </c>
      <c r="G376" t="s">
        <v>1523</v>
      </c>
      <c r="H376" t="s">
        <v>1512</v>
      </c>
      <c r="I376" t="s">
        <v>1528</v>
      </c>
      <c r="J376" t="s">
        <v>1517</v>
      </c>
      <c r="K376" t="s">
        <v>1518</v>
      </c>
      <c r="L376" s="2">
        <v>2</v>
      </c>
      <c r="M376" s="10">
        <v>38690</v>
      </c>
      <c r="N376" s="7">
        <v>77380</v>
      </c>
    </row>
    <row r="377" spans="1:14" x14ac:dyDescent="0.3">
      <c r="A377">
        <v>1136</v>
      </c>
      <c r="B377" s="1">
        <v>44618</v>
      </c>
      <c r="C377">
        <v>2022</v>
      </c>
      <c r="D377">
        <v>2</v>
      </c>
      <c r="E377" t="str">
        <f t="shared" si="5"/>
        <v>Februari</v>
      </c>
      <c r="F377">
        <v>1</v>
      </c>
      <c r="G377" t="s">
        <v>1523</v>
      </c>
      <c r="H377" t="s">
        <v>1512</v>
      </c>
      <c r="I377" t="s">
        <v>1528</v>
      </c>
      <c r="J377" t="s">
        <v>1517</v>
      </c>
      <c r="K377" t="s">
        <v>1518</v>
      </c>
      <c r="L377" s="2">
        <v>2</v>
      </c>
      <c r="M377" s="10">
        <v>38690</v>
      </c>
      <c r="N377" s="7">
        <v>77380</v>
      </c>
    </row>
    <row r="378" spans="1:14" x14ac:dyDescent="0.3">
      <c r="A378">
        <v>1137</v>
      </c>
      <c r="B378" s="1">
        <v>44862</v>
      </c>
      <c r="C378">
        <v>2022</v>
      </c>
      <c r="D378">
        <v>10</v>
      </c>
      <c r="E378" t="str">
        <f t="shared" si="5"/>
        <v>Oktober</v>
      </c>
      <c r="F378">
        <v>4</v>
      </c>
      <c r="G378" t="s">
        <v>1526</v>
      </c>
      <c r="H378" t="s">
        <v>1527</v>
      </c>
      <c r="I378" t="s">
        <v>1535</v>
      </c>
      <c r="J378" t="s">
        <v>1524</v>
      </c>
      <c r="K378" t="s">
        <v>1514</v>
      </c>
      <c r="L378" s="2">
        <v>1</v>
      </c>
      <c r="M378" s="10">
        <v>309</v>
      </c>
      <c r="N378" s="7">
        <v>309</v>
      </c>
    </row>
    <row r="379" spans="1:14" x14ac:dyDescent="0.3">
      <c r="A379">
        <v>1137</v>
      </c>
      <c r="B379" s="1">
        <v>44572</v>
      </c>
      <c r="C379">
        <v>2022</v>
      </c>
      <c r="D379">
        <v>1</v>
      </c>
      <c r="E379" t="str">
        <f t="shared" si="5"/>
        <v>Januari</v>
      </c>
      <c r="F379">
        <v>1</v>
      </c>
      <c r="G379" t="s">
        <v>1526</v>
      </c>
      <c r="H379" t="s">
        <v>1527</v>
      </c>
      <c r="I379" t="s">
        <v>1535</v>
      </c>
      <c r="J379" t="s">
        <v>1524</v>
      </c>
      <c r="K379" t="s">
        <v>1514</v>
      </c>
      <c r="L379" s="2">
        <v>1</v>
      </c>
      <c r="M379" s="10">
        <v>309</v>
      </c>
      <c r="N379" s="7">
        <v>309</v>
      </c>
    </row>
    <row r="380" spans="1:14" x14ac:dyDescent="0.3">
      <c r="A380">
        <v>1137</v>
      </c>
      <c r="B380" s="1">
        <v>45192</v>
      </c>
      <c r="C380">
        <v>2023</v>
      </c>
      <c r="D380">
        <v>9</v>
      </c>
      <c r="E380" t="str">
        <f t="shared" si="5"/>
        <v>September</v>
      </c>
      <c r="F380">
        <v>3</v>
      </c>
      <c r="G380" t="s">
        <v>1526</v>
      </c>
      <c r="H380" t="s">
        <v>1527</v>
      </c>
      <c r="I380" t="s">
        <v>1535</v>
      </c>
      <c r="J380" t="s">
        <v>1524</v>
      </c>
      <c r="K380" t="s">
        <v>1514</v>
      </c>
      <c r="L380" s="2">
        <v>1</v>
      </c>
      <c r="M380" s="10">
        <v>309</v>
      </c>
      <c r="N380" s="7">
        <v>309</v>
      </c>
    </row>
    <row r="381" spans="1:14" x14ac:dyDescent="0.3">
      <c r="A381">
        <v>1138</v>
      </c>
      <c r="B381" s="1">
        <v>45404</v>
      </c>
      <c r="C381">
        <v>2024</v>
      </c>
      <c r="D381">
        <v>4</v>
      </c>
      <c r="E381" t="str">
        <f t="shared" si="5"/>
        <v>April</v>
      </c>
      <c r="F381">
        <v>2</v>
      </c>
      <c r="G381" t="s">
        <v>1529</v>
      </c>
      <c r="H381" t="s">
        <v>1530</v>
      </c>
      <c r="I381" t="s">
        <v>1528</v>
      </c>
      <c r="J381" t="s">
        <v>1524</v>
      </c>
      <c r="K381" t="s">
        <v>1518</v>
      </c>
      <c r="L381" s="2">
        <v>3</v>
      </c>
      <c r="M381" s="10">
        <v>1670</v>
      </c>
      <c r="N381" s="7">
        <v>5010</v>
      </c>
    </row>
    <row r="382" spans="1:14" x14ac:dyDescent="0.3">
      <c r="A382">
        <v>1138</v>
      </c>
      <c r="B382" s="1">
        <v>45057</v>
      </c>
      <c r="C382">
        <v>2023</v>
      </c>
      <c r="D382">
        <v>5</v>
      </c>
      <c r="E382" t="str">
        <f t="shared" si="5"/>
        <v>Mei</v>
      </c>
      <c r="F382">
        <v>2</v>
      </c>
      <c r="G382" t="s">
        <v>1529</v>
      </c>
      <c r="H382" t="s">
        <v>1530</v>
      </c>
      <c r="I382" t="s">
        <v>1528</v>
      </c>
      <c r="J382" t="s">
        <v>1524</v>
      </c>
      <c r="K382" t="s">
        <v>1518</v>
      </c>
      <c r="L382" s="2">
        <v>3</v>
      </c>
      <c r="M382" s="10">
        <v>1670</v>
      </c>
      <c r="N382" s="7">
        <v>5010</v>
      </c>
    </row>
    <row r="383" spans="1:14" x14ac:dyDescent="0.3">
      <c r="A383">
        <v>1138</v>
      </c>
      <c r="B383" s="1">
        <v>45166</v>
      </c>
      <c r="C383">
        <v>2023</v>
      </c>
      <c r="D383">
        <v>8</v>
      </c>
      <c r="E383" t="str">
        <f t="shared" si="5"/>
        <v>Agustus</v>
      </c>
      <c r="F383">
        <v>3</v>
      </c>
      <c r="G383" t="s">
        <v>1529</v>
      </c>
      <c r="H383" t="s">
        <v>1530</v>
      </c>
      <c r="I383" t="s">
        <v>1528</v>
      </c>
      <c r="J383" t="s">
        <v>1524</v>
      </c>
      <c r="K383" t="s">
        <v>1518</v>
      </c>
      <c r="L383" s="2">
        <v>3</v>
      </c>
      <c r="M383" s="10">
        <v>1670</v>
      </c>
      <c r="N383" s="7">
        <v>5010</v>
      </c>
    </row>
    <row r="384" spans="1:14" x14ac:dyDescent="0.3">
      <c r="A384">
        <v>1139</v>
      </c>
      <c r="B384" s="1">
        <v>44600</v>
      </c>
      <c r="C384">
        <v>2022</v>
      </c>
      <c r="D384">
        <v>2</v>
      </c>
      <c r="E384" t="str">
        <f t="shared" si="5"/>
        <v>Februari</v>
      </c>
      <c r="F384">
        <v>1</v>
      </c>
      <c r="G384" t="s">
        <v>1532</v>
      </c>
      <c r="H384" t="s">
        <v>1512</v>
      </c>
      <c r="I384" t="s">
        <v>1521</v>
      </c>
      <c r="J384" t="s">
        <v>1566</v>
      </c>
      <c r="K384" t="s">
        <v>1514</v>
      </c>
      <c r="L384" s="2">
        <v>1</v>
      </c>
      <c r="M384" s="10">
        <v>13908</v>
      </c>
      <c r="N384" s="7">
        <v>13908</v>
      </c>
    </row>
    <row r="385" spans="1:14" x14ac:dyDescent="0.3">
      <c r="A385">
        <v>1139</v>
      </c>
      <c r="B385" s="1">
        <v>44701</v>
      </c>
      <c r="C385">
        <v>2022</v>
      </c>
      <c r="D385">
        <v>5</v>
      </c>
      <c r="E385" t="str">
        <f t="shared" si="5"/>
        <v>Mei</v>
      </c>
      <c r="F385">
        <v>2</v>
      </c>
      <c r="G385" t="s">
        <v>1532</v>
      </c>
      <c r="H385" t="s">
        <v>1512</v>
      </c>
      <c r="I385" t="s">
        <v>1521</v>
      </c>
      <c r="J385" t="s">
        <v>1566</v>
      </c>
      <c r="K385" t="s">
        <v>1514</v>
      </c>
      <c r="L385" s="2">
        <v>1</v>
      </c>
      <c r="M385" s="10">
        <v>13908</v>
      </c>
      <c r="N385" s="7">
        <v>13908</v>
      </c>
    </row>
    <row r="386" spans="1:14" x14ac:dyDescent="0.3">
      <c r="A386">
        <v>1139</v>
      </c>
      <c r="B386" s="1">
        <v>44585</v>
      </c>
      <c r="C386">
        <v>2022</v>
      </c>
      <c r="D386">
        <v>1</v>
      </c>
      <c r="E386" t="str">
        <f t="shared" si="5"/>
        <v>Januari</v>
      </c>
      <c r="F386">
        <v>1</v>
      </c>
      <c r="G386" t="s">
        <v>1532</v>
      </c>
      <c r="H386" t="s">
        <v>1512</v>
      </c>
      <c r="I386" t="s">
        <v>1521</v>
      </c>
      <c r="J386" t="s">
        <v>1566</v>
      </c>
      <c r="K386" t="s">
        <v>1514</v>
      </c>
      <c r="L386" s="2">
        <v>1</v>
      </c>
      <c r="M386" s="10">
        <v>13908</v>
      </c>
      <c r="N386" s="7">
        <v>13908</v>
      </c>
    </row>
    <row r="387" spans="1:14" x14ac:dyDescent="0.3">
      <c r="A387">
        <v>1140</v>
      </c>
      <c r="B387" s="1">
        <v>45207</v>
      </c>
      <c r="C387">
        <v>2023</v>
      </c>
      <c r="D387">
        <v>10</v>
      </c>
      <c r="E387" t="str">
        <f t="shared" ref="E387:E450" si="6">TEXT(DATE(2026, D387, 1), "[$-id-ID]mmmm")</f>
        <v>Oktober</v>
      </c>
      <c r="F387">
        <v>4</v>
      </c>
      <c r="G387" t="s">
        <v>1533</v>
      </c>
      <c r="H387" t="s">
        <v>1520</v>
      </c>
      <c r="I387" t="s">
        <v>1521</v>
      </c>
      <c r="J387" t="s">
        <v>1517</v>
      </c>
      <c r="K387" t="s">
        <v>1525</v>
      </c>
      <c r="L387" s="2">
        <v>1</v>
      </c>
      <c r="M387" s="10">
        <v>619</v>
      </c>
      <c r="N387" s="7">
        <v>619</v>
      </c>
    </row>
    <row r="388" spans="1:14" x14ac:dyDescent="0.3">
      <c r="A388">
        <v>1140</v>
      </c>
      <c r="B388" s="1">
        <v>45191</v>
      </c>
      <c r="C388">
        <v>2023</v>
      </c>
      <c r="D388">
        <v>9</v>
      </c>
      <c r="E388" t="str">
        <f t="shared" si="6"/>
        <v>September</v>
      </c>
      <c r="F388">
        <v>3</v>
      </c>
      <c r="G388" t="s">
        <v>1533</v>
      </c>
      <c r="H388" t="s">
        <v>1520</v>
      </c>
      <c r="I388" t="s">
        <v>1521</v>
      </c>
      <c r="J388" t="s">
        <v>1517</v>
      </c>
      <c r="K388" t="s">
        <v>1525</v>
      </c>
      <c r="L388" s="2">
        <v>1</v>
      </c>
      <c r="M388" s="10">
        <v>619</v>
      </c>
      <c r="N388" s="7">
        <v>619</v>
      </c>
    </row>
    <row r="389" spans="1:14" x14ac:dyDescent="0.3">
      <c r="A389">
        <v>1140</v>
      </c>
      <c r="B389" s="1">
        <v>45207</v>
      </c>
      <c r="C389">
        <v>2023</v>
      </c>
      <c r="D389">
        <v>10</v>
      </c>
      <c r="E389" t="str">
        <f t="shared" si="6"/>
        <v>Oktober</v>
      </c>
      <c r="F389">
        <v>4</v>
      </c>
      <c r="G389" t="s">
        <v>1533</v>
      </c>
      <c r="H389" t="s">
        <v>1520</v>
      </c>
      <c r="I389" t="s">
        <v>1521</v>
      </c>
      <c r="J389" t="s">
        <v>1517</v>
      </c>
      <c r="K389" t="s">
        <v>1525</v>
      </c>
      <c r="L389" s="2">
        <v>1</v>
      </c>
      <c r="M389" s="10">
        <v>619</v>
      </c>
      <c r="N389" s="7">
        <v>619</v>
      </c>
    </row>
    <row r="390" spans="1:14" x14ac:dyDescent="0.3">
      <c r="A390">
        <v>1141</v>
      </c>
      <c r="B390" s="1">
        <v>44570</v>
      </c>
      <c r="C390">
        <v>2022</v>
      </c>
      <c r="D390">
        <v>1</v>
      </c>
      <c r="E390" t="str">
        <f t="shared" si="6"/>
        <v>Januari</v>
      </c>
      <c r="F390">
        <v>1</v>
      </c>
      <c r="G390" t="s">
        <v>1511</v>
      </c>
      <c r="H390" t="s">
        <v>1512</v>
      </c>
      <c r="I390" t="s">
        <v>1516</v>
      </c>
      <c r="J390" t="s">
        <v>1566</v>
      </c>
      <c r="K390" t="s">
        <v>1525</v>
      </c>
      <c r="L390" s="2">
        <v>1</v>
      </c>
      <c r="M390" s="10">
        <v>58661</v>
      </c>
      <c r="N390" s="7">
        <v>58661</v>
      </c>
    </row>
    <row r="391" spans="1:14" x14ac:dyDescent="0.3">
      <c r="A391">
        <v>1142</v>
      </c>
      <c r="B391" s="1">
        <v>44698</v>
      </c>
      <c r="C391">
        <v>2022</v>
      </c>
      <c r="D391">
        <v>5</v>
      </c>
      <c r="E391" t="str">
        <f t="shared" si="6"/>
        <v>Mei</v>
      </c>
      <c r="F391">
        <v>2</v>
      </c>
      <c r="G391" t="s">
        <v>1515</v>
      </c>
      <c r="H391" t="s">
        <v>1512</v>
      </c>
      <c r="I391" t="s">
        <v>1521</v>
      </c>
      <c r="J391" t="s">
        <v>1517</v>
      </c>
      <c r="K391" t="s">
        <v>1525</v>
      </c>
      <c r="L391" s="2">
        <v>3</v>
      </c>
      <c r="M391" s="10">
        <v>3441</v>
      </c>
      <c r="N391" s="7">
        <v>10323</v>
      </c>
    </row>
    <row r="392" spans="1:14" x14ac:dyDescent="0.3">
      <c r="A392">
        <v>1142</v>
      </c>
      <c r="B392" s="1">
        <v>44917</v>
      </c>
      <c r="C392">
        <v>2022</v>
      </c>
      <c r="D392">
        <v>12</v>
      </c>
      <c r="E392" t="str">
        <f t="shared" si="6"/>
        <v>Desember</v>
      </c>
      <c r="F392">
        <v>4</v>
      </c>
      <c r="G392" t="s">
        <v>1515</v>
      </c>
      <c r="H392" t="s">
        <v>1512</v>
      </c>
      <c r="I392" t="s">
        <v>1521</v>
      </c>
      <c r="J392" t="s">
        <v>1517</v>
      </c>
      <c r="K392" t="s">
        <v>1525</v>
      </c>
      <c r="L392" s="2">
        <v>3</v>
      </c>
      <c r="M392" s="10">
        <v>3441</v>
      </c>
      <c r="N392" s="7">
        <v>10323</v>
      </c>
    </row>
    <row r="393" spans="1:14" x14ac:dyDescent="0.3">
      <c r="A393">
        <v>1142</v>
      </c>
      <c r="B393" s="1">
        <v>44732</v>
      </c>
      <c r="C393">
        <v>2022</v>
      </c>
      <c r="D393">
        <v>6</v>
      </c>
      <c r="E393" t="str">
        <f t="shared" si="6"/>
        <v>Juni</v>
      </c>
      <c r="F393">
        <v>2</v>
      </c>
      <c r="G393" t="s">
        <v>1515</v>
      </c>
      <c r="H393" t="s">
        <v>1512</v>
      </c>
      <c r="I393" t="s">
        <v>1521</v>
      </c>
      <c r="J393" t="s">
        <v>1517</v>
      </c>
      <c r="K393" t="s">
        <v>1525</v>
      </c>
      <c r="L393" s="2">
        <v>3</v>
      </c>
      <c r="M393" s="10">
        <v>3441</v>
      </c>
      <c r="N393" s="7">
        <v>10323</v>
      </c>
    </row>
    <row r="394" spans="1:14" x14ac:dyDescent="0.3">
      <c r="A394">
        <v>1142</v>
      </c>
      <c r="B394" s="1">
        <v>45484</v>
      </c>
      <c r="C394">
        <v>2024</v>
      </c>
      <c r="D394">
        <v>7</v>
      </c>
      <c r="E394" t="str">
        <f t="shared" si="6"/>
        <v>Juli</v>
      </c>
      <c r="F394">
        <v>3</v>
      </c>
      <c r="G394" t="s">
        <v>1515</v>
      </c>
      <c r="H394" t="s">
        <v>1512</v>
      </c>
      <c r="I394" t="s">
        <v>1521</v>
      </c>
      <c r="J394" t="s">
        <v>1517</v>
      </c>
      <c r="K394" t="s">
        <v>1525</v>
      </c>
      <c r="L394" s="2">
        <v>3</v>
      </c>
      <c r="M394" s="10">
        <v>3441</v>
      </c>
      <c r="N394" s="7">
        <v>10323</v>
      </c>
    </row>
    <row r="395" spans="1:14" x14ac:dyDescent="0.3">
      <c r="A395">
        <v>1143</v>
      </c>
      <c r="B395" s="1">
        <v>45059</v>
      </c>
      <c r="C395">
        <v>2023</v>
      </c>
      <c r="D395">
        <v>5</v>
      </c>
      <c r="E395" t="str">
        <f t="shared" si="6"/>
        <v>Mei</v>
      </c>
      <c r="F395">
        <v>2</v>
      </c>
      <c r="G395" t="s">
        <v>1534</v>
      </c>
      <c r="H395" t="s">
        <v>1530</v>
      </c>
      <c r="I395" t="s">
        <v>1516</v>
      </c>
      <c r="J395" t="s">
        <v>1517</v>
      </c>
      <c r="K395" t="s">
        <v>1514</v>
      </c>
      <c r="L395" s="2">
        <v>2</v>
      </c>
      <c r="M395" s="10">
        <v>4503</v>
      </c>
      <c r="N395" s="7">
        <v>9006</v>
      </c>
    </row>
    <row r="396" spans="1:14" x14ac:dyDescent="0.3">
      <c r="A396">
        <v>1143</v>
      </c>
      <c r="B396" s="1">
        <v>45640</v>
      </c>
      <c r="C396">
        <v>2024</v>
      </c>
      <c r="D396">
        <v>12</v>
      </c>
      <c r="E396" t="str">
        <f t="shared" si="6"/>
        <v>Desember</v>
      </c>
      <c r="F396">
        <v>4</v>
      </c>
      <c r="G396" t="s">
        <v>1534</v>
      </c>
      <c r="H396" t="s">
        <v>1530</v>
      </c>
      <c r="I396" t="s">
        <v>1516</v>
      </c>
      <c r="J396" t="s">
        <v>1517</v>
      </c>
      <c r="K396" t="s">
        <v>1514</v>
      </c>
      <c r="L396" s="2">
        <v>2</v>
      </c>
      <c r="M396" s="10">
        <v>4503</v>
      </c>
      <c r="N396" s="7">
        <v>9006</v>
      </c>
    </row>
    <row r="397" spans="1:14" x14ac:dyDescent="0.3">
      <c r="A397">
        <v>1143</v>
      </c>
      <c r="B397" s="1">
        <v>45050</v>
      </c>
      <c r="C397">
        <v>2023</v>
      </c>
      <c r="D397">
        <v>5</v>
      </c>
      <c r="E397" t="str">
        <f t="shared" si="6"/>
        <v>Mei</v>
      </c>
      <c r="F397">
        <v>2</v>
      </c>
      <c r="G397" t="s">
        <v>1534</v>
      </c>
      <c r="H397" t="s">
        <v>1530</v>
      </c>
      <c r="I397" t="s">
        <v>1516</v>
      </c>
      <c r="J397" t="s">
        <v>1517</v>
      </c>
      <c r="K397" t="s">
        <v>1514</v>
      </c>
      <c r="L397" s="2">
        <v>2</v>
      </c>
      <c r="M397" s="10">
        <v>4503</v>
      </c>
      <c r="N397" s="7">
        <v>9006</v>
      </c>
    </row>
    <row r="398" spans="1:14" x14ac:dyDescent="0.3">
      <c r="A398">
        <v>1143</v>
      </c>
      <c r="B398" s="1">
        <v>45384</v>
      </c>
      <c r="C398">
        <v>2024</v>
      </c>
      <c r="D398">
        <v>4</v>
      </c>
      <c r="E398" t="str">
        <f t="shared" si="6"/>
        <v>April</v>
      </c>
      <c r="F398">
        <v>2</v>
      </c>
      <c r="G398" t="s">
        <v>1534</v>
      </c>
      <c r="H398" t="s">
        <v>1530</v>
      </c>
      <c r="I398" t="s">
        <v>1516</v>
      </c>
      <c r="J398" t="s">
        <v>1517</v>
      </c>
      <c r="K398" t="s">
        <v>1514</v>
      </c>
      <c r="L398" s="2">
        <v>2</v>
      </c>
      <c r="M398" s="10">
        <v>4503</v>
      </c>
      <c r="N398" s="7">
        <v>9006</v>
      </c>
    </row>
    <row r="399" spans="1:14" x14ac:dyDescent="0.3">
      <c r="A399">
        <v>1144</v>
      </c>
      <c r="B399" s="1">
        <v>44968</v>
      </c>
      <c r="C399">
        <v>2023</v>
      </c>
      <c r="D399">
        <v>2</v>
      </c>
      <c r="E399" t="str">
        <f t="shared" si="6"/>
        <v>Februari</v>
      </c>
      <c r="F399">
        <v>1</v>
      </c>
      <c r="G399" t="s">
        <v>1519</v>
      </c>
      <c r="H399" t="s">
        <v>1520</v>
      </c>
      <c r="I399" t="s">
        <v>1513</v>
      </c>
      <c r="J399" t="s">
        <v>1524</v>
      </c>
      <c r="K399" t="s">
        <v>1518</v>
      </c>
      <c r="L399" s="2">
        <v>5</v>
      </c>
      <c r="M399" s="10">
        <v>10835</v>
      </c>
      <c r="N399" s="7">
        <v>54175</v>
      </c>
    </row>
    <row r="400" spans="1:14" x14ac:dyDescent="0.3">
      <c r="A400">
        <v>1145</v>
      </c>
      <c r="B400" s="1">
        <v>45217</v>
      </c>
      <c r="C400">
        <v>2023</v>
      </c>
      <c r="D400">
        <v>10</v>
      </c>
      <c r="E400" t="str">
        <f t="shared" si="6"/>
        <v>Oktober</v>
      </c>
      <c r="F400">
        <v>4</v>
      </c>
      <c r="G400" t="s">
        <v>1522</v>
      </c>
      <c r="H400" t="s">
        <v>1520</v>
      </c>
      <c r="I400" t="s">
        <v>1521</v>
      </c>
      <c r="J400" t="s">
        <v>1524</v>
      </c>
      <c r="K400" t="s">
        <v>1518</v>
      </c>
      <c r="L400" s="2">
        <v>2</v>
      </c>
      <c r="M400" s="10">
        <v>334</v>
      </c>
      <c r="N400" s="7">
        <v>668</v>
      </c>
    </row>
    <row r="401" spans="1:14" x14ac:dyDescent="0.3">
      <c r="A401">
        <v>1145</v>
      </c>
      <c r="B401" s="1">
        <v>45579</v>
      </c>
      <c r="C401">
        <v>2024</v>
      </c>
      <c r="D401">
        <v>10</v>
      </c>
      <c r="E401" t="str">
        <f t="shared" si="6"/>
        <v>Oktober</v>
      </c>
      <c r="F401">
        <v>4</v>
      </c>
      <c r="G401" t="s">
        <v>1522</v>
      </c>
      <c r="H401" t="s">
        <v>1520</v>
      </c>
      <c r="I401" t="s">
        <v>1521</v>
      </c>
      <c r="J401" t="s">
        <v>1524</v>
      </c>
      <c r="K401" t="s">
        <v>1518</v>
      </c>
      <c r="L401" s="2">
        <v>2</v>
      </c>
      <c r="M401" s="10">
        <v>334</v>
      </c>
      <c r="N401" s="7">
        <v>668</v>
      </c>
    </row>
    <row r="402" spans="1:14" x14ac:dyDescent="0.3">
      <c r="A402">
        <v>1145</v>
      </c>
      <c r="B402" s="1">
        <v>45276</v>
      </c>
      <c r="C402">
        <v>2023</v>
      </c>
      <c r="D402">
        <v>12</v>
      </c>
      <c r="E402" t="str">
        <f t="shared" si="6"/>
        <v>Desember</v>
      </c>
      <c r="F402">
        <v>4</v>
      </c>
      <c r="G402" t="s">
        <v>1522</v>
      </c>
      <c r="H402" t="s">
        <v>1520</v>
      </c>
      <c r="I402" t="s">
        <v>1521</v>
      </c>
      <c r="J402" t="s">
        <v>1524</v>
      </c>
      <c r="K402" t="s">
        <v>1518</v>
      </c>
      <c r="L402" s="2">
        <v>2</v>
      </c>
      <c r="M402" s="10">
        <v>334</v>
      </c>
      <c r="N402" s="7">
        <v>668</v>
      </c>
    </row>
    <row r="403" spans="1:14" x14ac:dyDescent="0.3">
      <c r="A403">
        <v>1146</v>
      </c>
      <c r="B403" s="1">
        <v>45104</v>
      </c>
      <c r="C403">
        <v>2023</v>
      </c>
      <c r="D403">
        <v>6</v>
      </c>
      <c r="E403" t="str">
        <f t="shared" si="6"/>
        <v>Juni</v>
      </c>
      <c r="F403">
        <v>2</v>
      </c>
      <c r="G403" t="s">
        <v>1523</v>
      </c>
      <c r="H403" t="s">
        <v>1512</v>
      </c>
      <c r="I403" t="s">
        <v>1516</v>
      </c>
      <c r="J403" t="s">
        <v>1566</v>
      </c>
      <c r="K403" t="s">
        <v>1525</v>
      </c>
      <c r="L403" s="2">
        <v>2</v>
      </c>
      <c r="M403" s="10">
        <v>14992</v>
      </c>
      <c r="N403" s="7">
        <v>29984</v>
      </c>
    </row>
    <row r="404" spans="1:14" x14ac:dyDescent="0.3">
      <c r="A404">
        <v>1146</v>
      </c>
      <c r="B404" s="1">
        <v>45018</v>
      </c>
      <c r="C404">
        <v>2023</v>
      </c>
      <c r="D404">
        <v>4</v>
      </c>
      <c r="E404" t="str">
        <f t="shared" si="6"/>
        <v>April</v>
      </c>
      <c r="F404">
        <v>2</v>
      </c>
      <c r="G404" t="s">
        <v>1523</v>
      </c>
      <c r="H404" t="s">
        <v>1512</v>
      </c>
      <c r="I404" t="s">
        <v>1516</v>
      </c>
      <c r="J404" t="s">
        <v>1566</v>
      </c>
      <c r="K404" t="s">
        <v>1525</v>
      </c>
      <c r="L404" s="2">
        <v>2</v>
      </c>
      <c r="M404" s="10">
        <v>14992</v>
      </c>
      <c r="N404" s="7">
        <v>29984</v>
      </c>
    </row>
    <row r="405" spans="1:14" x14ac:dyDescent="0.3">
      <c r="A405">
        <v>1147</v>
      </c>
      <c r="B405" s="1">
        <v>45051</v>
      </c>
      <c r="C405">
        <v>2023</v>
      </c>
      <c r="D405">
        <v>5</v>
      </c>
      <c r="E405" t="str">
        <f t="shared" si="6"/>
        <v>Mei</v>
      </c>
      <c r="F405">
        <v>2</v>
      </c>
      <c r="G405" t="s">
        <v>1526</v>
      </c>
      <c r="H405" t="s">
        <v>1527</v>
      </c>
      <c r="I405" t="s">
        <v>1516</v>
      </c>
      <c r="J405" t="s">
        <v>1517</v>
      </c>
      <c r="K405" t="s">
        <v>1514</v>
      </c>
      <c r="L405" s="2">
        <v>3</v>
      </c>
      <c r="M405" s="10">
        <v>385</v>
      </c>
      <c r="N405" s="7">
        <v>1155</v>
      </c>
    </row>
    <row r="406" spans="1:14" x14ac:dyDescent="0.3">
      <c r="A406">
        <v>1147</v>
      </c>
      <c r="B406" s="1">
        <v>44658</v>
      </c>
      <c r="C406">
        <v>2022</v>
      </c>
      <c r="D406">
        <v>4</v>
      </c>
      <c r="E406" t="str">
        <f t="shared" si="6"/>
        <v>April</v>
      </c>
      <c r="F406">
        <v>2</v>
      </c>
      <c r="G406" t="s">
        <v>1526</v>
      </c>
      <c r="H406" t="s">
        <v>1527</v>
      </c>
      <c r="I406" t="s">
        <v>1516</v>
      </c>
      <c r="J406" t="s">
        <v>1517</v>
      </c>
      <c r="K406" t="s">
        <v>1514</v>
      </c>
      <c r="L406" s="2">
        <v>3</v>
      </c>
      <c r="M406" s="10">
        <v>385</v>
      </c>
      <c r="N406" s="7">
        <v>1155</v>
      </c>
    </row>
    <row r="407" spans="1:14" x14ac:dyDescent="0.3">
      <c r="A407">
        <v>1147</v>
      </c>
      <c r="B407" s="1">
        <v>45564</v>
      </c>
      <c r="C407">
        <v>2024</v>
      </c>
      <c r="D407">
        <v>9</v>
      </c>
      <c r="E407" t="str">
        <f t="shared" si="6"/>
        <v>September</v>
      </c>
      <c r="F407">
        <v>3</v>
      </c>
      <c r="G407" t="s">
        <v>1526</v>
      </c>
      <c r="H407" t="s">
        <v>1527</v>
      </c>
      <c r="I407" t="s">
        <v>1516</v>
      </c>
      <c r="J407" t="s">
        <v>1517</v>
      </c>
      <c r="K407" t="s">
        <v>1514</v>
      </c>
      <c r="L407" s="2">
        <v>3</v>
      </c>
      <c r="M407" s="10">
        <v>385</v>
      </c>
      <c r="N407" s="7">
        <v>1155</v>
      </c>
    </row>
    <row r="408" spans="1:14" x14ac:dyDescent="0.3">
      <c r="A408">
        <v>1147</v>
      </c>
      <c r="B408" s="1">
        <v>44851</v>
      </c>
      <c r="C408">
        <v>2022</v>
      </c>
      <c r="D408">
        <v>10</v>
      </c>
      <c r="E408" t="str">
        <f t="shared" si="6"/>
        <v>Oktober</v>
      </c>
      <c r="F408">
        <v>4</v>
      </c>
      <c r="G408" t="s">
        <v>1526</v>
      </c>
      <c r="H408" t="s">
        <v>1527</v>
      </c>
      <c r="I408" t="s">
        <v>1516</v>
      </c>
      <c r="J408" t="s">
        <v>1517</v>
      </c>
      <c r="K408" t="s">
        <v>1514</v>
      </c>
      <c r="L408" s="2">
        <v>3</v>
      </c>
      <c r="M408" s="10">
        <v>385</v>
      </c>
      <c r="N408" s="7">
        <v>1155</v>
      </c>
    </row>
    <row r="409" spans="1:14" x14ac:dyDescent="0.3">
      <c r="A409">
        <v>1147</v>
      </c>
      <c r="B409" s="1">
        <v>44577</v>
      </c>
      <c r="C409">
        <v>2022</v>
      </c>
      <c r="D409">
        <v>1</v>
      </c>
      <c r="E409" t="str">
        <f t="shared" si="6"/>
        <v>Januari</v>
      </c>
      <c r="F409">
        <v>1</v>
      </c>
      <c r="G409" t="s">
        <v>1526</v>
      </c>
      <c r="H409" t="s">
        <v>1527</v>
      </c>
      <c r="I409" t="s">
        <v>1516</v>
      </c>
      <c r="J409" t="s">
        <v>1517</v>
      </c>
      <c r="K409" t="s">
        <v>1514</v>
      </c>
      <c r="L409" s="2">
        <v>3</v>
      </c>
      <c r="M409" s="10">
        <v>385</v>
      </c>
      <c r="N409" s="7">
        <v>1155</v>
      </c>
    </row>
    <row r="410" spans="1:14" x14ac:dyDescent="0.3">
      <c r="A410">
        <v>1148</v>
      </c>
      <c r="B410" s="1">
        <v>45285</v>
      </c>
      <c r="C410">
        <v>2023</v>
      </c>
      <c r="D410">
        <v>12</v>
      </c>
      <c r="E410" t="str">
        <f t="shared" si="6"/>
        <v>Desember</v>
      </c>
      <c r="F410">
        <v>4</v>
      </c>
      <c r="G410" t="s">
        <v>1529</v>
      </c>
      <c r="H410" t="s">
        <v>1530</v>
      </c>
      <c r="I410" t="s">
        <v>1535</v>
      </c>
      <c r="J410" t="s">
        <v>1524</v>
      </c>
      <c r="K410" t="s">
        <v>1518</v>
      </c>
      <c r="L410" s="2">
        <v>1</v>
      </c>
      <c r="M410" s="10">
        <v>1196</v>
      </c>
      <c r="N410" s="7">
        <v>1196</v>
      </c>
    </row>
    <row r="411" spans="1:14" x14ac:dyDescent="0.3">
      <c r="A411">
        <v>1149</v>
      </c>
      <c r="B411" s="1">
        <v>45553</v>
      </c>
      <c r="C411">
        <v>2024</v>
      </c>
      <c r="D411">
        <v>9</v>
      </c>
      <c r="E411" t="str">
        <f t="shared" si="6"/>
        <v>September</v>
      </c>
      <c r="F411">
        <v>3</v>
      </c>
      <c r="G411" t="s">
        <v>1532</v>
      </c>
      <c r="H411" t="s">
        <v>1512</v>
      </c>
      <c r="I411" t="s">
        <v>1531</v>
      </c>
      <c r="J411" t="s">
        <v>1524</v>
      </c>
      <c r="K411" t="s">
        <v>1514</v>
      </c>
      <c r="L411" s="2">
        <v>2</v>
      </c>
      <c r="M411" s="10">
        <v>4766</v>
      </c>
      <c r="N411" s="7">
        <v>9532</v>
      </c>
    </row>
    <row r="412" spans="1:14" x14ac:dyDescent="0.3">
      <c r="A412">
        <v>1149</v>
      </c>
      <c r="B412" s="1">
        <v>45190</v>
      </c>
      <c r="C412">
        <v>2023</v>
      </c>
      <c r="D412">
        <v>9</v>
      </c>
      <c r="E412" t="str">
        <f t="shared" si="6"/>
        <v>September</v>
      </c>
      <c r="F412">
        <v>3</v>
      </c>
      <c r="G412" t="s">
        <v>1532</v>
      </c>
      <c r="H412" t="s">
        <v>1512</v>
      </c>
      <c r="I412" t="s">
        <v>1531</v>
      </c>
      <c r="J412" t="s">
        <v>1524</v>
      </c>
      <c r="K412" t="s">
        <v>1514</v>
      </c>
      <c r="L412" s="2">
        <v>2</v>
      </c>
      <c r="M412" s="10">
        <v>4766</v>
      </c>
      <c r="N412" s="7">
        <v>9532</v>
      </c>
    </row>
    <row r="413" spans="1:14" x14ac:dyDescent="0.3">
      <c r="A413">
        <v>1150</v>
      </c>
      <c r="B413" s="1">
        <v>44627</v>
      </c>
      <c r="C413">
        <v>2022</v>
      </c>
      <c r="D413">
        <v>3</v>
      </c>
      <c r="E413" t="str">
        <f t="shared" si="6"/>
        <v>Maret</v>
      </c>
      <c r="F413">
        <v>1</v>
      </c>
      <c r="G413" t="s">
        <v>1533</v>
      </c>
      <c r="H413" t="s">
        <v>1520</v>
      </c>
      <c r="I413" t="s">
        <v>1513</v>
      </c>
      <c r="J413" t="s">
        <v>1566</v>
      </c>
      <c r="K413" t="s">
        <v>1525</v>
      </c>
      <c r="L413" s="2">
        <v>4</v>
      </c>
      <c r="M413" s="10">
        <v>317</v>
      </c>
      <c r="N413" s="7">
        <v>1268</v>
      </c>
    </row>
    <row r="414" spans="1:14" x14ac:dyDescent="0.3">
      <c r="A414">
        <v>1150</v>
      </c>
      <c r="B414" s="1">
        <v>45047</v>
      </c>
      <c r="C414">
        <v>2023</v>
      </c>
      <c r="D414">
        <v>5</v>
      </c>
      <c r="E414" t="str">
        <f t="shared" si="6"/>
        <v>Mei</v>
      </c>
      <c r="F414">
        <v>2</v>
      </c>
      <c r="G414" t="s">
        <v>1533</v>
      </c>
      <c r="H414" t="s">
        <v>1520</v>
      </c>
      <c r="I414" t="s">
        <v>1513</v>
      </c>
      <c r="J414" t="s">
        <v>1566</v>
      </c>
      <c r="K414" t="s">
        <v>1525</v>
      </c>
      <c r="L414" s="2">
        <v>4</v>
      </c>
      <c r="M414" s="10">
        <v>317</v>
      </c>
      <c r="N414" s="7">
        <v>1268</v>
      </c>
    </row>
    <row r="415" spans="1:14" x14ac:dyDescent="0.3">
      <c r="A415">
        <v>1150</v>
      </c>
      <c r="B415" s="1">
        <v>44687</v>
      </c>
      <c r="C415">
        <v>2022</v>
      </c>
      <c r="D415">
        <v>5</v>
      </c>
      <c r="E415" t="str">
        <f t="shared" si="6"/>
        <v>Mei</v>
      </c>
      <c r="F415">
        <v>2</v>
      </c>
      <c r="G415" t="s">
        <v>1533</v>
      </c>
      <c r="H415" t="s">
        <v>1520</v>
      </c>
      <c r="I415" t="s">
        <v>1513</v>
      </c>
      <c r="J415" t="s">
        <v>1566</v>
      </c>
      <c r="K415" t="s">
        <v>1525</v>
      </c>
      <c r="L415" s="2">
        <v>4</v>
      </c>
      <c r="M415" s="10">
        <v>317</v>
      </c>
      <c r="N415" s="7">
        <v>1268</v>
      </c>
    </row>
    <row r="416" spans="1:14" x14ac:dyDescent="0.3">
      <c r="A416">
        <v>1150</v>
      </c>
      <c r="B416" s="1">
        <v>45111</v>
      </c>
      <c r="C416">
        <v>2023</v>
      </c>
      <c r="D416">
        <v>7</v>
      </c>
      <c r="E416" t="str">
        <f t="shared" si="6"/>
        <v>Juli</v>
      </c>
      <c r="F416">
        <v>3</v>
      </c>
      <c r="G416" t="s">
        <v>1533</v>
      </c>
      <c r="H416" t="s">
        <v>1520</v>
      </c>
      <c r="I416" t="s">
        <v>1513</v>
      </c>
      <c r="J416" t="s">
        <v>1566</v>
      </c>
      <c r="K416" t="s">
        <v>1525</v>
      </c>
      <c r="L416" s="2">
        <v>4</v>
      </c>
      <c r="M416" s="10">
        <v>317</v>
      </c>
      <c r="N416" s="7">
        <v>1268</v>
      </c>
    </row>
    <row r="417" spans="1:14" x14ac:dyDescent="0.3">
      <c r="A417">
        <v>1150</v>
      </c>
      <c r="B417" s="1">
        <v>44983</v>
      </c>
      <c r="C417">
        <v>2023</v>
      </c>
      <c r="D417">
        <v>2</v>
      </c>
      <c r="E417" t="str">
        <f t="shared" si="6"/>
        <v>Februari</v>
      </c>
      <c r="F417">
        <v>1</v>
      </c>
      <c r="G417" t="s">
        <v>1533</v>
      </c>
      <c r="H417" t="s">
        <v>1520</v>
      </c>
      <c r="I417" t="s">
        <v>1513</v>
      </c>
      <c r="J417" t="s">
        <v>1566</v>
      </c>
      <c r="K417" t="s">
        <v>1525</v>
      </c>
      <c r="L417" s="2">
        <v>4</v>
      </c>
      <c r="M417" s="10">
        <v>317</v>
      </c>
      <c r="N417" s="7">
        <v>1268</v>
      </c>
    </row>
    <row r="418" spans="1:14" x14ac:dyDescent="0.3">
      <c r="A418">
        <v>1150</v>
      </c>
      <c r="B418" s="1">
        <v>44909</v>
      </c>
      <c r="C418">
        <v>2022</v>
      </c>
      <c r="D418">
        <v>12</v>
      </c>
      <c r="E418" t="str">
        <f t="shared" si="6"/>
        <v>Desember</v>
      </c>
      <c r="F418">
        <v>4</v>
      </c>
      <c r="G418" t="s">
        <v>1533</v>
      </c>
      <c r="H418" t="s">
        <v>1520</v>
      </c>
      <c r="I418" t="s">
        <v>1513</v>
      </c>
      <c r="J418" t="s">
        <v>1566</v>
      </c>
      <c r="K418" t="s">
        <v>1525</v>
      </c>
      <c r="L418" s="2">
        <v>4</v>
      </c>
      <c r="M418" s="10">
        <v>317</v>
      </c>
      <c r="N418" s="7">
        <v>1268</v>
      </c>
    </row>
    <row r="419" spans="1:14" x14ac:dyDescent="0.3">
      <c r="A419">
        <v>1151</v>
      </c>
      <c r="B419" s="1">
        <v>45019</v>
      </c>
      <c r="C419">
        <v>2023</v>
      </c>
      <c r="D419">
        <v>4</v>
      </c>
      <c r="E419" t="str">
        <f t="shared" si="6"/>
        <v>April</v>
      </c>
      <c r="F419">
        <v>2</v>
      </c>
      <c r="G419" t="s">
        <v>1511</v>
      </c>
      <c r="H419" t="s">
        <v>1512</v>
      </c>
      <c r="I419" t="s">
        <v>1516</v>
      </c>
      <c r="J419" t="s">
        <v>1524</v>
      </c>
      <c r="K419" t="s">
        <v>1518</v>
      </c>
      <c r="L419" s="2">
        <v>2</v>
      </c>
      <c r="M419" s="10">
        <v>59735</v>
      </c>
      <c r="N419" s="7">
        <v>119470</v>
      </c>
    </row>
    <row r="420" spans="1:14" x14ac:dyDescent="0.3">
      <c r="A420">
        <v>1151</v>
      </c>
      <c r="B420" s="1">
        <v>45233</v>
      </c>
      <c r="C420">
        <v>2023</v>
      </c>
      <c r="D420">
        <v>11</v>
      </c>
      <c r="E420" t="str">
        <f t="shared" si="6"/>
        <v>November</v>
      </c>
      <c r="F420">
        <v>4</v>
      </c>
      <c r="G420" t="s">
        <v>1511</v>
      </c>
      <c r="H420" t="s">
        <v>1512</v>
      </c>
      <c r="I420" t="s">
        <v>1516</v>
      </c>
      <c r="J420" t="s">
        <v>1524</v>
      </c>
      <c r="K420" t="s">
        <v>1518</v>
      </c>
      <c r="L420" s="2">
        <v>2</v>
      </c>
      <c r="M420" s="10">
        <v>59735</v>
      </c>
      <c r="N420" s="7">
        <v>119470</v>
      </c>
    </row>
    <row r="421" spans="1:14" x14ac:dyDescent="0.3">
      <c r="A421">
        <v>1151</v>
      </c>
      <c r="B421" s="1">
        <v>45241</v>
      </c>
      <c r="C421">
        <v>2023</v>
      </c>
      <c r="D421">
        <v>11</v>
      </c>
      <c r="E421" t="str">
        <f t="shared" si="6"/>
        <v>November</v>
      </c>
      <c r="F421">
        <v>4</v>
      </c>
      <c r="G421" t="s">
        <v>1511</v>
      </c>
      <c r="H421" t="s">
        <v>1512</v>
      </c>
      <c r="I421" t="s">
        <v>1516</v>
      </c>
      <c r="J421" t="s">
        <v>1524</v>
      </c>
      <c r="K421" t="s">
        <v>1518</v>
      </c>
      <c r="L421" s="2">
        <v>2</v>
      </c>
      <c r="M421" s="10">
        <v>59735</v>
      </c>
      <c r="N421" s="7">
        <v>119470</v>
      </c>
    </row>
    <row r="422" spans="1:14" x14ac:dyDescent="0.3">
      <c r="A422">
        <v>1151</v>
      </c>
      <c r="B422" s="1">
        <v>44884</v>
      </c>
      <c r="C422">
        <v>2022</v>
      </c>
      <c r="D422">
        <v>11</v>
      </c>
      <c r="E422" t="str">
        <f t="shared" si="6"/>
        <v>November</v>
      </c>
      <c r="F422">
        <v>4</v>
      </c>
      <c r="G422" t="s">
        <v>1511</v>
      </c>
      <c r="H422" t="s">
        <v>1512</v>
      </c>
      <c r="I422" t="s">
        <v>1516</v>
      </c>
      <c r="J422" t="s">
        <v>1524</v>
      </c>
      <c r="K422" t="s">
        <v>1518</v>
      </c>
      <c r="L422" s="2">
        <v>2</v>
      </c>
      <c r="M422" s="10">
        <v>59735</v>
      </c>
      <c r="N422" s="7">
        <v>119470</v>
      </c>
    </row>
    <row r="423" spans="1:14" x14ac:dyDescent="0.3">
      <c r="A423">
        <v>1152</v>
      </c>
      <c r="B423" s="1">
        <v>45478</v>
      </c>
      <c r="C423">
        <v>2024</v>
      </c>
      <c r="D423">
        <v>7</v>
      </c>
      <c r="E423" t="str">
        <f t="shared" si="6"/>
        <v>Juli</v>
      </c>
      <c r="F423">
        <v>3</v>
      </c>
      <c r="G423" t="s">
        <v>1515</v>
      </c>
      <c r="H423" t="s">
        <v>1512</v>
      </c>
      <c r="I423" t="s">
        <v>1521</v>
      </c>
      <c r="J423" t="s">
        <v>1517</v>
      </c>
      <c r="K423" t="s">
        <v>1518</v>
      </c>
      <c r="L423" s="2">
        <v>2</v>
      </c>
      <c r="M423" s="10">
        <v>3950</v>
      </c>
      <c r="N423" s="7">
        <v>7900</v>
      </c>
    </row>
    <row r="424" spans="1:14" x14ac:dyDescent="0.3">
      <c r="A424">
        <v>1152</v>
      </c>
      <c r="B424" s="1">
        <v>44772</v>
      </c>
      <c r="C424">
        <v>2022</v>
      </c>
      <c r="D424">
        <v>7</v>
      </c>
      <c r="E424" t="str">
        <f t="shared" si="6"/>
        <v>Juli</v>
      </c>
      <c r="F424">
        <v>3</v>
      </c>
      <c r="G424" t="s">
        <v>1515</v>
      </c>
      <c r="H424" t="s">
        <v>1512</v>
      </c>
      <c r="I424" t="s">
        <v>1521</v>
      </c>
      <c r="J424" t="s">
        <v>1517</v>
      </c>
      <c r="K424" t="s">
        <v>1518</v>
      </c>
      <c r="L424" s="2">
        <v>2</v>
      </c>
      <c r="M424" s="10">
        <v>3950</v>
      </c>
      <c r="N424" s="7">
        <v>7900</v>
      </c>
    </row>
    <row r="425" spans="1:14" x14ac:dyDescent="0.3">
      <c r="A425">
        <v>1152</v>
      </c>
      <c r="B425" s="1">
        <v>45517</v>
      </c>
      <c r="C425">
        <v>2024</v>
      </c>
      <c r="D425">
        <v>8</v>
      </c>
      <c r="E425" t="str">
        <f t="shared" si="6"/>
        <v>Agustus</v>
      </c>
      <c r="F425">
        <v>3</v>
      </c>
      <c r="G425" t="s">
        <v>1515</v>
      </c>
      <c r="H425" t="s">
        <v>1512</v>
      </c>
      <c r="I425" t="s">
        <v>1521</v>
      </c>
      <c r="J425" t="s">
        <v>1517</v>
      </c>
      <c r="K425" t="s">
        <v>1518</v>
      </c>
      <c r="L425" s="2">
        <v>2</v>
      </c>
      <c r="M425" s="10">
        <v>3950</v>
      </c>
      <c r="N425" s="7">
        <v>7900</v>
      </c>
    </row>
    <row r="426" spans="1:14" x14ac:dyDescent="0.3">
      <c r="A426">
        <v>1152</v>
      </c>
      <c r="B426" s="1">
        <v>44699</v>
      </c>
      <c r="C426">
        <v>2022</v>
      </c>
      <c r="D426">
        <v>5</v>
      </c>
      <c r="E426" t="str">
        <f t="shared" si="6"/>
        <v>Mei</v>
      </c>
      <c r="F426">
        <v>2</v>
      </c>
      <c r="G426" t="s">
        <v>1515</v>
      </c>
      <c r="H426" t="s">
        <v>1512</v>
      </c>
      <c r="I426" t="s">
        <v>1521</v>
      </c>
      <c r="J426" t="s">
        <v>1517</v>
      </c>
      <c r="K426" t="s">
        <v>1518</v>
      </c>
      <c r="L426" s="2">
        <v>2</v>
      </c>
      <c r="M426" s="10">
        <v>3950</v>
      </c>
      <c r="N426" s="7">
        <v>7900</v>
      </c>
    </row>
    <row r="427" spans="1:14" x14ac:dyDescent="0.3">
      <c r="A427">
        <v>1153</v>
      </c>
      <c r="B427" s="1">
        <v>45262</v>
      </c>
      <c r="C427">
        <v>2023</v>
      </c>
      <c r="D427">
        <v>12</v>
      </c>
      <c r="E427" t="str">
        <f t="shared" si="6"/>
        <v>Desember</v>
      </c>
      <c r="F427">
        <v>4</v>
      </c>
      <c r="G427" t="s">
        <v>1534</v>
      </c>
      <c r="H427" t="s">
        <v>1530</v>
      </c>
      <c r="I427" t="s">
        <v>1513</v>
      </c>
      <c r="J427" t="s">
        <v>1517</v>
      </c>
      <c r="K427" t="s">
        <v>1518</v>
      </c>
      <c r="L427" s="2">
        <v>2</v>
      </c>
      <c r="M427" s="10">
        <v>3263</v>
      </c>
      <c r="N427" s="7">
        <v>6526</v>
      </c>
    </row>
    <row r="428" spans="1:14" x14ac:dyDescent="0.3">
      <c r="A428">
        <v>1154</v>
      </c>
      <c r="B428" s="1">
        <v>45155</v>
      </c>
      <c r="C428">
        <v>2023</v>
      </c>
      <c r="D428">
        <v>8</v>
      </c>
      <c r="E428" t="str">
        <f t="shared" si="6"/>
        <v>Agustus</v>
      </c>
      <c r="F428">
        <v>3</v>
      </c>
      <c r="G428" t="s">
        <v>1519</v>
      </c>
      <c r="H428" t="s">
        <v>1520</v>
      </c>
      <c r="I428" t="s">
        <v>1516</v>
      </c>
      <c r="J428" t="s">
        <v>1517</v>
      </c>
      <c r="K428" t="s">
        <v>1525</v>
      </c>
      <c r="L428" s="2">
        <v>4</v>
      </c>
      <c r="M428" s="10">
        <v>8514</v>
      </c>
      <c r="N428" s="7">
        <v>34056</v>
      </c>
    </row>
    <row r="429" spans="1:14" x14ac:dyDescent="0.3">
      <c r="A429">
        <v>1154</v>
      </c>
      <c r="B429" s="1">
        <v>45095</v>
      </c>
      <c r="C429">
        <v>2023</v>
      </c>
      <c r="D429">
        <v>6</v>
      </c>
      <c r="E429" t="str">
        <f t="shared" si="6"/>
        <v>Juni</v>
      </c>
      <c r="F429">
        <v>2</v>
      </c>
      <c r="G429" t="s">
        <v>1519</v>
      </c>
      <c r="H429" t="s">
        <v>1520</v>
      </c>
      <c r="I429" t="s">
        <v>1516</v>
      </c>
      <c r="J429" t="s">
        <v>1517</v>
      </c>
      <c r="K429" t="s">
        <v>1525</v>
      </c>
      <c r="L429" s="2">
        <v>4</v>
      </c>
      <c r="M429" s="10">
        <v>8514</v>
      </c>
      <c r="N429" s="7">
        <v>34056</v>
      </c>
    </row>
    <row r="430" spans="1:14" x14ac:dyDescent="0.3">
      <c r="A430">
        <v>1154</v>
      </c>
      <c r="B430" s="1">
        <v>45052</v>
      </c>
      <c r="C430">
        <v>2023</v>
      </c>
      <c r="D430">
        <v>5</v>
      </c>
      <c r="E430" t="str">
        <f t="shared" si="6"/>
        <v>Mei</v>
      </c>
      <c r="F430">
        <v>2</v>
      </c>
      <c r="G430" t="s">
        <v>1519</v>
      </c>
      <c r="H430" t="s">
        <v>1520</v>
      </c>
      <c r="I430" t="s">
        <v>1516</v>
      </c>
      <c r="J430" t="s">
        <v>1517</v>
      </c>
      <c r="K430" t="s">
        <v>1525</v>
      </c>
      <c r="L430" s="2">
        <v>4</v>
      </c>
      <c r="M430" s="10">
        <v>8514</v>
      </c>
      <c r="N430" s="7">
        <v>34056</v>
      </c>
    </row>
    <row r="431" spans="1:14" x14ac:dyDescent="0.3">
      <c r="A431">
        <v>1154</v>
      </c>
      <c r="B431" s="1">
        <v>45003</v>
      </c>
      <c r="C431">
        <v>2023</v>
      </c>
      <c r="D431">
        <v>3</v>
      </c>
      <c r="E431" t="str">
        <f t="shared" si="6"/>
        <v>Maret</v>
      </c>
      <c r="F431">
        <v>1</v>
      </c>
      <c r="G431" t="s">
        <v>1519</v>
      </c>
      <c r="H431" t="s">
        <v>1520</v>
      </c>
      <c r="I431" t="s">
        <v>1516</v>
      </c>
      <c r="J431" t="s">
        <v>1517</v>
      </c>
      <c r="K431" t="s">
        <v>1525</v>
      </c>
      <c r="L431" s="2">
        <v>4</v>
      </c>
      <c r="M431" s="10">
        <v>8514</v>
      </c>
      <c r="N431" s="7">
        <v>34056</v>
      </c>
    </row>
    <row r="432" spans="1:14" x14ac:dyDescent="0.3">
      <c r="A432">
        <v>1155</v>
      </c>
      <c r="B432" s="1">
        <v>45262</v>
      </c>
      <c r="C432">
        <v>2023</v>
      </c>
      <c r="D432">
        <v>12</v>
      </c>
      <c r="E432" t="str">
        <f t="shared" si="6"/>
        <v>Desember</v>
      </c>
      <c r="F432">
        <v>4</v>
      </c>
      <c r="G432" t="s">
        <v>1522</v>
      </c>
      <c r="H432" t="s">
        <v>1520</v>
      </c>
      <c r="I432" t="s">
        <v>1531</v>
      </c>
      <c r="J432" t="s">
        <v>1566</v>
      </c>
      <c r="K432" t="s">
        <v>1525</v>
      </c>
      <c r="L432" s="2">
        <v>2</v>
      </c>
      <c r="M432" s="10">
        <v>172</v>
      </c>
      <c r="N432" s="7">
        <v>344</v>
      </c>
    </row>
    <row r="433" spans="1:14" x14ac:dyDescent="0.3">
      <c r="A433">
        <v>1155</v>
      </c>
      <c r="B433" s="1">
        <v>44707</v>
      </c>
      <c r="C433">
        <v>2022</v>
      </c>
      <c r="D433">
        <v>5</v>
      </c>
      <c r="E433" t="str">
        <f t="shared" si="6"/>
        <v>Mei</v>
      </c>
      <c r="F433">
        <v>2</v>
      </c>
      <c r="G433" t="s">
        <v>1522</v>
      </c>
      <c r="H433" t="s">
        <v>1520</v>
      </c>
      <c r="I433" t="s">
        <v>1531</v>
      </c>
      <c r="J433" t="s">
        <v>1566</v>
      </c>
      <c r="K433" t="s">
        <v>1525</v>
      </c>
      <c r="L433" s="2">
        <v>2</v>
      </c>
      <c r="M433" s="10">
        <v>172</v>
      </c>
      <c r="N433" s="7">
        <v>344</v>
      </c>
    </row>
    <row r="434" spans="1:14" x14ac:dyDescent="0.3">
      <c r="A434">
        <v>1155</v>
      </c>
      <c r="B434" s="1">
        <v>45204</v>
      </c>
      <c r="C434">
        <v>2023</v>
      </c>
      <c r="D434">
        <v>10</v>
      </c>
      <c r="E434" t="str">
        <f t="shared" si="6"/>
        <v>Oktober</v>
      </c>
      <c r="F434">
        <v>4</v>
      </c>
      <c r="G434" t="s">
        <v>1522</v>
      </c>
      <c r="H434" t="s">
        <v>1520</v>
      </c>
      <c r="I434" t="s">
        <v>1531</v>
      </c>
      <c r="J434" t="s">
        <v>1566</v>
      </c>
      <c r="K434" t="s">
        <v>1525</v>
      </c>
      <c r="L434" s="2">
        <v>2</v>
      </c>
      <c r="M434" s="10">
        <v>172</v>
      </c>
      <c r="N434" s="7">
        <v>344</v>
      </c>
    </row>
    <row r="435" spans="1:14" x14ac:dyDescent="0.3">
      <c r="A435">
        <v>1155</v>
      </c>
      <c r="B435" s="1">
        <v>44699</v>
      </c>
      <c r="C435">
        <v>2022</v>
      </c>
      <c r="D435">
        <v>5</v>
      </c>
      <c r="E435" t="str">
        <f t="shared" si="6"/>
        <v>Mei</v>
      </c>
      <c r="F435">
        <v>2</v>
      </c>
      <c r="G435" t="s">
        <v>1522</v>
      </c>
      <c r="H435" t="s">
        <v>1520</v>
      </c>
      <c r="I435" t="s">
        <v>1531</v>
      </c>
      <c r="J435" t="s">
        <v>1566</v>
      </c>
      <c r="K435" t="s">
        <v>1525</v>
      </c>
      <c r="L435" s="2">
        <v>2</v>
      </c>
      <c r="M435" s="10">
        <v>172</v>
      </c>
      <c r="N435" s="7">
        <v>344</v>
      </c>
    </row>
    <row r="436" spans="1:14" x14ac:dyDescent="0.3">
      <c r="A436">
        <v>1156</v>
      </c>
      <c r="B436" s="1">
        <v>45100</v>
      </c>
      <c r="C436">
        <v>2023</v>
      </c>
      <c r="D436">
        <v>6</v>
      </c>
      <c r="E436" t="str">
        <f t="shared" si="6"/>
        <v>Juni</v>
      </c>
      <c r="F436">
        <v>2</v>
      </c>
      <c r="G436" t="s">
        <v>1523</v>
      </c>
      <c r="H436" t="s">
        <v>1512</v>
      </c>
      <c r="I436" t="s">
        <v>1531</v>
      </c>
      <c r="J436" t="s">
        <v>1517</v>
      </c>
      <c r="K436" t="s">
        <v>1518</v>
      </c>
      <c r="L436" s="2">
        <v>1</v>
      </c>
      <c r="M436" s="10">
        <v>21077</v>
      </c>
      <c r="N436" s="7">
        <v>21077</v>
      </c>
    </row>
    <row r="437" spans="1:14" x14ac:dyDescent="0.3">
      <c r="A437">
        <v>1156</v>
      </c>
      <c r="B437" s="1">
        <v>45543</v>
      </c>
      <c r="C437">
        <v>2024</v>
      </c>
      <c r="D437">
        <v>9</v>
      </c>
      <c r="E437" t="str">
        <f t="shared" si="6"/>
        <v>September</v>
      </c>
      <c r="F437">
        <v>3</v>
      </c>
      <c r="G437" t="s">
        <v>1523</v>
      </c>
      <c r="H437" t="s">
        <v>1512</v>
      </c>
      <c r="I437" t="s">
        <v>1531</v>
      </c>
      <c r="J437" t="s">
        <v>1517</v>
      </c>
      <c r="K437" t="s">
        <v>1518</v>
      </c>
      <c r="L437" s="2">
        <v>1</v>
      </c>
      <c r="M437" s="10">
        <v>21077</v>
      </c>
      <c r="N437" s="7">
        <v>21077</v>
      </c>
    </row>
    <row r="438" spans="1:14" x14ac:dyDescent="0.3">
      <c r="A438">
        <v>1156</v>
      </c>
      <c r="B438" s="1">
        <v>44590</v>
      </c>
      <c r="C438">
        <v>2022</v>
      </c>
      <c r="D438">
        <v>1</v>
      </c>
      <c r="E438" t="str">
        <f t="shared" si="6"/>
        <v>Januari</v>
      </c>
      <c r="F438">
        <v>1</v>
      </c>
      <c r="G438" t="s">
        <v>1523</v>
      </c>
      <c r="H438" t="s">
        <v>1512</v>
      </c>
      <c r="I438" t="s">
        <v>1531</v>
      </c>
      <c r="J438" t="s">
        <v>1517</v>
      </c>
      <c r="K438" t="s">
        <v>1518</v>
      </c>
      <c r="L438" s="2">
        <v>1</v>
      </c>
      <c r="M438" s="10">
        <v>21077</v>
      </c>
      <c r="N438" s="7">
        <v>21077</v>
      </c>
    </row>
    <row r="439" spans="1:14" x14ac:dyDescent="0.3">
      <c r="A439">
        <v>1157</v>
      </c>
      <c r="B439" s="1">
        <v>45535</v>
      </c>
      <c r="C439">
        <v>2024</v>
      </c>
      <c r="D439">
        <v>8</v>
      </c>
      <c r="E439" t="str">
        <f t="shared" si="6"/>
        <v>Agustus</v>
      </c>
      <c r="F439">
        <v>3</v>
      </c>
      <c r="G439" t="s">
        <v>1526</v>
      </c>
      <c r="H439" t="s">
        <v>1527</v>
      </c>
      <c r="I439" t="s">
        <v>1531</v>
      </c>
      <c r="J439" t="s">
        <v>1524</v>
      </c>
      <c r="K439" t="s">
        <v>1525</v>
      </c>
      <c r="L439" s="2">
        <v>5</v>
      </c>
      <c r="M439" s="10">
        <v>747</v>
      </c>
      <c r="N439" s="7">
        <v>3735</v>
      </c>
    </row>
    <row r="440" spans="1:14" x14ac:dyDescent="0.3">
      <c r="A440">
        <v>1157</v>
      </c>
      <c r="B440" s="1">
        <v>45431</v>
      </c>
      <c r="C440">
        <v>2024</v>
      </c>
      <c r="D440">
        <v>5</v>
      </c>
      <c r="E440" t="str">
        <f t="shared" si="6"/>
        <v>Mei</v>
      </c>
      <c r="F440">
        <v>2</v>
      </c>
      <c r="G440" t="s">
        <v>1526</v>
      </c>
      <c r="H440" t="s">
        <v>1527</v>
      </c>
      <c r="I440" t="s">
        <v>1531</v>
      </c>
      <c r="J440" t="s">
        <v>1524</v>
      </c>
      <c r="K440" t="s">
        <v>1525</v>
      </c>
      <c r="L440" s="2">
        <v>5</v>
      </c>
      <c r="M440" s="10">
        <v>747</v>
      </c>
      <c r="N440" s="7">
        <v>3735</v>
      </c>
    </row>
    <row r="441" spans="1:14" x14ac:dyDescent="0.3">
      <c r="A441">
        <v>1157</v>
      </c>
      <c r="B441" s="1">
        <v>45322</v>
      </c>
      <c r="C441">
        <v>2024</v>
      </c>
      <c r="D441">
        <v>1</v>
      </c>
      <c r="E441" t="str">
        <f t="shared" si="6"/>
        <v>Januari</v>
      </c>
      <c r="F441">
        <v>1</v>
      </c>
      <c r="G441" t="s">
        <v>1526</v>
      </c>
      <c r="H441" t="s">
        <v>1527</v>
      </c>
      <c r="I441" t="s">
        <v>1531</v>
      </c>
      <c r="J441" t="s">
        <v>1524</v>
      </c>
      <c r="K441" t="s">
        <v>1525</v>
      </c>
      <c r="L441" s="2">
        <v>5</v>
      </c>
      <c r="M441" s="10">
        <v>747</v>
      </c>
      <c r="N441" s="7">
        <v>3735</v>
      </c>
    </row>
    <row r="442" spans="1:14" x14ac:dyDescent="0.3">
      <c r="A442">
        <v>1157</v>
      </c>
      <c r="B442" s="1">
        <v>45455</v>
      </c>
      <c r="C442">
        <v>2024</v>
      </c>
      <c r="D442">
        <v>6</v>
      </c>
      <c r="E442" t="str">
        <f t="shared" si="6"/>
        <v>Juni</v>
      </c>
      <c r="F442">
        <v>2</v>
      </c>
      <c r="G442" t="s">
        <v>1526</v>
      </c>
      <c r="H442" t="s">
        <v>1527</v>
      </c>
      <c r="I442" t="s">
        <v>1531</v>
      </c>
      <c r="J442" t="s">
        <v>1524</v>
      </c>
      <c r="K442" t="s">
        <v>1525</v>
      </c>
      <c r="L442" s="2">
        <v>5</v>
      </c>
      <c r="M442" s="10">
        <v>747</v>
      </c>
      <c r="N442" s="7">
        <v>3735</v>
      </c>
    </row>
    <row r="443" spans="1:14" x14ac:dyDescent="0.3">
      <c r="A443">
        <v>1158</v>
      </c>
      <c r="B443" s="1">
        <v>45106</v>
      </c>
      <c r="C443">
        <v>2023</v>
      </c>
      <c r="D443">
        <v>6</v>
      </c>
      <c r="E443" t="str">
        <f t="shared" si="6"/>
        <v>Juni</v>
      </c>
      <c r="F443">
        <v>2</v>
      </c>
      <c r="G443" t="s">
        <v>1529</v>
      </c>
      <c r="H443" t="s">
        <v>1530</v>
      </c>
      <c r="I443" t="s">
        <v>1521</v>
      </c>
      <c r="J443" t="s">
        <v>1566</v>
      </c>
      <c r="K443" t="s">
        <v>1514</v>
      </c>
      <c r="L443" s="2">
        <v>2</v>
      </c>
      <c r="M443" s="10">
        <v>850</v>
      </c>
      <c r="N443" s="7">
        <v>1700</v>
      </c>
    </row>
    <row r="444" spans="1:14" x14ac:dyDescent="0.3">
      <c r="A444">
        <v>1158</v>
      </c>
      <c r="B444" s="1">
        <v>44966</v>
      </c>
      <c r="C444">
        <v>2023</v>
      </c>
      <c r="D444">
        <v>2</v>
      </c>
      <c r="E444" t="str">
        <f t="shared" si="6"/>
        <v>Februari</v>
      </c>
      <c r="F444">
        <v>1</v>
      </c>
      <c r="G444" t="s">
        <v>1529</v>
      </c>
      <c r="H444" t="s">
        <v>1530</v>
      </c>
      <c r="I444" t="s">
        <v>1521</v>
      </c>
      <c r="J444" t="s">
        <v>1566</v>
      </c>
      <c r="K444" t="s">
        <v>1514</v>
      </c>
      <c r="L444" s="2">
        <v>2</v>
      </c>
      <c r="M444" s="10">
        <v>850</v>
      </c>
      <c r="N444" s="7">
        <v>1700</v>
      </c>
    </row>
    <row r="445" spans="1:14" x14ac:dyDescent="0.3">
      <c r="A445">
        <v>1158</v>
      </c>
      <c r="B445" s="1">
        <v>44760</v>
      </c>
      <c r="C445">
        <v>2022</v>
      </c>
      <c r="D445">
        <v>7</v>
      </c>
      <c r="E445" t="str">
        <f t="shared" si="6"/>
        <v>Juli</v>
      </c>
      <c r="F445">
        <v>3</v>
      </c>
      <c r="G445" t="s">
        <v>1529</v>
      </c>
      <c r="H445" t="s">
        <v>1530</v>
      </c>
      <c r="I445" t="s">
        <v>1521</v>
      </c>
      <c r="J445" t="s">
        <v>1566</v>
      </c>
      <c r="K445" t="s">
        <v>1514</v>
      </c>
      <c r="L445" s="2">
        <v>2</v>
      </c>
      <c r="M445" s="10">
        <v>850</v>
      </c>
      <c r="N445" s="7">
        <v>1700</v>
      </c>
    </row>
    <row r="446" spans="1:14" x14ac:dyDescent="0.3">
      <c r="A446">
        <v>1158</v>
      </c>
      <c r="B446" s="1">
        <v>44691</v>
      </c>
      <c r="C446">
        <v>2022</v>
      </c>
      <c r="D446">
        <v>5</v>
      </c>
      <c r="E446" t="str">
        <f t="shared" si="6"/>
        <v>Mei</v>
      </c>
      <c r="F446">
        <v>2</v>
      </c>
      <c r="G446" t="s">
        <v>1529</v>
      </c>
      <c r="H446" t="s">
        <v>1530</v>
      </c>
      <c r="I446" t="s">
        <v>1521</v>
      </c>
      <c r="J446" t="s">
        <v>1566</v>
      </c>
      <c r="K446" t="s">
        <v>1514</v>
      </c>
      <c r="L446" s="2">
        <v>2</v>
      </c>
      <c r="M446" s="10">
        <v>850</v>
      </c>
      <c r="N446" s="7">
        <v>1700</v>
      </c>
    </row>
    <row r="447" spans="1:14" x14ac:dyDescent="0.3">
      <c r="A447">
        <v>1158</v>
      </c>
      <c r="B447" s="1">
        <v>45547</v>
      </c>
      <c r="C447">
        <v>2024</v>
      </c>
      <c r="D447">
        <v>9</v>
      </c>
      <c r="E447" t="str">
        <f t="shared" si="6"/>
        <v>September</v>
      </c>
      <c r="F447">
        <v>3</v>
      </c>
      <c r="G447" t="s">
        <v>1529</v>
      </c>
      <c r="H447" t="s">
        <v>1530</v>
      </c>
      <c r="I447" t="s">
        <v>1521</v>
      </c>
      <c r="J447" t="s">
        <v>1566</v>
      </c>
      <c r="K447" t="s">
        <v>1514</v>
      </c>
      <c r="L447" s="2">
        <v>2</v>
      </c>
      <c r="M447" s="10">
        <v>850</v>
      </c>
      <c r="N447" s="7">
        <v>1700</v>
      </c>
    </row>
    <row r="448" spans="1:14" x14ac:dyDescent="0.3">
      <c r="A448">
        <v>1158</v>
      </c>
      <c r="B448" s="1">
        <v>44968</v>
      </c>
      <c r="C448">
        <v>2023</v>
      </c>
      <c r="D448">
        <v>2</v>
      </c>
      <c r="E448" t="str">
        <f t="shared" si="6"/>
        <v>Februari</v>
      </c>
      <c r="F448">
        <v>1</v>
      </c>
      <c r="G448" t="s">
        <v>1529</v>
      </c>
      <c r="H448" t="s">
        <v>1530</v>
      </c>
      <c r="I448" t="s">
        <v>1521</v>
      </c>
      <c r="J448" t="s">
        <v>1566</v>
      </c>
      <c r="K448" t="s">
        <v>1514</v>
      </c>
      <c r="L448" s="2">
        <v>2</v>
      </c>
      <c r="M448" s="10">
        <v>850</v>
      </c>
      <c r="N448" s="7">
        <v>1700</v>
      </c>
    </row>
    <row r="449" spans="1:14" x14ac:dyDescent="0.3">
      <c r="A449">
        <v>1158</v>
      </c>
      <c r="B449" s="1">
        <v>44629</v>
      </c>
      <c r="C449">
        <v>2022</v>
      </c>
      <c r="D449">
        <v>3</v>
      </c>
      <c r="E449" t="str">
        <f t="shared" si="6"/>
        <v>Maret</v>
      </c>
      <c r="F449">
        <v>1</v>
      </c>
      <c r="G449" t="s">
        <v>1529</v>
      </c>
      <c r="H449" t="s">
        <v>1530</v>
      </c>
      <c r="I449" t="s">
        <v>1521</v>
      </c>
      <c r="J449" t="s">
        <v>1566</v>
      </c>
      <c r="K449" t="s">
        <v>1514</v>
      </c>
      <c r="L449" s="2">
        <v>2</v>
      </c>
      <c r="M449" s="10">
        <v>850</v>
      </c>
      <c r="N449" s="7">
        <v>1700</v>
      </c>
    </row>
    <row r="450" spans="1:14" x14ac:dyDescent="0.3">
      <c r="A450">
        <v>1159</v>
      </c>
      <c r="B450" s="1">
        <v>45516</v>
      </c>
      <c r="C450">
        <v>2024</v>
      </c>
      <c r="D450">
        <v>8</v>
      </c>
      <c r="E450" t="str">
        <f t="shared" si="6"/>
        <v>Agustus</v>
      </c>
      <c r="F450">
        <v>3</v>
      </c>
      <c r="G450" t="s">
        <v>1532</v>
      </c>
      <c r="H450" t="s">
        <v>1512</v>
      </c>
      <c r="I450" t="s">
        <v>1513</v>
      </c>
      <c r="J450" t="s">
        <v>1566</v>
      </c>
      <c r="K450" t="s">
        <v>1514</v>
      </c>
      <c r="L450" s="2">
        <v>2</v>
      </c>
      <c r="M450" s="10">
        <v>13771</v>
      </c>
      <c r="N450" s="7">
        <v>27542</v>
      </c>
    </row>
    <row r="451" spans="1:14" x14ac:dyDescent="0.3">
      <c r="A451">
        <v>1159</v>
      </c>
      <c r="B451" s="1">
        <v>45460</v>
      </c>
      <c r="C451">
        <v>2024</v>
      </c>
      <c r="D451">
        <v>6</v>
      </c>
      <c r="E451" t="str">
        <f t="shared" ref="E451:E514" si="7">TEXT(DATE(2026, D451, 1), "[$-id-ID]mmmm")</f>
        <v>Juni</v>
      </c>
      <c r="F451">
        <v>2</v>
      </c>
      <c r="G451" t="s">
        <v>1532</v>
      </c>
      <c r="H451" t="s">
        <v>1512</v>
      </c>
      <c r="I451" t="s">
        <v>1513</v>
      </c>
      <c r="J451" t="s">
        <v>1566</v>
      </c>
      <c r="K451" t="s">
        <v>1514</v>
      </c>
      <c r="L451" s="2">
        <v>2</v>
      </c>
      <c r="M451" s="10">
        <v>13771</v>
      </c>
      <c r="N451" s="7">
        <v>27542</v>
      </c>
    </row>
    <row r="452" spans="1:14" x14ac:dyDescent="0.3">
      <c r="A452">
        <v>1159</v>
      </c>
      <c r="B452" s="1">
        <v>45126</v>
      </c>
      <c r="C452">
        <v>2023</v>
      </c>
      <c r="D452">
        <v>7</v>
      </c>
      <c r="E452" t="str">
        <f t="shared" si="7"/>
        <v>Juli</v>
      </c>
      <c r="F452">
        <v>3</v>
      </c>
      <c r="G452" t="s">
        <v>1532</v>
      </c>
      <c r="H452" t="s">
        <v>1512</v>
      </c>
      <c r="I452" t="s">
        <v>1513</v>
      </c>
      <c r="J452" t="s">
        <v>1566</v>
      </c>
      <c r="K452" t="s">
        <v>1514</v>
      </c>
      <c r="L452" s="2">
        <v>2</v>
      </c>
      <c r="M452" s="10">
        <v>13771</v>
      </c>
      <c r="N452" s="7">
        <v>27542</v>
      </c>
    </row>
    <row r="453" spans="1:14" x14ac:dyDescent="0.3">
      <c r="A453">
        <v>1159</v>
      </c>
      <c r="B453" s="1">
        <v>45200</v>
      </c>
      <c r="C453">
        <v>2023</v>
      </c>
      <c r="D453">
        <v>10</v>
      </c>
      <c r="E453" t="str">
        <f t="shared" si="7"/>
        <v>Oktober</v>
      </c>
      <c r="F453">
        <v>4</v>
      </c>
      <c r="G453" t="s">
        <v>1532</v>
      </c>
      <c r="H453" t="s">
        <v>1512</v>
      </c>
      <c r="I453" t="s">
        <v>1513</v>
      </c>
      <c r="J453" t="s">
        <v>1566</v>
      </c>
      <c r="K453" t="s">
        <v>1514</v>
      </c>
      <c r="L453" s="2">
        <v>2</v>
      </c>
      <c r="M453" s="10">
        <v>13771</v>
      </c>
      <c r="N453" s="7">
        <v>27542</v>
      </c>
    </row>
    <row r="454" spans="1:14" x14ac:dyDescent="0.3">
      <c r="A454">
        <v>1160</v>
      </c>
      <c r="B454" s="1">
        <v>44694</v>
      </c>
      <c r="C454">
        <v>2022</v>
      </c>
      <c r="D454">
        <v>5</v>
      </c>
      <c r="E454" t="str">
        <f t="shared" si="7"/>
        <v>Mei</v>
      </c>
      <c r="F454">
        <v>2</v>
      </c>
      <c r="G454" t="s">
        <v>1533</v>
      </c>
      <c r="H454" t="s">
        <v>1520</v>
      </c>
      <c r="I454" t="s">
        <v>1531</v>
      </c>
      <c r="J454" t="s">
        <v>1517</v>
      </c>
      <c r="K454" t="s">
        <v>1518</v>
      </c>
      <c r="L454" s="2">
        <v>4</v>
      </c>
      <c r="M454" s="10">
        <v>258</v>
      </c>
      <c r="N454" s="7">
        <v>1032</v>
      </c>
    </row>
    <row r="455" spans="1:14" x14ac:dyDescent="0.3">
      <c r="A455">
        <v>1160</v>
      </c>
      <c r="B455" s="1">
        <v>44861</v>
      </c>
      <c r="C455">
        <v>2022</v>
      </c>
      <c r="D455">
        <v>10</v>
      </c>
      <c r="E455" t="str">
        <f t="shared" si="7"/>
        <v>Oktober</v>
      </c>
      <c r="F455">
        <v>4</v>
      </c>
      <c r="G455" t="s">
        <v>1533</v>
      </c>
      <c r="H455" t="s">
        <v>1520</v>
      </c>
      <c r="I455" t="s">
        <v>1531</v>
      </c>
      <c r="J455" t="s">
        <v>1517</v>
      </c>
      <c r="K455" t="s">
        <v>1518</v>
      </c>
      <c r="L455" s="2">
        <v>4</v>
      </c>
      <c r="M455" s="10">
        <v>258</v>
      </c>
      <c r="N455" s="7">
        <v>1032</v>
      </c>
    </row>
    <row r="456" spans="1:14" x14ac:dyDescent="0.3">
      <c r="A456">
        <v>1160</v>
      </c>
      <c r="B456" s="1">
        <v>45624</v>
      </c>
      <c r="C456">
        <v>2024</v>
      </c>
      <c r="D456">
        <v>11</v>
      </c>
      <c r="E456" t="str">
        <f t="shared" si="7"/>
        <v>November</v>
      </c>
      <c r="F456">
        <v>4</v>
      </c>
      <c r="G456" t="s">
        <v>1533</v>
      </c>
      <c r="H456" t="s">
        <v>1520</v>
      </c>
      <c r="I456" t="s">
        <v>1531</v>
      </c>
      <c r="J456" t="s">
        <v>1517</v>
      </c>
      <c r="K456" t="s">
        <v>1518</v>
      </c>
      <c r="L456" s="2">
        <v>4</v>
      </c>
      <c r="M456" s="10">
        <v>258</v>
      </c>
      <c r="N456" s="7">
        <v>1032</v>
      </c>
    </row>
    <row r="457" spans="1:14" x14ac:dyDescent="0.3">
      <c r="A457">
        <v>1161</v>
      </c>
      <c r="B457" s="1">
        <v>45287</v>
      </c>
      <c r="C457">
        <v>2023</v>
      </c>
      <c r="D457">
        <v>12</v>
      </c>
      <c r="E457" t="str">
        <f t="shared" si="7"/>
        <v>Desember</v>
      </c>
      <c r="F457">
        <v>4</v>
      </c>
      <c r="G457" t="s">
        <v>1511</v>
      </c>
      <c r="H457" t="s">
        <v>1512</v>
      </c>
      <c r="I457" t="s">
        <v>1535</v>
      </c>
      <c r="J457" t="s">
        <v>1517</v>
      </c>
      <c r="K457" t="s">
        <v>1525</v>
      </c>
      <c r="L457" s="2">
        <v>2</v>
      </c>
      <c r="M457" s="10">
        <v>44856</v>
      </c>
      <c r="N457" s="7">
        <v>89712</v>
      </c>
    </row>
    <row r="458" spans="1:14" x14ac:dyDescent="0.3">
      <c r="A458">
        <v>1161</v>
      </c>
      <c r="B458" s="1">
        <v>45283</v>
      </c>
      <c r="C458">
        <v>2023</v>
      </c>
      <c r="D458">
        <v>12</v>
      </c>
      <c r="E458" t="str">
        <f t="shared" si="7"/>
        <v>Desember</v>
      </c>
      <c r="F458">
        <v>4</v>
      </c>
      <c r="G458" t="s">
        <v>1511</v>
      </c>
      <c r="H458" t="s">
        <v>1512</v>
      </c>
      <c r="I458" t="s">
        <v>1535</v>
      </c>
      <c r="J458" t="s">
        <v>1517</v>
      </c>
      <c r="K458" t="s">
        <v>1525</v>
      </c>
      <c r="L458" s="2">
        <v>2</v>
      </c>
      <c r="M458" s="10">
        <v>44856</v>
      </c>
      <c r="N458" s="7">
        <v>89712</v>
      </c>
    </row>
    <row r="459" spans="1:14" x14ac:dyDescent="0.3">
      <c r="A459">
        <v>1161</v>
      </c>
      <c r="B459" s="1">
        <v>44839</v>
      </c>
      <c r="C459">
        <v>2022</v>
      </c>
      <c r="D459">
        <v>10</v>
      </c>
      <c r="E459" t="str">
        <f t="shared" si="7"/>
        <v>Oktober</v>
      </c>
      <c r="F459">
        <v>4</v>
      </c>
      <c r="G459" t="s">
        <v>1511</v>
      </c>
      <c r="H459" t="s">
        <v>1512</v>
      </c>
      <c r="I459" t="s">
        <v>1535</v>
      </c>
      <c r="J459" t="s">
        <v>1517</v>
      </c>
      <c r="K459" t="s">
        <v>1525</v>
      </c>
      <c r="L459" s="2">
        <v>2</v>
      </c>
      <c r="M459" s="10">
        <v>44856</v>
      </c>
      <c r="N459" s="7">
        <v>89712</v>
      </c>
    </row>
    <row r="460" spans="1:14" x14ac:dyDescent="0.3">
      <c r="A460">
        <v>1162</v>
      </c>
      <c r="B460" s="1">
        <v>44938</v>
      </c>
      <c r="C460">
        <v>2023</v>
      </c>
      <c r="D460">
        <v>1</v>
      </c>
      <c r="E460" t="str">
        <f t="shared" si="7"/>
        <v>Januari</v>
      </c>
      <c r="F460">
        <v>1</v>
      </c>
      <c r="G460" t="s">
        <v>1515</v>
      </c>
      <c r="H460" t="s">
        <v>1512</v>
      </c>
      <c r="I460" t="s">
        <v>1513</v>
      </c>
      <c r="J460" t="s">
        <v>1517</v>
      </c>
      <c r="K460" t="s">
        <v>1525</v>
      </c>
      <c r="L460" s="2">
        <v>3</v>
      </c>
      <c r="M460" s="10">
        <v>3161</v>
      </c>
      <c r="N460" s="7">
        <v>9483</v>
      </c>
    </row>
    <row r="461" spans="1:14" x14ac:dyDescent="0.3">
      <c r="A461">
        <v>1162</v>
      </c>
      <c r="B461" s="1">
        <v>45109</v>
      </c>
      <c r="C461">
        <v>2023</v>
      </c>
      <c r="D461">
        <v>7</v>
      </c>
      <c r="E461" t="str">
        <f t="shared" si="7"/>
        <v>Juli</v>
      </c>
      <c r="F461">
        <v>3</v>
      </c>
      <c r="G461" t="s">
        <v>1515</v>
      </c>
      <c r="H461" t="s">
        <v>1512</v>
      </c>
      <c r="I461" t="s">
        <v>1513</v>
      </c>
      <c r="J461" t="s">
        <v>1517</v>
      </c>
      <c r="K461" t="s">
        <v>1525</v>
      </c>
      <c r="L461" s="2">
        <v>3</v>
      </c>
      <c r="M461" s="10">
        <v>3161</v>
      </c>
      <c r="N461" s="7">
        <v>9483</v>
      </c>
    </row>
    <row r="462" spans="1:14" x14ac:dyDescent="0.3">
      <c r="A462">
        <v>1162</v>
      </c>
      <c r="B462" s="1">
        <v>45580</v>
      </c>
      <c r="C462">
        <v>2024</v>
      </c>
      <c r="D462">
        <v>10</v>
      </c>
      <c r="E462" t="str">
        <f t="shared" si="7"/>
        <v>Oktober</v>
      </c>
      <c r="F462">
        <v>4</v>
      </c>
      <c r="G462" t="s">
        <v>1515</v>
      </c>
      <c r="H462" t="s">
        <v>1512</v>
      </c>
      <c r="I462" t="s">
        <v>1513</v>
      </c>
      <c r="J462" t="s">
        <v>1517</v>
      </c>
      <c r="K462" t="s">
        <v>1525</v>
      </c>
      <c r="L462" s="2">
        <v>3</v>
      </c>
      <c r="M462" s="10">
        <v>3161</v>
      </c>
      <c r="N462" s="7">
        <v>9483</v>
      </c>
    </row>
    <row r="463" spans="1:14" x14ac:dyDescent="0.3">
      <c r="A463">
        <v>1163</v>
      </c>
      <c r="B463" s="1">
        <v>45616</v>
      </c>
      <c r="C463">
        <v>2024</v>
      </c>
      <c r="D463">
        <v>11</v>
      </c>
      <c r="E463" t="str">
        <f t="shared" si="7"/>
        <v>November</v>
      </c>
      <c r="F463">
        <v>4</v>
      </c>
      <c r="G463" t="s">
        <v>1534</v>
      </c>
      <c r="H463" t="s">
        <v>1530</v>
      </c>
      <c r="I463" t="s">
        <v>1513</v>
      </c>
      <c r="J463" t="s">
        <v>1524</v>
      </c>
      <c r="K463" t="s">
        <v>1525</v>
      </c>
      <c r="L463" s="2">
        <v>1</v>
      </c>
      <c r="M463" s="10">
        <v>4464</v>
      </c>
      <c r="N463" s="7">
        <v>4464</v>
      </c>
    </row>
    <row r="464" spans="1:14" x14ac:dyDescent="0.3">
      <c r="A464">
        <v>1163</v>
      </c>
      <c r="B464" s="1">
        <v>45016</v>
      </c>
      <c r="C464">
        <v>2023</v>
      </c>
      <c r="D464">
        <v>3</v>
      </c>
      <c r="E464" t="str">
        <f t="shared" si="7"/>
        <v>Maret</v>
      </c>
      <c r="F464">
        <v>1</v>
      </c>
      <c r="G464" t="s">
        <v>1534</v>
      </c>
      <c r="H464" t="s">
        <v>1530</v>
      </c>
      <c r="I464" t="s">
        <v>1513</v>
      </c>
      <c r="J464" t="s">
        <v>1524</v>
      </c>
      <c r="K464" t="s">
        <v>1525</v>
      </c>
      <c r="L464" s="2">
        <v>1</v>
      </c>
      <c r="M464" s="10">
        <v>4464</v>
      </c>
      <c r="N464" s="7">
        <v>4464</v>
      </c>
    </row>
    <row r="465" spans="1:14" x14ac:dyDescent="0.3">
      <c r="A465">
        <v>1163</v>
      </c>
      <c r="B465" s="1">
        <v>45242</v>
      </c>
      <c r="C465">
        <v>2023</v>
      </c>
      <c r="D465">
        <v>11</v>
      </c>
      <c r="E465" t="str">
        <f t="shared" si="7"/>
        <v>November</v>
      </c>
      <c r="F465">
        <v>4</v>
      </c>
      <c r="G465" t="s">
        <v>1534</v>
      </c>
      <c r="H465" t="s">
        <v>1530</v>
      </c>
      <c r="I465" t="s">
        <v>1513</v>
      </c>
      <c r="J465" t="s">
        <v>1524</v>
      </c>
      <c r="K465" t="s">
        <v>1525</v>
      </c>
      <c r="L465" s="2">
        <v>1</v>
      </c>
      <c r="M465" s="10">
        <v>4464</v>
      </c>
      <c r="N465" s="7">
        <v>4464</v>
      </c>
    </row>
    <row r="466" spans="1:14" x14ac:dyDescent="0.3">
      <c r="A466">
        <v>1163</v>
      </c>
      <c r="B466" s="1">
        <v>45425</v>
      </c>
      <c r="C466">
        <v>2024</v>
      </c>
      <c r="D466">
        <v>5</v>
      </c>
      <c r="E466" t="str">
        <f t="shared" si="7"/>
        <v>Mei</v>
      </c>
      <c r="F466">
        <v>2</v>
      </c>
      <c r="G466" t="s">
        <v>1534</v>
      </c>
      <c r="H466" t="s">
        <v>1530</v>
      </c>
      <c r="I466" t="s">
        <v>1513</v>
      </c>
      <c r="J466" t="s">
        <v>1524</v>
      </c>
      <c r="K466" t="s">
        <v>1525</v>
      </c>
      <c r="L466" s="2">
        <v>1</v>
      </c>
      <c r="M466" s="10">
        <v>4464</v>
      </c>
      <c r="N466" s="7">
        <v>4464</v>
      </c>
    </row>
    <row r="467" spans="1:14" x14ac:dyDescent="0.3">
      <c r="A467">
        <v>1164</v>
      </c>
      <c r="B467" s="1">
        <v>44865</v>
      </c>
      <c r="C467">
        <v>2022</v>
      </c>
      <c r="D467">
        <v>10</v>
      </c>
      <c r="E467" t="str">
        <f t="shared" si="7"/>
        <v>Oktober</v>
      </c>
      <c r="F467">
        <v>4</v>
      </c>
      <c r="G467" t="s">
        <v>1519</v>
      </c>
      <c r="H467" t="s">
        <v>1520</v>
      </c>
      <c r="I467" t="s">
        <v>1516</v>
      </c>
      <c r="J467" t="s">
        <v>1524</v>
      </c>
      <c r="K467" t="s">
        <v>1525</v>
      </c>
      <c r="L467" s="2">
        <v>1</v>
      </c>
      <c r="M467" s="10">
        <v>4758</v>
      </c>
      <c r="N467" s="7">
        <v>4758</v>
      </c>
    </row>
    <row r="468" spans="1:14" x14ac:dyDescent="0.3">
      <c r="A468">
        <v>1164</v>
      </c>
      <c r="B468" s="1">
        <v>45105</v>
      </c>
      <c r="C468">
        <v>2023</v>
      </c>
      <c r="D468">
        <v>6</v>
      </c>
      <c r="E468" t="str">
        <f t="shared" si="7"/>
        <v>Juni</v>
      </c>
      <c r="F468">
        <v>2</v>
      </c>
      <c r="G468" t="s">
        <v>1519</v>
      </c>
      <c r="H468" t="s">
        <v>1520</v>
      </c>
      <c r="I468" t="s">
        <v>1516</v>
      </c>
      <c r="J468" t="s">
        <v>1524</v>
      </c>
      <c r="K468" t="s">
        <v>1525</v>
      </c>
      <c r="L468" s="2">
        <v>1</v>
      </c>
      <c r="M468" s="10">
        <v>4758</v>
      </c>
      <c r="N468" s="7">
        <v>4758</v>
      </c>
    </row>
    <row r="469" spans="1:14" x14ac:dyDescent="0.3">
      <c r="A469">
        <v>1164</v>
      </c>
      <c r="B469" s="1">
        <v>45020</v>
      </c>
      <c r="C469">
        <v>2023</v>
      </c>
      <c r="D469">
        <v>4</v>
      </c>
      <c r="E469" t="str">
        <f t="shared" si="7"/>
        <v>April</v>
      </c>
      <c r="F469">
        <v>2</v>
      </c>
      <c r="G469" t="s">
        <v>1519</v>
      </c>
      <c r="H469" t="s">
        <v>1520</v>
      </c>
      <c r="I469" t="s">
        <v>1516</v>
      </c>
      <c r="J469" t="s">
        <v>1524</v>
      </c>
      <c r="K469" t="s">
        <v>1525</v>
      </c>
      <c r="L469" s="2">
        <v>1</v>
      </c>
      <c r="M469" s="10">
        <v>4758</v>
      </c>
      <c r="N469" s="7">
        <v>4758</v>
      </c>
    </row>
    <row r="470" spans="1:14" x14ac:dyDescent="0.3">
      <c r="A470">
        <v>1164</v>
      </c>
      <c r="B470" s="1">
        <v>44585</v>
      </c>
      <c r="C470">
        <v>2022</v>
      </c>
      <c r="D470">
        <v>1</v>
      </c>
      <c r="E470" t="str">
        <f t="shared" si="7"/>
        <v>Januari</v>
      </c>
      <c r="F470">
        <v>1</v>
      </c>
      <c r="G470" t="s">
        <v>1519</v>
      </c>
      <c r="H470" t="s">
        <v>1520</v>
      </c>
      <c r="I470" t="s">
        <v>1516</v>
      </c>
      <c r="J470" t="s">
        <v>1524</v>
      </c>
      <c r="K470" t="s">
        <v>1525</v>
      </c>
      <c r="L470" s="2">
        <v>1</v>
      </c>
      <c r="M470" s="10">
        <v>4758</v>
      </c>
      <c r="N470" s="7">
        <v>4758</v>
      </c>
    </row>
    <row r="471" spans="1:14" x14ac:dyDescent="0.3">
      <c r="A471">
        <v>1164</v>
      </c>
      <c r="B471" s="1">
        <v>45048</v>
      </c>
      <c r="C471">
        <v>2023</v>
      </c>
      <c r="D471">
        <v>5</v>
      </c>
      <c r="E471" t="str">
        <f t="shared" si="7"/>
        <v>Mei</v>
      </c>
      <c r="F471">
        <v>2</v>
      </c>
      <c r="G471" t="s">
        <v>1519</v>
      </c>
      <c r="H471" t="s">
        <v>1520</v>
      </c>
      <c r="I471" t="s">
        <v>1516</v>
      </c>
      <c r="J471" t="s">
        <v>1524</v>
      </c>
      <c r="K471" t="s">
        <v>1525</v>
      </c>
      <c r="L471" s="2">
        <v>1</v>
      </c>
      <c r="M471" s="10">
        <v>4758</v>
      </c>
      <c r="N471" s="7">
        <v>4758</v>
      </c>
    </row>
    <row r="472" spans="1:14" x14ac:dyDescent="0.3">
      <c r="A472">
        <v>1165</v>
      </c>
      <c r="B472" s="1">
        <v>45442</v>
      </c>
      <c r="C472">
        <v>2024</v>
      </c>
      <c r="D472">
        <v>5</v>
      </c>
      <c r="E472" t="str">
        <f t="shared" si="7"/>
        <v>Mei</v>
      </c>
      <c r="F472">
        <v>2</v>
      </c>
      <c r="G472" t="s">
        <v>1522</v>
      </c>
      <c r="H472" t="s">
        <v>1520</v>
      </c>
      <c r="I472" t="s">
        <v>1513</v>
      </c>
      <c r="J472" t="s">
        <v>1524</v>
      </c>
      <c r="K472" t="s">
        <v>1518</v>
      </c>
      <c r="L472" s="2">
        <v>4</v>
      </c>
      <c r="M472" s="10">
        <v>490</v>
      </c>
      <c r="N472" s="7">
        <v>1960</v>
      </c>
    </row>
    <row r="473" spans="1:14" x14ac:dyDescent="0.3">
      <c r="A473">
        <v>1165</v>
      </c>
      <c r="B473" s="1">
        <v>44914</v>
      </c>
      <c r="C473">
        <v>2022</v>
      </c>
      <c r="D473">
        <v>12</v>
      </c>
      <c r="E473" t="str">
        <f t="shared" si="7"/>
        <v>Desember</v>
      </c>
      <c r="F473">
        <v>4</v>
      </c>
      <c r="G473" t="s">
        <v>1522</v>
      </c>
      <c r="H473" t="s">
        <v>1520</v>
      </c>
      <c r="I473" t="s">
        <v>1513</v>
      </c>
      <c r="J473" t="s">
        <v>1524</v>
      </c>
      <c r="K473" t="s">
        <v>1518</v>
      </c>
      <c r="L473" s="2">
        <v>4</v>
      </c>
      <c r="M473" s="10">
        <v>490</v>
      </c>
      <c r="N473" s="7">
        <v>1960</v>
      </c>
    </row>
    <row r="474" spans="1:14" x14ac:dyDescent="0.3">
      <c r="A474">
        <v>1165</v>
      </c>
      <c r="B474" s="1">
        <v>45315</v>
      </c>
      <c r="C474">
        <v>2024</v>
      </c>
      <c r="D474">
        <v>1</v>
      </c>
      <c r="E474" t="str">
        <f t="shared" si="7"/>
        <v>Januari</v>
      </c>
      <c r="F474">
        <v>1</v>
      </c>
      <c r="G474" t="s">
        <v>1522</v>
      </c>
      <c r="H474" t="s">
        <v>1520</v>
      </c>
      <c r="I474" t="s">
        <v>1513</v>
      </c>
      <c r="J474" t="s">
        <v>1524</v>
      </c>
      <c r="K474" t="s">
        <v>1518</v>
      </c>
      <c r="L474" s="2">
        <v>4</v>
      </c>
      <c r="M474" s="10">
        <v>490</v>
      </c>
      <c r="N474" s="7">
        <v>1960</v>
      </c>
    </row>
    <row r="475" spans="1:14" x14ac:dyDescent="0.3">
      <c r="A475">
        <v>1165</v>
      </c>
      <c r="B475" s="1">
        <v>44740</v>
      </c>
      <c r="C475">
        <v>2022</v>
      </c>
      <c r="D475">
        <v>6</v>
      </c>
      <c r="E475" t="str">
        <f t="shared" si="7"/>
        <v>Juni</v>
      </c>
      <c r="F475">
        <v>2</v>
      </c>
      <c r="G475" t="s">
        <v>1522</v>
      </c>
      <c r="H475" t="s">
        <v>1520</v>
      </c>
      <c r="I475" t="s">
        <v>1513</v>
      </c>
      <c r="J475" t="s">
        <v>1524</v>
      </c>
      <c r="K475" t="s">
        <v>1518</v>
      </c>
      <c r="L475" s="2">
        <v>4</v>
      </c>
      <c r="M475" s="10">
        <v>490</v>
      </c>
      <c r="N475" s="7">
        <v>1960</v>
      </c>
    </row>
    <row r="476" spans="1:14" x14ac:dyDescent="0.3">
      <c r="A476">
        <v>1165</v>
      </c>
      <c r="B476" s="1">
        <v>44902</v>
      </c>
      <c r="C476">
        <v>2022</v>
      </c>
      <c r="D476">
        <v>12</v>
      </c>
      <c r="E476" t="str">
        <f t="shared" si="7"/>
        <v>Desember</v>
      </c>
      <c r="F476">
        <v>4</v>
      </c>
      <c r="G476" t="s">
        <v>1522</v>
      </c>
      <c r="H476" t="s">
        <v>1520</v>
      </c>
      <c r="I476" t="s">
        <v>1513</v>
      </c>
      <c r="J476" t="s">
        <v>1524</v>
      </c>
      <c r="K476" t="s">
        <v>1518</v>
      </c>
      <c r="L476" s="2">
        <v>4</v>
      </c>
      <c r="M476" s="10">
        <v>490</v>
      </c>
      <c r="N476" s="7">
        <v>1960</v>
      </c>
    </row>
    <row r="477" spans="1:14" x14ac:dyDescent="0.3">
      <c r="A477">
        <v>1165</v>
      </c>
      <c r="B477" s="1">
        <v>45092</v>
      </c>
      <c r="C477">
        <v>2023</v>
      </c>
      <c r="D477">
        <v>6</v>
      </c>
      <c r="E477" t="str">
        <f t="shared" si="7"/>
        <v>Juni</v>
      </c>
      <c r="F477">
        <v>2</v>
      </c>
      <c r="G477" t="s">
        <v>1522</v>
      </c>
      <c r="H477" t="s">
        <v>1520</v>
      </c>
      <c r="I477" t="s">
        <v>1513</v>
      </c>
      <c r="J477" t="s">
        <v>1524</v>
      </c>
      <c r="K477" t="s">
        <v>1518</v>
      </c>
      <c r="L477" s="2">
        <v>4</v>
      </c>
      <c r="M477" s="10">
        <v>490</v>
      </c>
      <c r="N477" s="7">
        <v>1960</v>
      </c>
    </row>
    <row r="478" spans="1:14" x14ac:dyDescent="0.3">
      <c r="A478">
        <v>1165</v>
      </c>
      <c r="B478" s="1">
        <v>45401</v>
      </c>
      <c r="C478">
        <v>2024</v>
      </c>
      <c r="D478">
        <v>4</v>
      </c>
      <c r="E478" t="str">
        <f t="shared" si="7"/>
        <v>April</v>
      </c>
      <c r="F478">
        <v>2</v>
      </c>
      <c r="G478" t="s">
        <v>1522</v>
      </c>
      <c r="H478" t="s">
        <v>1520</v>
      </c>
      <c r="I478" t="s">
        <v>1513</v>
      </c>
      <c r="J478" t="s">
        <v>1524</v>
      </c>
      <c r="K478" t="s">
        <v>1518</v>
      </c>
      <c r="L478" s="2">
        <v>4</v>
      </c>
      <c r="M478" s="10">
        <v>490</v>
      </c>
      <c r="N478" s="7">
        <v>1960</v>
      </c>
    </row>
    <row r="479" spans="1:14" x14ac:dyDescent="0.3">
      <c r="A479">
        <v>1166</v>
      </c>
      <c r="B479" s="1">
        <v>45216</v>
      </c>
      <c r="C479">
        <v>2023</v>
      </c>
      <c r="D479">
        <v>10</v>
      </c>
      <c r="E479" t="str">
        <f t="shared" si="7"/>
        <v>Oktober</v>
      </c>
      <c r="F479">
        <v>4</v>
      </c>
      <c r="G479" t="s">
        <v>1523</v>
      </c>
      <c r="H479" t="s">
        <v>1512</v>
      </c>
      <c r="I479" t="s">
        <v>1531</v>
      </c>
      <c r="J479" t="s">
        <v>1566</v>
      </c>
      <c r="K479" t="s">
        <v>1518</v>
      </c>
      <c r="L479" s="2">
        <v>1</v>
      </c>
      <c r="M479" s="10">
        <v>38739</v>
      </c>
      <c r="N479" s="7">
        <v>38739</v>
      </c>
    </row>
    <row r="480" spans="1:14" x14ac:dyDescent="0.3">
      <c r="A480">
        <v>1166</v>
      </c>
      <c r="B480" s="1">
        <v>45335</v>
      </c>
      <c r="C480">
        <v>2024</v>
      </c>
      <c r="D480">
        <v>2</v>
      </c>
      <c r="E480" t="str">
        <f t="shared" si="7"/>
        <v>Februari</v>
      </c>
      <c r="F480">
        <v>1</v>
      </c>
      <c r="G480" t="s">
        <v>1523</v>
      </c>
      <c r="H480" t="s">
        <v>1512</v>
      </c>
      <c r="I480" t="s">
        <v>1531</v>
      </c>
      <c r="J480" t="s">
        <v>1566</v>
      </c>
      <c r="K480" t="s">
        <v>1518</v>
      </c>
      <c r="L480" s="2">
        <v>1</v>
      </c>
      <c r="M480" s="10">
        <v>38739</v>
      </c>
      <c r="N480" s="7">
        <v>38739</v>
      </c>
    </row>
    <row r="481" spans="1:14" x14ac:dyDescent="0.3">
      <c r="A481">
        <v>1166</v>
      </c>
      <c r="B481" s="1">
        <v>44894</v>
      </c>
      <c r="C481">
        <v>2022</v>
      </c>
      <c r="D481">
        <v>11</v>
      </c>
      <c r="E481" t="str">
        <f t="shared" si="7"/>
        <v>November</v>
      </c>
      <c r="F481">
        <v>4</v>
      </c>
      <c r="G481" t="s">
        <v>1523</v>
      </c>
      <c r="H481" t="s">
        <v>1512</v>
      </c>
      <c r="I481" t="s">
        <v>1531</v>
      </c>
      <c r="J481" t="s">
        <v>1566</v>
      </c>
      <c r="K481" t="s">
        <v>1518</v>
      </c>
      <c r="L481" s="2">
        <v>1</v>
      </c>
      <c r="M481" s="10">
        <v>38739</v>
      </c>
      <c r="N481" s="7">
        <v>38739</v>
      </c>
    </row>
    <row r="482" spans="1:14" x14ac:dyDescent="0.3">
      <c r="A482">
        <v>1167</v>
      </c>
      <c r="B482" s="1">
        <v>44901</v>
      </c>
      <c r="C482">
        <v>2022</v>
      </c>
      <c r="D482">
        <v>12</v>
      </c>
      <c r="E482" t="str">
        <f t="shared" si="7"/>
        <v>Desember</v>
      </c>
      <c r="F482">
        <v>4</v>
      </c>
      <c r="G482" t="s">
        <v>1526</v>
      </c>
      <c r="H482" t="s">
        <v>1527</v>
      </c>
      <c r="I482" t="s">
        <v>1513</v>
      </c>
      <c r="J482" t="s">
        <v>1517</v>
      </c>
      <c r="K482" t="s">
        <v>1525</v>
      </c>
      <c r="L482" s="2">
        <v>3</v>
      </c>
      <c r="M482" s="10">
        <v>368</v>
      </c>
      <c r="N482" s="7">
        <v>1104</v>
      </c>
    </row>
    <row r="483" spans="1:14" x14ac:dyDescent="0.3">
      <c r="A483">
        <v>1167</v>
      </c>
      <c r="B483" s="1">
        <v>44929</v>
      </c>
      <c r="C483">
        <v>2023</v>
      </c>
      <c r="D483">
        <v>1</v>
      </c>
      <c r="E483" t="str">
        <f t="shared" si="7"/>
        <v>Januari</v>
      </c>
      <c r="F483">
        <v>1</v>
      </c>
      <c r="G483" t="s">
        <v>1526</v>
      </c>
      <c r="H483" t="s">
        <v>1527</v>
      </c>
      <c r="I483" t="s">
        <v>1513</v>
      </c>
      <c r="J483" t="s">
        <v>1517</v>
      </c>
      <c r="K483" t="s">
        <v>1525</v>
      </c>
      <c r="L483" s="2">
        <v>3</v>
      </c>
      <c r="M483" s="10">
        <v>368</v>
      </c>
      <c r="N483" s="7">
        <v>1104</v>
      </c>
    </row>
    <row r="484" spans="1:14" x14ac:dyDescent="0.3">
      <c r="A484">
        <v>1167</v>
      </c>
      <c r="B484" s="1">
        <v>45357</v>
      </c>
      <c r="C484">
        <v>2024</v>
      </c>
      <c r="D484">
        <v>3</v>
      </c>
      <c r="E484" t="str">
        <f t="shared" si="7"/>
        <v>Maret</v>
      </c>
      <c r="F484">
        <v>1</v>
      </c>
      <c r="G484" t="s">
        <v>1526</v>
      </c>
      <c r="H484" t="s">
        <v>1527</v>
      </c>
      <c r="I484" t="s">
        <v>1513</v>
      </c>
      <c r="J484" t="s">
        <v>1517</v>
      </c>
      <c r="K484" t="s">
        <v>1525</v>
      </c>
      <c r="L484" s="2">
        <v>3</v>
      </c>
      <c r="M484" s="10">
        <v>368</v>
      </c>
      <c r="N484" s="7">
        <v>1104</v>
      </c>
    </row>
    <row r="485" spans="1:14" x14ac:dyDescent="0.3">
      <c r="A485">
        <v>1168</v>
      </c>
      <c r="B485" s="1">
        <v>44587</v>
      </c>
      <c r="C485">
        <v>2022</v>
      </c>
      <c r="D485">
        <v>1</v>
      </c>
      <c r="E485" t="str">
        <f t="shared" si="7"/>
        <v>Januari</v>
      </c>
      <c r="F485">
        <v>1</v>
      </c>
      <c r="G485" t="s">
        <v>1529</v>
      </c>
      <c r="H485" t="s">
        <v>1530</v>
      </c>
      <c r="I485" t="s">
        <v>1521</v>
      </c>
      <c r="J485" t="s">
        <v>1517</v>
      </c>
      <c r="K485" t="s">
        <v>1514</v>
      </c>
      <c r="L485" s="2">
        <v>1</v>
      </c>
      <c r="M485" s="10">
        <v>1931</v>
      </c>
      <c r="N485" s="7">
        <v>1931</v>
      </c>
    </row>
    <row r="486" spans="1:14" x14ac:dyDescent="0.3">
      <c r="A486">
        <v>1169</v>
      </c>
      <c r="B486" s="1">
        <v>44741</v>
      </c>
      <c r="C486">
        <v>2022</v>
      </c>
      <c r="D486">
        <v>6</v>
      </c>
      <c r="E486" t="str">
        <f t="shared" si="7"/>
        <v>Juni</v>
      </c>
      <c r="F486">
        <v>2</v>
      </c>
      <c r="G486" t="s">
        <v>1532</v>
      </c>
      <c r="H486" t="s">
        <v>1512</v>
      </c>
      <c r="I486" t="s">
        <v>1535</v>
      </c>
      <c r="J486" t="s">
        <v>1517</v>
      </c>
      <c r="K486" t="s">
        <v>1518</v>
      </c>
      <c r="L486" s="2">
        <v>2</v>
      </c>
      <c r="M486" s="10">
        <v>14370</v>
      </c>
      <c r="N486" s="7">
        <v>28740</v>
      </c>
    </row>
    <row r="487" spans="1:14" x14ac:dyDescent="0.3">
      <c r="A487">
        <v>1169</v>
      </c>
      <c r="B487" s="1">
        <v>45110</v>
      </c>
      <c r="C487">
        <v>2023</v>
      </c>
      <c r="D487">
        <v>7</v>
      </c>
      <c r="E487" t="str">
        <f t="shared" si="7"/>
        <v>Juli</v>
      </c>
      <c r="F487">
        <v>3</v>
      </c>
      <c r="G487" t="s">
        <v>1532</v>
      </c>
      <c r="H487" t="s">
        <v>1512</v>
      </c>
      <c r="I487" t="s">
        <v>1535</v>
      </c>
      <c r="J487" t="s">
        <v>1517</v>
      </c>
      <c r="K487" t="s">
        <v>1518</v>
      </c>
      <c r="L487" s="2">
        <v>2</v>
      </c>
      <c r="M487" s="10">
        <v>14370</v>
      </c>
      <c r="N487" s="7">
        <v>28740</v>
      </c>
    </row>
    <row r="488" spans="1:14" x14ac:dyDescent="0.3">
      <c r="A488">
        <v>1169</v>
      </c>
      <c r="B488" s="1">
        <v>44736</v>
      </c>
      <c r="C488">
        <v>2022</v>
      </c>
      <c r="D488">
        <v>6</v>
      </c>
      <c r="E488" t="str">
        <f t="shared" si="7"/>
        <v>Juni</v>
      </c>
      <c r="F488">
        <v>2</v>
      </c>
      <c r="G488" t="s">
        <v>1532</v>
      </c>
      <c r="H488" t="s">
        <v>1512</v>
      </c>
      <c r="I488" t="s">
        <v>1535</v>
      </c>
      <c r="J488" t="s">
        <v>1517</v>
      </c>
      <c r="K488" t="s">
        <v>1518</v>
      </c>
      <c r="L488" s="2">
        <v>2</v>
      </c>
      <c r="M488" s="10">
        <v>14370</v>
      </c>
      <c r="N488" s="7">
        <v>28740</v>
      </c>
    </row>
    <row r="489" spans="1:14" x14ac:dyDescent="0.3">
      <c r="A489">
        <v>1169</v>
      </c>
      <c r="B489" s="1">
        <v>45211</v>
      </c>
      <c r="C489">
        <v>2023</v>
      </c>
      <c r="D489">
        <v>10</v>
      </c>
      <c r="E489" t="str">
        <f t="shared" si="7"/>
        <v>Oktober</v>
      </c>
      <c r="F489">
        <v>4</v>
      </c>
      <c r="G489" t="s">
        <v>1532</v>
      </c>
      <c r="H489" t="s">
        <v>1512</v>
      </c>
      <c r="I489" t="s">
        <v>1535</v>
      </c>
      <c r="J489" t="s">
        <v>1517</v>
      </c>
      <c r="K489" t="s">
        <v>1518</v>
      </c>
      <c r="L489" s="2">
        <v>2</v>
      </c>
      <c r="M489" s="10">
        <v>14370</v>
      </c>
      <c r="N489" s="7">
        <v>28740</v>
      </c>
    </row>
    <row r="490" spans="1:14" x14ac:dyDescent="0.3">
      <c r="A490">
        <v>1169</v>
      </c>
      <c r="B490" s="1">
        <v>44817</v>
      </c>
      <c r="C490">
        <v>2022</v>
      </c>
      <c r="D490">
        <v>9</v>
      </c>
      <c r="E490" t="str">
        <f t="shared" si="7"/>
        <v>September</v>
      </c>
      <c r="F490">
        <v>3</v>
      </c>
      <c r="G490" t="s">
        <v>1532</v>
      </c>
      <c r="H490" t="s">
        <v>1512</v>
      </c>
      <c r="I490" t="s">
        <v>1535</v>
      </c>
      <c r="J490" t="s">
        <v>1517</v>
      </c>
      <c r="K490" t="s">
        <v>1518</v>
      </c>
      <c r="L490" s="2">
        <v>2</v>
      </c>
      <c r="M490" s="10">
        <v>14370</v>
      </c>
      <c r="N490" s="7">
        <v>28740</v>
      </c>
    </row>
    <row r="491" spans="1:14" x14ac:dyDescent="0.3">
      <c r="A491">
        <v>1170</v>
      </c>
      <c r="B491" s="1">
        <v>45164</v>
      </c>
      <c r="C491">
        <v>2023</v>
      </c>
      <c r="D491">
        <v>8</v>
      </c>
      <c r="E491" t="str">
        <f t="shared" si="7"/>
        <v>Agustus</v>
      </c>
      <c r="F491">
        <v>3</v>
      </c>
      <c r="G491" t="s">
        <v>1533</v>
      </c>
      <c r="H491" t="s">
        <v>1520</v>
      </c>
      <c r="I491" t="s">
        <v>1513</v>
      </c>
      <c r="J491" t="s">
        <v>1524</v>
      </c>
      <c r="K491" t="s">
        <v>1525</v>
      </c>
      <c r="L491" s="2">
        <v>2</v>
      </c>
      <c r="M491" s="10">
        <v>780</v>
      </c>
      <c r="N491" s="7">
        <v>1560</v>
      </c>
    </row>
    <row r="492" spans="1:14" x14ac:dyDescent="0.3">
      <c r="A492">
        <v>1170</v>
      </c>
      <c r="B492" s="1">
        <v>45240</v>
      </c>
      <c r="C492">
        <v>2023</v>
      </c>
      <c r="D492">
        <v>11</v>
      </c>
      <c r="E492" t="str">
        <f t="shared" si="7"/>
        <v>November</v>
      </c>
      <c r="F492">
        <v>4</v>
      </c>
      <c r="G492" t="s">
        <v>1533</v>
      </c>
      <c r="H492" t="s">
        <v>1520</v>
      </c>
      <c r="I492" t="s">
        <v>1513</v>
      </c>
      <c r="J492" t="s">
        <v>1524</v>
      </c>
      <c r="K492" t="s">
        <v>1525</v>
      </c>
      <c r="L492" s="2">
        <v>2</v>
      </c>
      <c r="M492" s="10">
        <v>780</v>
      </c>
      <c r="N492" s="7">
        <v>1560</v>
      </c>
    </row>
    <row r="493" spans="1:14" x14ac:dyDescent="0.3">
      <c r="A493">
        <v>1170</v>
      </c>
      <c r="B493" s="1">
        <v>45633</v>
      </c>
      <c r="C493">
        <v>2024</v>
      </c>
      <c r="D493">
        <v>12</v>
      </c>
      <c r="E493" t="str">
        <f t="shared" si="7"/>
        <v>Desember</v>
      </c>
      <c r="F493">
        <v>4</v>
      </c>
      <c r="G493" t="s">
        <v>1533</v>
      </c>
      <c r="H493" t="s">
        <v>1520</v>
      </c>
      <c r="I493" t="s">
        <v>1513</v>
      </c>
      <c r="J493" t="s">
        <v>1524</v>
      </c>
      <c r="K493" t="s">
        <v>1525</v>
      </c>
      <c r="L493" s="2">
        <v>2</v>
      </c>
      <c r="M493" s="10">
        <v>780</v>
      </c>
      <c r="N493" s="7">
        <v>1560</v>
      </c>
    </row>
    <row r="494" spans="1:14" x14ac:dyDescent="0.3">
      <c r="A494">
        <v>1171</v>
      </c>
      <c r="B494" s="1">
        <v>44613</v>
      </c>
      <c r="C494">
        <v>2022</v>
      </c>
      <c r="D494">
        <v>2</v>
      </c>
      <c r="E494" t="str">
        <f t="shared" si="7"/>
        <v>Februari</v>
      </c>
      <c r="F494">
        <v>1</v>
      </c>
      <c r="G494" t="s">
        <v>1511</v>
      </c>
      <c r="H494" t="s">
        <v>1512</v>
      </c>
      <c r="I494" t="s">
        <v>1531</v>
      </c>
      <c r="J494" t="s">
        <v>1566</v>
      </c>
      <c r="K494" t="s">
        <v>1518</v>
      </c>
      <c r="L494" s="2">
        <v>2</v>
      </c>
      <c r="M494" s="10">
        <v>54865</v>
      </c>
      <c r="N494" s="7">
        <v>109730</v>
      </c>
    </row>
    <row r="495" spans="1:14" x14ac:dyDescent="0.3">
      <c r="A495">
        <v>1172</v>
      </c>
      <c r="B495" s="1">
        <v>45641</v>
      </c>
      <c r="C495">
        <v>2024</v>
      </c>
      <c r="D495">
        <v>12</v>
      </c>
      <c r="E495" t="str">
        <f t="shared" si="7"/>
        <v>Desember</v>
      </c>
      <c r="F495">
        <v>4</v>
      </c>
      <c r="G495" t="s">
        <v>1515</v>
      </c>
      <c r="H495" t="s">
        <v>1512</v>
      </c>
      <c r="I495" t="s">
        <v>1528</v>
      </c>
      <c r="J495" t="s">
        <v>1566</v>
      </c>
      <c r="K495" t="s">
        <v>1518</v>
      </c>
      <c r="L495" s="2">
        <v>2</v>
      </c>
      <c r="M495" s="10">
        <v>4481</v>
      </c>
      <c r="N495" s="7">
        <v>8962</v>
      </c>
    </row>
    <row r="496" spans="1:14" x14ac:dyDescent="0.3">
      <c r="A496">
        <v>1172</v>
      </c>
      <c r="B496" s="1">
        <v>45567</v>
      </c>
      <c r="C496">
        <v>2024</v>
      </c>
      <c r="D496">
        <v>10</v>
      </c>
      <c r="E496" t="str">
        <f t="shared" si="7"/>
        <v>Oktober</v>
      </c>
      <c r="F496">
        <v>4</v>
      </c>
      <c r="G496" t="s">
        <v>1515</v>
      </c>
      <c r="H496" t="s">
        <v>1512</v>
      </c>
      <c r="I496" t="s">
        <v>1528</v>
      </c>
      <c r="J496" t="s">
        <v>1566</v>
      </c>
      <c r="K496" t="s">
        <v>1518</v>
      </c>
      <c r="L496" s="2">
        <v>2</v>
      </c>
      <c r="M496" s="10">
        <v>4481</v>
      </c>
      <c r="N496" s="7">
        <v>8962</v>
      </c>
    </row>
    <row r="497" spans="1:14" x14ac:dyDescent="0.3">
      <c r="A497">
        <v>1173</v>
      </c>
      <c r="B497" s="1">
        <v>45035</v>
      </c>
      <c r="C497">
        <v>2023</v>
      </c>
      <c r="D497">
        <v>4</v>
      </c>
      <c r="E497" t="str">
        <f t="shared" si="7"/>
        <v>April</v>
      </c>
      <c r="F497">
        <v>2</v>
      </c>
      <c r="G497" t="s">
        <v>1534</v>
      </c>
      <c r="H497" t="s">
        <v>1530</v>
      </c>
      <c r="I497" t="s">
        <v>1521</v>
      </c>
      <c r="J497" t="s">
        <v>1566</v>
      </c>
      <c r="K497" t="s">
        <v>1514</v>
      </c>
      <c r="L497" s="2">
        <v>2</v>
      </c>
      <c r="M497" s="10">
        <v>1972</v>
      </c>
      <c r="N497" s="7">
        <v>3944</v>
      </c>
    </row>
    <row r="498" spans="1:14" x14ac:dyDescent="0.3">
      <c r="A498">
        <v>1173</v>
      </c>
      <c r="B498" s="1">
        <v>44623</v>
      </c>
      <c r="C498">
        <v>2022</v>
      </c>
      <c r="D498">
        <v>3</v>
      </c>
      <c r="E498" t="str">
        <f t="shared" si="7"/>
        <v>Maret</v>
      </c>
      <c r="F498">
        <v>1</v>
      </c>
      <c r="G498" t="s">
        <v>1534</v>
      </c>
      <c r="H498" t="s">
        <v>1530</v>
      </c>
      <c r="I498" t="s">
        <v>1521</v>
      </c>
      <c r="J498" t="s">
        <v>1566</v>
      </c>
      <c r="K498" t="s">
        <v>1514</v>
      </c>
      <c r="L498" s="2">
        <v>2</v>
      </c>
      <c r="M498" s="10">
        <v>1972</v>
      </c>
      <c r="N498" s="7">
        <v>3944</v>
      </c>
    </row>
    <row r="499" spans="1:14" x14ac:dyDescent="0.3">
      <c r="A499">
        <v>1173</v>
      </c>
      <c r="B499" s="1">
        <v>45185</v>
      </c>
      <c r="C499">
        <v>2023</v>
      </c>
      <c r="D499">
        <v>9</v>
      </c>
      <c r="E499" t="str">
        <f t="shared" si="7"/>
        <v>September</v>
      </c>
      <c r="F499">
        <v>3</v>
      </c>
      <c r="G499" t="s">
        <v>1534</v>
      </c>
      <c r="H499" t="s">
        <v>1530</v>
      </c>
      <c r="I499" t="s">
        <v>1521</v>
      </c>
      <c r="J499" t="s">
        <v>1566</v>
      </c>
      <c r="K499" t="s">
        <v>1514</v>
      </c>
      <c r="L499" s="2">
        <v>2</v>
      </c>
      <c r="M499" s="10">
        <v>1972</v>
      </c>
      <c r="N499" s="7">
        <v>3944</v>
      </c>
    </row>
    <row r="500" spans="1:14" x14ac:dyDescent="0.3">
      <c r="A500">
        <v>1173</v>
      </c>
      <c r="B500" s="1">
        <v>44789</v>
      </c>
      <c r="C500">
        <v>2022</v>
      </c>
      <c r="D500">
        <v>8</v>
      </c>
      <c r="E500" t="str">
        <f t="shared" si="7"/>
        <v>Agustus</v>
      </c>
      <c r="F500">
        <v>3</v>
      </c>
      <c r="G500" t="s">
        <v>1534</v>
      </c>
      <c r="H500" t="s">
        <v>1530</v>
      </c>
      <c r="I500" t="s">
        <v>1521</v>
      </c>
      <c r="J500" t="s">
        <v>1566</v>
      </c>
      <c r="K500" t="s">
        <v>1514</v>
      </c>
      <c r="L500" s="2">
        <v>2</v>
      </c>
      <c r="M500" s="10">
        <v>1972</v>
      </c>
      <c r="N500" s="7">
        <v>3944</v>
      </c>
    </row>
    <row r="501" spans="1:14" x14ac:dyDescent="0.3">
      <c r="A501">
        <v>1174</v>
      </c>
      <c r="B501" s="1">
        <v>45399</v>
      </c>
      <c r="C501">
        <v>2024</v>
      </c>
      <c r="D501">
        <v>4</v>
      </c>
      <c r="E501" t="str">
        <f t="shared" si="7"/>
        <v>April</v>
      </c>
      <c r="F501">
        <v>2</v>
      </c>
      <c r="G501" t="s">
        <v>1519</v>
      </c>
      <c r="H501" t="s">
        <v>1520</v>
      </c>
      <c r="I501" t="s">
        <v>1531</v>
      </c>
      <c r="J501" t="s">
        <v>1566</v>
      </c>
      <c r="K501" t="s">
        <v>1514</v>
      </c>
      <c r="L501" s="2">
        <v>1</v>
      </c>
      <c r="M501" s="10">
        <v>9837</v>
      </c>
      <c r="N501" s="7">
        <v>9837</v>
      </c>
    </row>
    <row r="502" spans="1:14" x14ac:dyDescent="0.3">
      <c r="A502">
        <v>1174</v>
      </c>
      <c r="B502" s="1">
        <v>44655</v>
      </c>
      <c r="C502">
        <v>2022</v>
      </c>
      <c r="D502">
        <v>4</v>
      </c>
      <c r="E502" t="str">
        <f t="shared" si="7"/>
        <v>April</v>
      </c>
      <c r="F502">
        <v>2</v>
      </c>
      <c r="G502" t="s">
        <v>1519</v>
      </c>
      <c r="H502" t="s">
        <v>1520</v>
      </c>
      <c r="I502" t="s">
        <v>1531</v>
      </c>
      <c r="J502" t="s">
        <v>1566</v>
      </c>
      <c r="K502" t="s">
        <v>1514</v>
      </c>
      <c r="L502" s="2">
        <v>1</v>
      </c>
      <c r="M502" s="10">
        <v>9837</v>
      </c>
      <c r="N502" s="7">
        <v>9837</v>
      </c>
    </row>
    <row r="503" spans="1:14" x14ac:dyDescent="0.3">
      <c r="A503">
        <v>1174</v>
      </c>
      <c r="B503" s="1">
        <v>44639</v>
      </c>
      <c r="C503">
        <v>2022</v>
      </c>
      <c r="D503">
        <v>3</v>
      </c>
      <c r="E503" t="str">
        <f t="shared" si="7"/>
        <v>Maret</v>
      </c>
      <c r="F503">
        <v>1</v>
      </c>
      <c r="G503" t="s">
        <v>1519</v>
      </c>
      <c r="H503" t="s">
        <v>1520</v>
      </c>
      <c r="I503" t="s">
        <v>1531</v>
      </c>
      <c r="J503" t="s">
        <v>1566</v>
      </c>
      <c r="K503" t="s">
        <v>1514</v>
      </c>
      <c r="L503" s="2">
        <v>1</v>
      </c>
      <c r="M503" s="10">
        <v>9837</v>
      </c>
      <c r="N503" s="7">
        <v>9837</v>
      </c>
    </row>
    <row r="504" spans="1:14" x14ac:dyDescent="0.3">
      <c r="A504">
        <v>1175</v>
      </c>
      <c r="B504" s="1">
        <v>44824</v>
      </c>
      <c r="C504">
        <v>2022</v>
      </c>
      <c r="D504">
        <v>9</v>
      </c>
      <c r="E504" t="str">
        <f t="shared" si="7"/>
        <v>September</v>
      </c>
      <c r="F504">
        <v>3</v>
      </c>
      <c r="G504" t="s">
        <v>1522</v>
      </c>
      <c r="H504" t="s">
        <v>1520</v>
      </c>
      <c r="I504" t="s">
        <v>1513</v>
      </c>
      <c r="J504" t="s">
        <v>1517</v>
      </c>
      <c r="K504" t="s">
        <v>1514</v>
      </c>
      <c r="L504" s="2">
        <v>5</v>
      </c>
      <c r="M504" s="10">
        <v>857</v>
      </c>
      <c r="N504" s="7">
        <v>4285</v>
      </c>
    </row>
    <row r="505" spans="1:14" x14ac:dyDescent="0.3">
      <c r="A505">
        <v>1176</v>
      </c>
      <c r="B505" s="1">
        <v>45052</v>
      </c>
      <c r="C505">
        <v>2023</v>
      </c>
      <c r="D505">
        <v>5</v>
      </c>
      <c r="E505" t="str">
        <f t="shared" si="7"/>
        <v>Mei</v>
      </c>
      <c r="F505">
        <v>2</v>
      </c>
      <c r="G505" t="s">
        <v>1523</v>
      </c>
      <c r="H505" t="s">
        <v>1512</v>
      </c>
      <c r="I505" t="s">
        <v>1513</v>
      </c>
      <c r="J505" t="s">
        <v>1566</v>
      </c>
      <c r="K505" t="s">
        <v>1514</v>
      </c>
      <c r="L505" s="2">
        <v>1</v>
      </c>
      <c r="M505" s="10">
        <v>20323</v>
      </c>
      <c r="N505" s="7">
        <v>20323</v>
      </c>
    </row>
    <row r="506" spans="1:14" x14ac:dyDescent="0.3">
      <c r="A506">
        <v>1176</v>
      </c>
      <c r="B506" s="1">
        <v>44738</v>
      </c>
      <c r="C506">
        <v>2022</v>
      </c>
      <c r="D506">
        <v>6</v>
      </c>
      <c r="E506" t="str">
        <f t="shared" si="7"/>
        <v>Juni</v>
      </c>
      <c r="F506">
        <v>2</v>
      </c>
      <c r="G506" t="s">
        <v>1523</v>
      </c>
      <c r="H506" t="s">
        <v>1512</v>
      </c>
      <c r="I506" t="s">
        <v>1513</v>
      </c>
      <c r="J506" t="s">
        <v>1566</v>
      </c>
      <c r="K506" t="s">
        <v>1514</v>
      </c>
      <c r="L506" s="2">
        <v>1</v>
      </c>
      <c r="M506" s="10">
        <v>20323</v>
      </c>
      <c r="N506" s="7">
        <v>20323</v>
      </c>
    </row>
    <row r="507" spans="1:14" x14ac:dyDescent="0.3">
      <c r="A507">
        <v>1176</v>
      </c>
      <c r="B507" s="1">
        <v>44956</v>
      </c>
      <c r="C507">
        <v>2023</v>
      </c>
      <c r="D507">
        <v>1</v>
      </c>
      <c r="E507" t="str">
        <f t="shared" si="7"/>
        <v>Januari</v>
      </c>
      <c r="F507">
        <v>1</v>
      </c>
      <c r="G507" t="s">
        <v>1523</v>
      </c>
      <c r="H507" t="s">
        <v>1512</v>
      </c>
      <c r="I507" t="s">
        <v>1513</v>
      </c>
      <c r="J507" t="s">
        <v>1566</v>
      </c>
      <c r="K507" t="s">
        <v>1514</v>
      </c>
      <c r="L507" s="2">
        <v>1</v>
      </c>
      <c r="M507" s="10">
        <v>20323</v>
      </c>
      <c r="N507" s="7">
        <v>20323</v>
      </c>
    </row>
    <row r="508" spans="1:14" x14ac:dyDescent="0.3">
      <c r="A508">
        <v>1177</v>
      </c>
      <c r="B508" s="1">
        <v>45328</v>
      </c>
      <c r="C508">
        <v>2024</v>
      </c>
      <c r="D508">
        <v>2</v>
      </c>
      <c r="E508" t="str">
        <f t="shared" si="7"/>
        <v>Februari</v>
      </c>
      <c r="F508">
        <v>1</v>
      </c>
      <c r="G508" t="s">
        <v>1526</v>
      </c>
      <c r="H508" t="s">
        <v>1527</v>
      </c>
      <c r="I508" t="s">
        <v>1531</v>
      </c>
      <c r="J508" t="s">
        <v>1517</v>
      </c>
      <c r="K508" t="s">
        <v>1525</v>
      </c>
      <c r="L508" s="2">
        <v>5</v>
      </c>
      <c r="M508" s="10">
        <v>1000</v>
      </c>
      <c r="N508" s="7">
        <v>5000</v>
      </c>
    </row>
    <row r="509" spans="1:14" x14ac:dyDescent="0.3">
      <c r="A509">
        <v>1177</v>
      </c>
      <c r="B509" s="1">
        <v>45342</v>
      </c>
      <c r="C509">
        <v>2024</v>
      </c>
      <c r="D509">
        <v>2</v>
      </c>
      <c r="E509" t="str">
        <f t="shared" si="7"/>
        <v>Februari</v>
      </c>
      <c r="F509">
        <v>1</v>
      </c>
      <c r="G509" t="s">
        <v>1526</v>
      </c>
      <c r="H509" t="s">
        <v>1527</v>
      </c>
      <c r="I509" t="s">
        <v>1531</v>
      </c>
      <c r="J509" t="s">
        <v>1517</v>
      </c>
      <c r="K509" t="s">
        <v>1525</v>
      </c>
      <c r="L509" s="2">
        <v>5</v>
      </c>
      <c r="M509" s="10">
        <v>1000</v>
      </c>
      <c r="N509" s="7">
        <v>5000</v>
      </c>
    </row>
    <row r="510" spans="1:14" x14ac:dyDescent="0.3">
      <c r="A510">
        <v>1177</v>
      </c>
      <c r="B510" s="1">
        <v>45186</v>
      </c>
      <c r="C510">
        <v>2023</v>
      </c>
      <c r="D510">
        <v>9</v>
      </c>
      <c r="E510" t="str">
        <f t="shared" si="7"/>
        <v>September</v>
      </c>
      <c r="F510">
        <v>3</v>
      </c>
      <c r="G510" t="s">
        <v>1526</v>
      </c>
      <c r="H510" t="s">
        <v>1527</v>
      </c>
      <c r="I510" t="s">
        <v>1531</v>
      </c>
      <c r="J510" t="s">
        <v>1517</v>
      </c>
      <c r="K510" t="s">
        <v>1525</v>
      </c>
      <c r="L510" s="2">
        <v>5</v>
      </c>
      <c r="M510" s="10">
        <v>1000</v>
      </c>
      <c r="N510" s="7">
        <v>5000</v>
      </c>
    </row>
    <row r="511" spans="1:14" x14ac:dyDescent="0.3">
      <c r="A511">
        <v>1178</v>
      </c>
      <c r="B511" s="1">
        <v>45629</v>
      </c>
      <c r="C511">
        <v>2024</v>
      </c>
      <c r="D511">
        <v>12</v>
      </c>
      <c r="E511" t="str">
        <f t="shared" si="7"/>
        <v>Desember</v>
      </c>
      <c r="F511">
        <v>4</v>
      </c>
      <c r="G511" t="s">
        <v>1529</v>
      </c>
      <c r="H511" t="s">
        <v>1530</v>
      </c>
      <c r="I511" t="s">
        <v>1513</v>
      </c>
      <c r="J511" t="s">
        <v>1524</v>
      </c>
      <c r="K511" t="s">
        <v>1525</v>
      </c>
      <c r="L511" s="2">
        <v>5</v>
      </c>
      <c r="M511" s="10">
        <v>1359</v>
      </c>
      <c r="N511" s="7">
        <v>6795</v>
      </c>
    </row>
    <row r="512" spans="1:14" x14ac:dyDescent="0.3">
      <c r="A512">
        <v>1178</v>
      </c>
      <c r="B512" s="1">
        <v>44615</v>
      </c>
      <c r="C512">
        <v>2022</v>
      </c>
      <c r="D512">
        <v>2</v>
      </c>
      <c r="E512" t="str">
        <f t="shared" si="7"/>
        <v>Februari</v>
      </c>
      <c r="F512">
        <v>1</v>
      </c>
      <c r="G512" t="s">
        <v>1529</v>
      </c>
      <c r="H512" t="s">
        <v>1530</v>
      </c>
      <c r="I512" t="s">
        <v>1513</v>
      </c>
      <c r="J512" t="s">
        <v>1524</v>
      </c>
      <c r="K512" t="s">
        <v>1525</v>
      </c>
      <c r="L512" s="2">
        <v>5</v>
      </c>
      <c r="M512" s="10">
        <v>1359</v>
      </c>
      <c r="N512" s="7">
        <v>6795</v>
      </c>
    </row>
    <row r="513" spans="1:14" x14ac:dyDescent="0.3">
      <c r="A513">
        <v>1179</v>
      </c>
      <c r="B513" s="1">
        <v>45289</v>
      </c>
      <c r="C513">
        <v>2023</v>
      </c>
      <c r="D513">
        <v>12</v>
      </c>
      <c r="E513" t="str">
        <f t="shared" si="7"/>
        <v>Desember</v>
      </c>
      <c r="F513">
        <v>4</v>
      </c>
      <c r="G513" t="s">
        <v>1532</v>
      </c>
      <c r="H513" t="s">
        <v>1512</v>
      </c>
      <c r="I513" t="s">
        <v>1521</v>
      </c>
      <c r="J513" t="s">
        <v>1524</v>
      </c>
      <c r="K513" t="s">
        <v>1514</v>
      </c>
      <c r="L513" s="2">
        <v>1</v>
      </c>
      <c r="M513" s="10">
        <v>14026</v>
      </c>
      <c r="N513" s="7">
        <v>14026</v>
      </c>
    </row>
    <row r="514" spans="1:14" x14ac:dyDescent="0.3">
      <c r="A514">
        <v>1180</v>
      </c>
      <c r="B514" s="1">
        <v>44723</v>
      </c>
      <c r="C514">
        <v>2022</v>
      </c>
      <c r="D514">
        <v>6</v>
      </c>
      <c r="E514" t="str">
        <f t="shared" si="7"/>
        <v>Juni</v>
      </c>
      <c r="F514">
        <v>2</v>
      </c>
      <c r="G514" t="s">
        <v>1533</v>
      </c>
      <c r="H514" t="s">
        <v>1520</v>
      </c>
      <c r="I514" t="s">
        <v>1531</v>
      </c>
      <c r="J514" t="s">
        <v>1517</v>
      </c>
      <c r="K514" t="s">
        <v>1518</v>
      </c>
      <c r="L514" s="2">
        <v>2</v>
      </c>
      <c r="M514" s="10">
        <v>685</v>
      </c>
      <c r="N514" s="7">
        <v>1370</v>
      </c>
    </row>
    <row r="515" spans="1:14" x14ac:dyDescent="0.3">
      <c r="A515">
        <v>1180</v>
      </c>
      <c r="B515" s="1">
        <v>45390</v>
      </c>
      <c r="C515">
        <v>2024</v>
      </c>
      <c r="D515">
        <v>4</v>
      </c>
      <c r="E515" t="str">
        <f t="shared" ref="E515:E578" si="8">TEXT(DATE(2026, D515, 1), "[$-id-ID]mmmm")</f>
        <v>April</v>
      </c>
      <c r="F515">
        <v>2</v>
      </c>
      <c r="G515" t="s">
        <v>1533</v>
      </c>
      <c r="H515" t="s">
        <v>1520</v>
      </c>
      <c r="I515" t="s">
        <v>1531</v>
      </c>
      <c r="J515" t="s">
        <v>1517</v>
      </c>
      <c r="K515" t="s">
        <v>1518</v>
      </c>
      <c r="L515" s="2">
        <v>2</v>
      </c>
      <c r="M515" s="10">
        <v>685</v>
      </c>
      <c r="N515" s="7">
        <v>1370</v>
      </c>
    </row>
    <row r="516" spans="1:14" x14ac:dyDescent="0.3">
      <c r="A516">
        <v>1180</v>
      </c>
      <c r="B516" s="1">
        <v>45221</v>
      </c>
      <c r="C516">
        <v>2023</v>
      </c>
      <c r="D516">
        <v>10</v>
      </c>
      <c r="E516" t="str">
        <f t="shared" si="8"/>
        <v>Oktober</v>
      </c>
      <c r="F516">
        <v>4</v>
      </c>
      <c r="G516" t="s">
        <v>1533</v>
      </c>
      <c r="H516" t="s">
        <v>1520</v>
      </c>
      <c r="I516" t="s">
        <v>1531</v>
      </c>
      <c r="J516" t="s">
        <v>1517</v>
      </c>
      <c r="K516" t="s">
        <v>1518</v>
      </c>
      <c r="L516" s="2">
        <v>2</v>
      </c>
      <c r="M516" s="10">
        <v>685</v>
      </c>
      <c r="N516" s="7">
        <v>1370</v>
      </c>
    </row>
    <row r="517" spans="1:14" x14ac:dyDescent="0.3">
      <c r="A517">
        <v>1181</v>
      </c>
      <c r="B517" s="1">
        <v>45574</v>
      </c>
      <c r="C517">
        <v>2024</v>
      </c>
      <c r="D517">
        <v>10</v>
      </c>
      <c r="E517" t="str">
        <f t="shared" si="8"/>
        <v>Oktober</v>
      </c>
      <c r="F517">
        <v>4</v>
      </c>
      <c r="G517" t="s">
        <v>1511</v>
      </c>
      <c r="H517" t="s">
        <v>1512</v>
      </c>
      <c r="I517" t="s">
        <v>1516</v>
      </c>
      <c r="J517" t="s">
        <v>1524</v>
      </c>
      <c r="K517" t="s">
        <v>1518</v>
      </c>
      <c r="L517" s="2">
        <v>1</v>
      </c>
      <c r="M517" s="10">
        <v>54311</v>
      </c>
      <c r="N517" s="7">
        <v>54311</v>
      </c>
    </row>
    <row r="518" spans="1:14" x14ac:dyDescent="0.3">
      <c r="A518">
        <v>1181</v>
      </c>
      <c r="B518" s="1">
        <v>45643</v>
      </c>
      <c r="C518">
        <v>2024</v>
      </c>
      <c r="D518">
        <v>12</v>
      </c>
      <c r="E518" t="str">
        <f t="shared" si="8"/>
        <v>Desember</v>
      </c>
      <c r="F518">
        <v>4</v>
      </c>
      <c r="G518" t="s">
        <v>1511</v>
      </c>
      <c r="H518" t="s">
        <v>1512</v>
      </c>
      <c r="I518" t="s">
        <v>1516</v>
      </c>
      <c r="J518" t="s">
        <v>1524</v>
      </c>
      <c r="K518" t="s">
        <v>1518</v>
      </c>
      <c r="L518" s="2">
        <v>1</v>
      </c>
      <c r="M518" s="10">
        <v>54311</v>
      </c>
      <c r="N518" s="7">
        <v>54311</v>
      </c>
    </row>
    <row r="519" spans="1:14" x14ac:dyDescent="0.3">
      <c r="A519">
        <v>1181</v>
      </c>
      <c r="B519" s="1">
        <v>45183</v>
      </c>
      <c r="C519">
        <v>2023</v>
      </c>
      <c r="D519">
        <v>9</v>
      </c>
      <c r="E519" t="str">
        <f t="shared" si="8"/>
        <v>September</v>
      </c>
      <c r="F519">
        <v>3</v>
      </c>
      <c r="G519" t="s">
        <v>1511</v>
      </c>
      <c r="H519" t="s">
        <v>1512</v>
      </c>
      <c r="I519" t="s">
        <v>1516</v>
      </c>
      <c r="J519" t="s">
        <v>1524</v>
      </c>
      <c r="K519" t="s">
        <v>1518</v>
      </c>
      <c r="L519" s="2">
        <v>1</v>
      </c>
      <c r="M519" s="10">
        <v>54311</v>
      </c>
      <c r="N519" s="7">
        <v>54311</v>
      </c>
    </row>
    <row r="520" spans="1:14" x14ac:dyDescent="0.3">
      <c r="A520">
        <v>1181</v>
      </c>
      <c r="B520" s="1">
        <v>44787</v>
      </c>
      <c r="C520">
        <v>2022</v>
      </c>
      <c r="D520">
        <v>8</v>
      </c>
      <c r="E520" t="str">
        <f t="shared" si="8"/>
        <v>Agustus</v>
      </c>
      <c r="F520">
        <v>3</v>
      </c>
      <c r="G520" t="s">
        <v>1511</v>
      </c>
      <c r="H520" t="s">
        <v>1512</v>
      </c>
      <c r="I520" t="s">
        <v>1516</v>
      </c>
      <c r="J520" t="s">
        <v>1524</v>
      </c>
      <c r="K520" t="s">
        <v>1518</v>
      </c>
      <c r="L520" s="2">
        <v>1</v>
      </c>
      <c r="M520" s="10">
        <v>54311</v>
      </c>
      <c r="N520" s="7">
        <v>54311</v>
      </c>
    </row>
    <row r="521" spans="1:14" x14ac:dyDescent="0.3">
      <c r="A521">
        <v>1182</v>
      </c>
      <c r="B521" s="1">
        <v>44740</v>
      </c>
      <c r="C521">
        <v>2022</v>
      </c>
      <c r="D521">
        <v>6</v>
      </c>
      <c r="E521" t="str">
        <f t="shared" si="8"/>
        <v>Juni</v>
      </c>
      <c r="F521">
        <v>2</v>
      </c>
      <c r="G521" t="s">
        <v>1515</v>
      </c>
      <c r="H521" t="s">
        <v>1512</v>
      </c>
      <c r="I521" t="s">
        <v>1521</v>
      </c>
      <c r="J521" t="s">
        <v>1566</v>
      </c>
      <c r="K521" t="s">
        <v>1514</v>
      </c>
      <c r="L521" s="2">
        <v>2</v>
      </c>
      <c r="M521" s="10">
        <v>1713</v>
      </c>
      <c r="N521" s="7">
        <v>3426</v>
      </c>
    </row>
    <row r="522" spans="1:14" x14ac:dyDescent="0.3">
      <c r="A522">
        <v>1182</v>
      </c>
      <c r="B522" s="1">
        <v>45109</v>
      </c>
      <c r="C522">
        <v>2023</v>
      </c>
      <c r="D522">
        <v>7</v>
      </c>
      <c r="E522" t="str">
        <f t="shared" si="8"/>
        <v>Juli</v>
      </c>
      <c r="F522">
        <v>3</v>
      </c>
      <c r="G522" t="s">
        <v>1515</v>
      </c>
      <c r="H522" t="s">
        <v>1512</v>
      </c>
      <c r="I522" t="s">
        <v>1521</v>
      </c>
      <c r="J522" t="s">
        <v>1566</v>
      </c>
      <c r="K522" t="s">
        <v>1514</v>
      </c>
      <c r="L522" s="2">
        <v>2</v>
      </c>
      <c r="M522" s="10">
        <v>1713</v>
      </c>
      <c r="N522" s="7">
        <v>3426</v>
      </c>
    </row>
    <row r="523" spans="1:14" x14ac:dyDescent="0.3">
      <c r="A523">
        <v>1182</v>
      </c>
      <c r="B523" s="1">
        <v>45474</v>
      </c>
      <c r="C523">
        <v>2024</v>
      </c>
      <c r="D523">
        <v>7</v>
      </c>
      <c r="E523" t="str">
        <f t="shared" si="8"/>
        <v>Juli</v>
      </c>
      <c r="F523">
        <v>3</v>
      </c>
      <c r="G523" t="s">
        <v>1515</v>
      </c>
      <c r="H523" t="s">
        <v>1512</v>
      </c>
      <c r="I523" t="s">
        <v>1521</v>
      </c>
      <c r="J523" t="s">
        <v>1566</v>
      </c>
      <c r="K523" t="s">
        <v>1514</v>
      </c>
      <c r="L523" s="2">
        <v>2</v>
      </c>
      <c r="M523" s="10">
        <v>1713</v>
      </c>
      <c r="N523" s="7">
        <v>3426</v>
      </c>
    </row>
    <row r="524" spans="1:14" x14ac:dyDescent="0.3">
      <c r="A524">
        <v>1183</v>
      </c>
      <c r="B524" s="1">
        <v>44653</v>
      </c>
      <c r="C524">
        <v>2022</v>
      </c>
      <c r="D524">
        <v>4</v>
      </c>
      <c r="E524" t="str">
        <f t="shared" si="8"/>
        <v>April</v>
      </c>
      <c r="F524">
        <v>2</v>
      </c>
      <c r="G524" t="s">
        <v>1534</v>
      </c>
      <c r="H524" t="s">
        <v>1530</v>
      </c>
      <c r="I524" t="s">
        <v>1531</v>
      </c>
      <c r="J524" t="s">
        <v>1524</v>
      </c>
      <c r="K524" t="s">
        <v>1518</v>
      </c>
      <c r="L524" s="2">
        <v>2</v>
      </c>
      <c r="M524" s="10">
        <v>3204</v>
      </c>
      <c r="N524" s="7">
        <v>6408</v>
      </c>
    </row>
    <row r="525" spans="1:14" x14ac:dyDescent="0.3">
      <c r="A525">
        <v>1183</v>
      </c>
      <c r="B525" s="1">
        <v>45135</v>
      </c>
      <c r="C525">
        <v>2023</v>
      </c>
      <c r="D525">
        <v>7</v>
      </c>
      <c r="E525" t="str">
        <f t="shared" si="8"/>
        <v>Juli</v>
      </c>
      <c r="F525">
        <v>3</v>
      </c>
      <c r="G525" t="s">
        <v>1534</v>
      </c>
      <c r="H525" t="s">
        <v>1530</v>
      </c>
      <c r="I525" t="s">
        <v>1531</v>
      </c>
      <c r="J525" t="s">
        <v>1524</v>
      </c>
      <c r="K525" t="s">
        <v>1518</v>
      </c>
      <c r="L525" s="2">
        <v>2</v>
      </c>
      <c r="M525" s="10">
        <v>3204</v>
      </c>
      <c r="N525" s="7">
        <v>6408</v>
      </c>
    </row>
    <row r="526" spans="1:14" x14ac:dyDescent="0.3">
      <c r="A526">
        <v>1183</v>
      </c>
      <c r="B526" s="1">
        <v>44985</v>
      </c>
      <c r="C526">
        <v>2023</v>
      </c>
      <c r="D526">
        <v>2</v>
      </c>
      <c r="E526" t="str">
        <f t="shared" si="8"/>
        <v>Februari</v>
      </c>
      <c r="F526">
        <v>1</v>
      </c>
      <c r="G526" t="s">
        <v>1534</v>
      </c>
      <c r="H526" t="s">
        <v>1530</v>
      </c>
      <c r="I526" t="s">
        <v>1531</v>
      </c>
      <c r="J526" t="s">
        <v>1524</v>
      </c>
      <c r="K526" t="s">
        <v>1518</v>
      </c>
      <c r="L526" s="2">
        <v>2</v>
      </c>
      <c r="M526" s="10">
        <v>3204</v>
      </c>
      <c r="N526" s="7">
        <v>6408</v>
      </c>
    </row>
    <row r="527" spans="1:14" x14ac:dyDescent="0.3">
      <c r="A527">
        <v>1183</v>
      </c>
      <c r="B527" s="1">
        <v>44632</v>
      </c>
      <c r="C527">
        <v>2022</v>
      </c>
      <c r="D527">
        <v>3</v>
      </c>
      <c r="E527" t="str">
        <f t="shared" si="8"/>
        <v>Maret</v>
      </c>
      <c r="F527">
        <v>1</v>
      </c>
      <c r="G527" t="s">
        <v>1534</v>
      </c>
      <c r="H527" t="s">
        <v>1530</v>
      </c>
      <c r="I527" t="s">
        <v>1531</v>
      </c>
      <c r="J527" t="s">
        <v>1524</v>
      </c>
      <c r="K527" t="s">
        <v>1518</v>
      </c>
      <c r="L527" s="2">
        <v>2</v>
      </c>
      <c r="M527" s="10">
        <v>3204</v>
      </c>
      <c r="N527" s="7">
        <v>6408</v>
      </c>
    </row>
    <row r="528" spans="1:14" x14ac:dyDescent="0.3">
      <c r="A528">
        <v>1183</v>
      </c>
      <c r="B528" s="1">
        <v>44846</v>
      </c>
      <c r="C528">
        <v>2022</v>
      </c>
      <c r="D528">
        <v>10</v>
      </c>
      <c r="E528" t="str">
        <f t="shared" si="8"/>
        <v>Oktober</v>
      </c>
      <c r="F528">
        <v>4</v>
      </c>
      <c r="G528" t="s">
        <v>1534</v>
      </c>
      <c r="H528" t="s">
        <v>1530</v>
      </c>
      <c r="I528" t="s">
        <v>1531</v>
      </c>
      <c r="J528" t="s">
        <v>1524</v>
      </c>
      <c r="K528" t="s">
        <v>1518</v>
      </c>
      <c r="L528" s="2">
        <v>2</v>
      </c>
      <c r="M528" s="10">
        <v>3204</v>
      </c>
      <c r="N528" s="7">
        <v>6408</v>
      </c>
    </row>
    <row r="529" spans="1:14" x14ac:dyDescent="0.3">
      <c r="A529">
        <v>1184</v>
      </c>
      <c r="B529" s="1">
        <v>45129</v>
      </c>
      <c r="C529">
        <v>2023</v>
      </c>
      <c r="D529">
        <v>7</v>
      </c>
      <c r="E529" t="str">
        <f t="shared" si="8"/>
        <v>Juli</v>
      </c>
      <c r="F529">
        <v>3</v>
      </c>
      <c r="G529" t="s">
        <v>1519</v>
      </c>
      <c r="H529" t="s">
        <v>1520</v>
      </c>
      <c r="I529" t="s">
        <v>1531</v>
      </c>
      <c r="J529" t="s">
        <v>1517</v>
      </c>
      <c r="K529" t="s">
        <v>1518</v>
      </c>
      <c r="L529" s="2">
        <v>5</v>
      </c>
      <c r="M529" s="10">
        <v>18542</v>
      </c>
      <c r="N529" s="7">
        <v>92710</v>
      </c>
    </row>
    <row r="530" spans="1:14" x14ac:dyDescent="0.3">
      <c r="A530">
        <v>1184</v>
      </c>
      <c r="B530" s="1">
        <v>45626</v>
      </c>
      <c r="C530">
        <v>2024</v>
      </c>
      <c r="D530">
        <v>11</v>
      </c>
      <c r="E530" t="str">
        <f t="shared" si="8"/>
        <v>November</v>
      </c>
      <c r="F530">
        <v>4</v>
      </c>
      <c r="G530" t="s">
        <v>1519</v>
      </c>
      <c r="H530" t="s">
        <v>1520</v>
      </c>
      <c r="I530" t="s">
        <v>1531</v>
      </c>
      <c r="J530" t="s">
        <v>1517</v>
      </c>
      <c r="K530" t="s">
        <v>1518</v>
      </c>
      <c r="L530" s="2">
        <v>5</v>
      </c>
      <c r="M530" s="10">
        <v>18542</v>
      </c>
      <c r="N530" s="7">
        <v>92710</v>
      </c>
    </row>
    <row r="531" spans="1:14" x14ac:dyDescent="0.3">
      <c r="A531">
        <v>1185</v>
      </c>
      <c r="B531" s="1">
        <v>45156</v>
      </c>
      <c r="C531">
        <v>2023</v>
      </c>
      <c r="D531">
        <v>8</v>
      </c>
      <c r="E531" t="str">
        <f t="shared" si="8"/>
        <v>Agustus</v>
      </c>
      <c r="F531">
        <v>3</v>
      </c>
      <c r="G531" t="s">
        <v>1522</v>
      </c>
      <c r="H531" t="s">
        <v>1520</v>
      </c>
      <c r="I531" t="s">
        <v>1513</v>
      </c>
      <c r="J531" t="s">
        <v>1566</v>
      </c>
      <c r="K531" t="s">
        <v>1518</v>
      </c>
      <c r="L531" s="2">
        <v>1</v>
      </c>
      <c r="M531" s="10">
        <v>521</v>
      </c>
      <c r="N531" s="7">
        <v>521</v>
      </c>
    </row>
    <row r="532" spans="1:14" x14ac:dyDescent="0.3">
      <c r="A532">
        <v>1185</v>
      </c>
      <c r="B532" s="1">
        <v>45150</v>
      </c>
      <c r="C532">
        <v>2023</v>
      </c>
      <c r="D532">
        <v>8</v>
      </c>
      <c r="E532" t="str">
        <f t="shared" si="8"/>
        <v>Agustus</v>
      </c>
      <c r="F532">
        <v>3</v>
      </c>
      <c r="G532" t="s">
        <v>1522</v>
      </c>
      <c r="H532" t="s">
        <v>1520</v>
      </c>
      <c r="I532" t="s">
        <v>1513</v>
      </c>
      <c r="J532" t="s">
        <v>1566</v>
      </c>
      <c r="K532" t="s">
        <v>1518</v>
      </c>
      <c r="L532" s="2">
        <v>1</v>
      </c>
      <c r="M532" s="10">
        <v>521</v>
      </c>
      <c r="N532" s="7">
        <v>521</v>
      </c>
    </row>
    <row r="533" spans="1:14" x14ac:dyDescent="0.3">
      <c r="A533">
        <v>1185</v>
      </c>
      <c r="B533" s="1">
        <v>45059</v>
      </c>
      <c r="C533">
        <v>2023</v>
      </c>
      <c r="D533">
        <v>5</v>
      </c>
      <c r="E533" t="str">
        <f t="shared" si="8"/>
        <v>Mei</v>
      </c>
      <c r="F533">
        <v>2</v>
      </c>
      <c r="G533" t="s">
        <v>1522</v>
      </c>
      <c r="H533" t="s">
        <v>1520</v>
      </c>
      <c r="I533" t="s">
        <v>1513</v>
      </c>
      <c r="J533" t="s">
        <v>1566</v>
      </c>
      <c r="K533" t="s">
        <v>1518</v>
      </c>
      <c r="L533" s="2">
        <v>1</v>
      </c>
      <c r="M533" s="10">
        <v>521</v>
      </c>
      <c r="N533" s="7">
        <v>521</v>
      </c>
    </row>
    <row r="534" spans="1:14" x14ac:dyDescent="0.3">
      <c r="A534">
        <v>1185</v>
      </c>
      <c r="B534" s="1">
        <v>44944</v>
      </c>
      <c r="C534">
        <v>2023</v>
      </c>
      <c r="D534">
        <v>1</v>
      </c>
      <c r="E534" t="str">
        <f t="shared" si="8"/>
        <v>Januari</v>
      </c>
      <c r="F534">
        <v>1</v>
      </c>
      <c r="G534" t="s">
        <v>1522</v>
      </c>
      <c r="H534" t="s">
        <v>1520</v>
      </c>
      <c r="I534" t="s">
        <v>1513</v>
      </c>
      <c r="J534" t="s">
        <v>1566</v>
      </c>
      <c r="K534" t="s">
        <v>1518</v>
      </c>
      <c r="L534" s="2">
        <v>1</v>
      </c>
      <c r="M534" s="10">
        <v>521</v>
      </c>
      <c r="N534" s="7">
        <v>521</v>
      </c>
    </row>
    <row r="535" spans="1:14" x14ac:dyDescent="0.3">
      <c r="A535">
        <v>1186</v>
      </c>
      <c r="B535" s="1">
        <v>45238</v>
      </c>
      <c r="C535">
        <v>2023</v>
      </c>
      <c r="D535">
        <v>11</v>
      </c>
      <c r="E535" t="str">
        <f t="shared" si="8"/>
        <v>November</v>
      </c>
      <c r="F535">
        <v>4</v>
      </c>
      <c r="G535" t="s">
        <v>1523</v>
      </c>
      <c r="H535" t="s">
        <v>1512</v>
      </c>
      <c r="I535" t="s">
        <v>1531</v>
      </c>
      <c r="J535" t="s">
        <v>1566</v>
      </c>
      <c r="K535" t="s">
        <v>1518</v>
      </c>
      <c r="L535" s="2">
        <v>1</v>
      </c>
      <c r="M535" s="10">
        <v>13218</v>
      </c>
      <c r="N535" s="7">
        <v>13218</v>
      </c>
    </row>
    <row r="536" spans="1:14" x14ac:dyDescent="0.3">
      <c r="A536">
        <v>1186</v>
      </c>
      <c r="B536" s="1">
        <v>44995</v>
      </c>
      <c r="C536">
        <v>2023</v>
      </c>
      <c r="D536">
        <v>3</v>
      </c>
      <c r="E536" t="str">
        <f t="shared" si="8"/>
        <v>Maret</v>
      </c>
      <c r="F536">
        <v>1</v>
      </c>
      <c r="G536" t="s">
        <v>1523</v>
      </c>
      <c r="H536" t="s">
        <v>1512</v>
      </c>
      <c r="I536" t="s">
        <v>1531</v>
      </c>
      <c r="J536" t="s">
        <v>1566</v>
      </c>
      <c r="K536" t="s">
        <v>1518</v>
      </c>
      <c r="L536" s="2">
        <v>1</v>
      </c>
      <c r="M536" s="10">
        <v>13218</v>
      </c>
      <c r="N536" s="7">
        <v>13218</v>
      </c>
    </row>
    <row r="537" spans="1:14" x14ac:dyDescent="0.3">
      <c r="A537">
        <v>1186</v>
      </c>
      <c r="B537" s="1">
        <v>45185</v>
      </c>
      <c r="C537">
        <v>2023</v>
      </c>
      <c r="D537">
        <v>9</v>
      </c>
      <c r="E537" t="str">
        <f t="shared" si="8"/>
        <v>September</v>
      </c>
      <c r="F537">
        <v>3</v>
      </c>
      <c r="G537" t="s">
        <v>1523</v>
      </c>
      <c r="H537" t="s">
        <v>1512</v>
      </c>
      <c r="I537" t="s">
        <v>1531</v>
      </c>
      <c r="J537" t="s">
        <v>1566</v>
      </c>
      <c r="K537" t="s">
        <v>1518</v>
      </c>
      <c r="L537" s="2">
        <v>1</v>
      </c>
      <c r="M537" s="10">
        <v>13218</v>
      </c>
      <c r="N537" s="7">
        <v>13218</v>
      </c>
    </row>
    <row r="538" spans="1:14" x14ac:dyDescent="0.3">
      <c r="A538">
        <v>1186</v>
      </c>
      <c r="B538" s="1">
        <v>45568</v>
      </c>
      <c r="C538">
        <v>2024</v>
      </c>
      <c r="D538">
        <v>10</v>
      </c>
      <c r="E538" t="str">
        <f t="shared" si="8"/>
        <v>Oktober</v>
      </c>
      <c r="F538">
        <v>4</v>
      </c>
      <c r="G538" t="s">
        <v>1523</v>
      </c>
      <c r="H538" t="s">
        <v>1512</v>
      </c>
      <c r="I538" t="s">
        <v>1531</v>
      </c>
      <c r="J538" t="s">
        <v>1566</v>
      </c>
      <c r="K538" t="s">
        <v>1518</v>
      </c>
      <c r="L538" s="2">
        <v>1</v>
      </c>
      <c r="M538" s="10">
        <v>13218</v>
      </c>
      <c r="N538" s="7">
        <v>13218</v>
      </c>
    </row>
    <row r="539" spans="1:14" x14ac:dyDescent="0.3">
      <c r="A539">
        <v>1186</v>
      </c>
      <c r="B539" s="1">
        <v>44786</v>
      </c>
      <c r="C539">
        <v>2022</v>
      </c>
      <c r="D539">
        <v>8</v>
      </c>
      <c r="E539" t="str">
        <f t="shared" si="8"/>
        <v>Agustus</v>
      </c>
      <c r="F539">
        <v>3</v>
      </c>
      <c r="G539" t="s">
        <v>1523</v>
      </c>
      <c r="H539" t="s">
        <v>1512</v>
      </c>
      <c r="I539" t="s">
        <v>1531</v>
      </c>
      <c r="J539" t="s">
        <v>1566</v>
      </c>
      <c r="K539" t="s">
        <v>1518</v>
      </c>
      <c r="L539" s="2">
        <v>1</v>
      </c>
      <c r="M539" s="10">
        <v>13218</v>
      </c>
      <c r="N539" s="7">
        <v>13218</v>
      </c>
    </row>
    <row r="540" spans="1:14" x14ac:dyDescent="0.3">
      <c r="A540">
        <v>1187</v>
      </c>
      <c r="B540" s="1">
        <v>44572</v>
      </c>
      <c r="C540">
        <v>2022</v>
      </c>
      <c r="D540">
        <v>1</v>
      </c>
      <c r="E540" t="str">
        <f t="shared" si="8"/>
        <v>Januari</v>
      </c>
      <c r="F540">
        <v>1</v>
      </c>
      <c r="G540" t="s">
        <v>1526</v>
      </c>
      <c r="H540" t="s">
        <v>1527</v>
      </c>
      <c r="I540" t="s">
        <v>1521</v>
      </c>
      <c r="J540" t="s">
        <v>1517</v>
      </c>
      <c r="K540" t="s">
        <v>1518</v>
      </c>
      <c r="L540" s="2">
        <v>2</v>
      </c>
      <c r="M540" s="10">
        <v>248</v>
      </c>
      <c r="N540" s="7">
        <v>496</v>
      </c>
    </row>
    <row r="541" spans="1:14" x14ac:dyDescent="0.3">
      <c r="A541">
        <v>1187</v>
      </c>
      <c r="B541" s="1">
        <v>44822</v>
      </c>
      <c r="C541">
        <v>2022</v>
      </c>
      <c r="D541">
        <v>9</v>
      </c>
      <c r="E541" t="str">
        <f t="shared" si="8"/>
        <v>September</v>
      </c>
      <c r="F541">
        <v>3</v>
      </c>
      <c r="G541" t="s">
        <v>1526</v>
      </c>
      <c r="H541" t="s">
        <v>1527</v>
      </c>
      <c r="I541" t="s">
        <v>1521</v>
      </c>
      <c r="J541" t="s">
        <v>1517</v>
      </c>
      <c r="K541" t="s">
        <v>1518</v>
      </c>
      <c r="L541" s="2">
        <v>2</v>
      </c>
      <c r="M541" s="10">
        <v>248</v>
      </c>
      <c r="N541" s="7">
        <v>496</v>
      </c>
    </row>
    <row r="542" spans="1:14" x14ac:dyDescent="0.3">
      <c r="A542">
        <v>1187</v>
      </c>
      <c r="B542" s="1">
        <v>44973</v>
      </c>
      <c r="C542">
        <v>2023</v>
      </c>
      <c r="D542">
        <v>2</v>
      </c>
      <c r="E542" t="str">
        <f t="shared" si="8"/>
        <v>Februari</v>
      </c>
      <c r="F542">
        <v>1</v>
      </c>
      <c r="G542" t="s">
        <v>1526</v>
      </c>
      <c r="H542" t="s">
        <v>1527</v>
      </c>
      <c r="I542" t="s">
        <v>1521</v>
      </c>
      <c r="J542" t="s">
        <v>1517</v>
      </c>
      <c r="K542" t="s">
        <v>1518</v>
      </c>
      <c r="L542" s="2">
        <v>2</v>
      </c>
      <c r="M542" s="10">
        <v>248</v>
      </c>
      <c r="N542" s="7">
        <v>496</v>
      </c>
    </row>
    <row r="543" spans="1:14" x14ac:dyDescent="0.3">
      <c r="A543">
        <v>1187</v>
      </c>
      <c r="B543" s="1">
        <v>45309</v>
      </c>
      <c r="C543">
        <v>2024</v>
      </c>
      <c r="D543">
        <v>1</v>
      </c>
      <c r="E543" t="str">
        <f t="shared" si="8"/>
        <v>Januari</v>
      </c>
      <c r="F543">
        <v>1</v>
      </c>
      <c r="G543" t="s">
        <v>1526</v>
      </c>
      <c r="H543" t="s">
        <v>1527</v>
      </c>
      <c r="I543" t="s">
        <v>1521</v>
      </c>
      <c r="J543" t="s">
        <v>1517</v>
      </c>
      <c r="K543" t="s">
        <v>1518</v>
      </c>
      <c r="L543" s="2">
        <v>2</v>
      </c>
      <c r="M543" s="10">
        <v>248</v>
      </c>
      <c r="N543" s="7">
        <v>496</v>
      </c>
    </row>
    <row r="544" spans="1:14" x14ac:dyDescent="0.3">
      <c r="A544">
        <v>1188</v>
      </c>
      <c r="B544" s="1">
        <v>45429</v>
      </c>
      <c r="C544">
        <v>2024</v>
      </c>
      <c r="D544">
        <v>5</v>
      </c>
      <c r="E544" t="str">
        <f t="shared" si="8"/>
        <v>Mei</v>
      </c>
      <c r="F544">
        <v>2</v>
      </c>
      <c r="G544" t="s">
        <v>1529</v>
      </c>
      <c r="H544" t="s">
        <v>1530</v>
      </c>
      <c r="I544" t="s">
        <v>1521</v>
      </c>
      <c r="J544" t="s">
        <v>1524</v>
      </c>
      <c r="K544" t="s">
        <v>1525</v>
      </c>
      <c r="L544" s="2">
        <v>4</v>
      </c>
      <c r="M544" s="10">
        <v>1353</v>
      </c>
      <c r="N544" s="7">
        <v>5412</v>
      </c>
    </row>
    <row r="545" spans="1:14" x14ac:dyDescent="0.3">
      <c r="A545">
        <v>1188</v>
      </c>
      <c r="B545" s="1">
        <v>44884</v>
      </c>
      <c r="C545">
        <v>2022</v>
      </c>
      <c r="D545">
        <v>11</v>
      </c>
      <c r="E545" t="str">
        <f t="shared" si="8"/>
        <v>November</v>
      </c>
      <c r="F545">
        <v>4</v>
      </c>
      <c r="G545" t="s">
        <v>1529</v>
      </c>
      <c r="H545" t="s">
        <v>1530</v>
      </c>
      <c r="I545" t="s">
        <v>1521</v>
      </c>
      <c r="J545" t="s">
        <v>1524</v>
      </c>
      <c r="K545" t="s">
        <v>1525</v>
      </c>
      <c r="L545" s="2">
        <v>4</v>
      </c>
      <c r="M545" s="10">
        <v>1353</v>
      </c>
      <c r="N545" s="7">
        <v>5412</v>
      </c>
    </row>
    <row r="546" spans="1:14" x14ac:dyDescent="0.3">
      <c r="A546">
        <v>1188</v>
      </c>
      <c r="B546" s="1">
        <v>45054</v>
      </c>
      <c r="C546">
        <v>2023</v>
      </c>
      <c r="D546">
        <v>5</v>
      </c>
      <c r="E546" t="str">
        <f t="shared" si="8"/>
        <v>Mei</v>
      </c>
      <c r="F546">
        <v>2</v>
      </c>
      <c r="G546" t="s">
        <v>1529</v>
      </c>
      <c r="H546" t="s">
        <v>1530</v>
      </c>
      <c r="I546" t="s">
        <v>1521</v>
      </c>
      <c r="J546" t="s">
        <v>1524</v>
      </c>
      <c r="K546" t="s">
        <v>1525</v>
      </c>
      <c r="L546" s="2">
        <v>4</v>
      </c>
      <c r="M546" s="10">
        <v>1353</v>
      </c>
      <c r="N546" s="7">
        <v>5412</v>
      </c>
    </row>
    <row r="547" spans="1:14" x14ac:dyDescent="0.3">
      <c r="A547">
        <v>1188</v>
      </c>
      <c r="B547" s="1">
        <v>45203</v>
      </c>
      <c r="C547">
        <v>2023</v>
      </c>
      <c r="D547">
        <v>10</v>
      </c>
      <c r="E547" t="str">
        <f t="shared" si="8"/>
        <v>Oktober</v>
      </c>
      <c r="F547">
        <v>4</v>
      </c>
      <c r="G547" t="s">
        <v>1529</v>
      </c>
      <c r="H547" t="s">
        <v>1530</v>
      </c>
      <c r="I547" t="s">
        <v>1521</v>
      </c>
      <c r="J547" t="s">
        <v>1524</v>
      </c>
      <c r="K547" t="s">
        <v>1525</v>
      </c>
      <c r="L547" s="2">
        <v>4</v>
      </c>
      <c r="M547" s="10">
        <v>1353</v>
      </c>
      <c r="N547" s="7">
        <v>5412</v>
      </c>
    </row>
    <row r="548" spans="1:14" x14ac:dyDescent="0.3">
      <c r="A548">
        <v>1188</v>
      </c>
      <c r="B548" s="1">
        <v>45055</v>
      </c>
      <c r="C548">
        <v>2023</v>
      </c>
      <c r="D548">
        <v>5</v>
      </c>
      <c r="E548" t="str">
        <f t="shared" si="8"/>
        <v>Mei</v>
      </c>
      <c r="F548">
        <v>2</v>
      </c>
      <c r="G548" t="s">
        <v>1529</v>
      </c>
      <c r="H548" t="s">
        <v>1530</v>
      </c>
      <c r="I548" t="s">
        <v>1521</v>
      </c>
      <c r="J548" t="s">
        <v>1524</v>
      </c>
      <c r="K548" t="s">
        <v>1525</v>
      </c>
      <c r="L548" s="2">
        <v>4</v>
      </c>
      <c r="M548" s="10">
        <v>1353</v>
      </c>
      <c r="N548" s="7">
        <v>5412</v>
      </c>
    </row>
    <row r="549" spans="1:14" x14ac:dyDescent="0.3">
      <c r="A549">
        <v>1189</v>
      </c>
      <c r="B549" s="1">
        <v>44806</v>
      </c>
      <c r="C549">
        <v>2022</v>
      </c>
      <c r="D549">
        <v>9</v>
      </c>
      <c r="E549" t="str">
        <f t="shared" si="8"/>
        <v>September</v>
      </c>
      <c r="F549">
        <v>3</v>
      </c>
      <c r="G549" t="s">
        <v>1532</v>
      </c>
      <c r="H549" t="s">
        <v>1512</v>
      </c>
      <c r="I549" t="s">
        <v>1513</v>
      </c>
      <c r="J549" t="s">
        <v>1517</v>
      </c>
      <c r="K549" t="s">
        <v>1525</v>
      </c>
      <c r="L549" s="2">
        <v>2</v>
      </c>
      <c r="M549" s="10">
        <v>13462</v>
      </c>
      <c r="N549" s="7">
        <v>26924</v>
      </c>
    </row>
    <row r="550" spans="1:14" x14ac:dyDescent="0.3">
      <c r="A550">
        <v>1190</v>
      </c>
      <c r="B550" s="1">
        <v>44749</v>
      </c>
      <c r="C550">
        <v>2022</v>
      </c>
      <c r="D550">
        <v>7</v>
      </c>
      <c r="E550" t="str">
        <f t="shared" si="8"/>
        <v>Juli</v>
      </c>
      <c r="F550">
        <v>3</v>
      </c>
      <c r="G550" t="s">
        <v>1533</v>
      </c>
      <c r="H550" t="s">
        <v>1520</v>
      </c>
      <c r="I550" t="s">
        <v>1531</v>
      </c>
      <c r="J550" t="s">
        <v>1517</v>
      </c>
      <c r="K550" t="s">
        <v>1514</v>
      </c>
      <c r="L550" s="2">
        <v>5</v>
      </c>
      <c r="M550" s="10">
        <v>404</v>
      </c>
      <c r="N550" s="7">
        <v>2020</v>
      </c>
    </row>
    <row r="551" spans="1:14" x14ac:dyDescent="0.3">
      <c r="A551">
        <v>1190</v>
      </c>
      <c r="B551" s="1">
        <v>45033</v>
      </c>
      <c r="C551">
        <v>2023</v>
      </c>
      <c r="D551">
        <v>4</v>
      </c>
      <c r="E551" t="str">
        <f t="shared" si="8"/>
        <v>April</v>
      </c>
      <c r="F551">
        <v>2</v>
      </c>
      <c r="G551" t="s">
        <v>1533</v>
      </c>
      <c r="H551" t="s">
        <v>1520</v>
      </c>
      <c r="I551" t="s">
        <v>1531</v>
      </c>
      <c r="J551" t="s">
        <v>1517</v>
      </c>
      <c r="K551" t="s">
        <v>1514</v>
      </c>
      <c r="L551" s="2">
        <v>5</v>
      </c>
      <c r="M551" s="10">
        <v>404</v>
      </c>
      <c r="N551" s="7">
        <v>2020</v>
      </c>
    </row>
    <row r="552" spans="1:14" x14ac:dyDescent="0.3">
      <c r="A552">
        <v>1190</v>
      </c>
      <c r="B552" s="1">
        <v>44928</v>
      </c>
      <c r="C552">
        <v>2023</v>
      </c>
      <c r="D552">
        <v>1</v>
      </c>
      <c r="E552" t="str">
        <f t="shared" si="8"/>
        <v>Januari</v>
      </c>
      <c r="F552">
        <v>1</v>
      </c>
      <c r="G552" t="s">
        <v>1533</v>
      </c>
      <c r="H552" t="s">
        <v>1520</v>
      </c>
      <c r="I552" t="s">
        <v>1531</v>
      </c>
      <c r="J552" t="s">
        <v>1517</v>
      </c>
      <c r="K552" t="s">
        <v>1514</v>
      </c>
      <c r="L552" s="2">
        <v>5</v>
      </c>
      <c r="M552" s="10">
        <v>404</v>
      </c>
      <c r="N552" s="7">
        <v>2020</v>
      </c>
    </row>
    <row r="553" spans="1:14" x14ac:dyDescent="0.3">
      <c r="A553">
        <v>1191</v>
      </c>
      <c r="B553" s="1">
        <v>45512</v>
      </c>
      <c r="C553">
        <v>2024</v>
      </c>
      <c r="D553">
        <v>8</v>
      </c>
      <c r="E553" t="str">
        <f t="shared" si="8"/>
        <v>Agustus</v>
      </c>
      <c r="F553">
        <v>3</v>
      </c>
      <c r="G553" t="s">
        <v>1511</v>
      </c>
      <c r="H553" t="s">
        <v>1512</v>
      </c>
      <c r="I553" t="s">
        <v>1528</v>
      </c>
      <c r="J553" t="s">
        <v>1517</v>
      </c>
      <c r="K553" t="s">
        <v>1525</v>
      </c>
      <c r="L553" s="2">
        <v>1</v>
      </c>
      <c r="M553" s="10">
        <v>59800</v>
      </c>
      <c r="N553" s="7">
        <v>59800</v>
      </c>
    </row>
    <row r="554" spans="1:14" x14ac:dyDescent="0.3">
      <c r="A554">
        <v>1191</v>
      </c>
      <c r="B554" s="1">
        <v>44720</v>
      </c>
      <c r="C554">
        <v>2022</v>
      </c>
      <c r="D554">
        <v>6</v>
      </c>
      <c r="E554" t="str">
        <f t="shared" si="8"/>
        <v>Juni</v>
      </c>
      <c r="F554">
        <v>2</v>
      </c>
      <c r="G554" t="s">
        <v>1511</v>
      </c>
      <c r="H554" t="s">
        <v>1512</v>
      </c>
      <c r="I554" t="s">
        <v>1528</v>
      </c>
      <c r="J554" t="s">
        <v>1517</v>
      </c>
      <c r="K554" t="s">
        <v>1525</v>
      </c>
      <c r="L554" s="2">
        <v>1</v>
      </c>
      <c r="M554" s="10">
        <v>59800</v>
      </c>
      <c r="N554" s="7">
        <v>59800</v>
      </c>
    </row>
    <row r="555" spans="1:14" x14ac:dyDescent="0.3">
      <c r="A555">
        <v>1191</v>
      </c>
      <c r="B555" s="1">
        <v>44658</v>
      </c>
      <c r="C555">
        <v>2022</v>
      </c>
      <c r="D555">
        <v>4</v>
      </c>
      <c r="E555" t="str">
        <f t="shared" si="8"/>
        <v>April</v>
      </c>
      <c r="F555">
        <v>2</v>
      </c>
      <c r="G555" t="s">
        <v>1511</v>
      </c>
      <c r="H555" t="s">
        <v>1512</v>
      </c>
      <c r="I555" t="s">
        <v>1528</v>
      </c>
      <c r="J555" t="s">
        <v>1517</v>
      </c>
      <c r="K555" t="s">
        <v>1525</v>
      </c>
      <c r="L555" s="2">
        <v>1</v>
      </c>
      <c r="M555" s="10">
        <v>59800</v>
      </c>
      <c r="N555" s="7">
        <v>59800</v>
      </c>
    </row>
    <row r="556" spans="1:14" x14ac:dyDescent="0.3">
      <c r="A556">
        <v>1191</v>
      </c>
      <c r="B556" s="1">
        <v>44912</v>
      </c>
      <c r="C556">
        <v>2022</v>
      </c>
      <c r="D556">
        <v>12</v>
      </c>
      <c r="E556" t="str">
        <f t="shared" si="8"/>
        <v>Desember</v>
      </c>
      <c r="F556">
        <v>4</v>
      </c>
      <c r="G556" t="s">
        <v>1511</v>
      </c>
      <c r="H556" t="s">
        <v>1512</v>
      </c>
      <c r="I556" t="s">
        <v>1528</v>
      </c>
      <c r="J556" t="s">
        <v>1517</v>
      </c>
      <c r="K556" t="s">
        <v>1525</v>
      </c>
      <c r="L556" s="2">
        <v>1</v>
      </c>
      <c r="M556" s="10">
        <v>59800</v>
      </c>
      <c r="N556" s="7">
        <v>59800</v>
      </c>
    </row>
    <row r="557" spans="1:14" x14ac:dyDescent="0.3">
      <c r="A557">
        <v>1191</v>
      </c>
      <c r="B557" s="1">
        <v>45035</v>
      </c>
      <c r="C557">
        <v>2023</v>
      </c>
      <c r="D557">
        <v>4</v>
      </c>
      <c r="E557" t="str">
        <f t="shared" si="8"/>
        <v>April</v>
      </c>
      <c r="F557">
        <v>2</v>
      </c>
      <c r="G557" t="s">
        <v>1511</v>
      </c>
      <c r="H557" t="s">
        <v>1512</v>
      </c>
      <c r="I557" t="s">
        <v>1528</v>
      </c>
      <c r="J557" t="s">
        <v>1517</v>
      </c>
      <c r="K557" t="s">
        <v>1525</v>
      </c>
      <c r="L557" s="2">
        <v>1</v>
      </c>
      <c r="M557" s="10">
        <v>59800</v>
      </c>
      <c r="N557" s="7">
        <v>59800</v>
      </c>
    </row>
    <row r="558" spans="1:14" x14ac:dyDescent="0.3">
      <c r="A558">
        <v>1192</v>
      </c>
      <c r="B558" s="1">
        <v>44576</v>
      </c>
      <c r="C558">
        <v>2022</v>
      </c>
      <c r="D558">
        <v>1</v>
      </c>
      <c r="E558" t="str">
        <f t="shared" si="8"/>
        <v>Januari</v>
      </c>
      <c r="F558">
        <v>1</v>
      </c>
      <c r="G558" t="s">
        <v>1515</v>
      </c>
      <c r="H558" t="s">
        <v>1512</v>
      </c>
      <c r="I558" t="s">
        <v>1516</v>
      </c>
      <c r="J558" t="s">
        <v>1524</v>
      </c>
      <c r="K558" t="s">
        <v>1518</v>
      </c>
      <c r="L558" s="2">
        <v>2</v>
      </c>
      <c r="M558" s="10">
        <v>2639</v>
      </c>
      <c r="N558" s="7">
        <v>5278</v>
      </c>
    </row>
    <row r="559" spans="1:14" x14ac:dyDescent="0.3">
      <c r="A559">
        <v>1192</v>
      </c>
      <c r="B559" s="1">
        <v>45277</v>
      </c>
      <c r="C559">
        <v>2023</v>
      </c>
      <c r="D559">
        <v>12</v>
      </c>
      <c r="E559" t="str">
        <f t="shared" si="8"/>
        <v>Desember</v>
      </c>
      <c r="F559">
        <v>4</v>
      </c>
      <c r="G559" t="s">
        <v>1515</v>
      </c>
      <c r="H559" t="s">
        <v>1512</v>
      </c>
      <c r="I559" t="s">
        <v>1516</v>
      </c>
      <c r="J559" t="s">
        <v>1524</v>
      </c>
      <c r="K559" t="s">
        <v>1518</v>
      </c>
      <c r="L559" s="2">
        <v>2</v>
      </c>
      <c r="M559" s="10">
        <v>2639</v>
      </c>
      <c r="N559" s="7">
        <v>5278</v>
      </c>
    </row>
    <row r="560" spans="1:14" x14ac:dyDescent="0.3">
      <c r="A560">
        <v>1193</v>
      </c>
      <c r="B560" s="1">
        <v>44705</v>
      </c>
      <c r="C560">
        <v>2022</v>
      </c>
      <c r="D560">
        <v>5</v>
      </c>
      <c r="E560" t="str">
        <f t="shared" si="8"/>
        <v>Mei</v>
      </c>
      <c r="F560">
        <v>2</v>
      </c>
      <c r="G560" t="s">
        <v>1534</v>
      </c>
      <c r="H560" t="s">
        <v>1530</v>
      </c>
      <c r="I560" t="s">
        <v>1535</v>
      </c>
      <c r="J560" t="s">
        <v>1566</v>
      </c>
      <c r="K560" t="s">
        <v>1518</v>
      </c>
      <c r="L560" s="2">
        <v>1</v>
      </c>
      <c r="M560" s="10">
        <v>2167</v>
      </c>
      <c r="N560" s="7">
        <v>2167</v>
      </c>
    </row>
    <row r="561" spans="1:14" x14ac:dyDescent="0.3">
      <c r="A561">
        <v>1194</v>
      </c>
      <c r="B561" s="1">
        <v>44782</v>
      </c>
      <c r="C561">
        <v>2022</v>
      </c>
      <c r="D561">
        <v>8</v>
      </c>
      <c r="E561" t="str">
        <f t="shared" si="8"/>
        <v>Agustus</v>
      </c>
      <c r="F561">
        <v>3</v>
      </c>
      <c r="G561" t="s">
        <v>1519</v>
      </c>
      <c r="H561" t="s">
        <v>1520</v>
      </c>
      <c r="I561" t="s">
        <v>1513</v>
      </c>
      <c r="J561" t="s">
        <v>1524</v>
      </c>
      <c r="K561" t="s">
        <v>1514</v>
      </c>
      <c r="L561" s="2">
        <v>3</v>
      </c>
      <c r="M561" s="10">
        <v>8179</v>
      </c>
      <c r="N561" s="7">
        <v>24537</v>
      </c>
    </row>
    <row r="562" spans="1:14" x14ac:dyDescent="0.3">
      <c r="A562">
        <v>1195</v>
      </c>
      <c r="B562" s="1">
        <v>45270</v>
      </c>
      <c r="C562">
        <v>2023</v>
      </c>
      <c r="D562">
        <v>12</v>
      </c>
      <c r="E562" t="str">
        <f t="shared" si="8"/>
        <v>Desember</v>
      </c>
      <c r="F562">
        <v>4</v>
      </c>
      <c r="G562" t="s">
        <v>1522</v>
      </c>
      <c r="H562" t="s">
        <v>1520</v>
      </c>
      <c r="I562" t="s">
        <v>1531</v>
      </c>
      <c r="J562" t="s">
        <v>1566</v>
      </c>
      <c r="K562" t="s">
        <v>1514</v>
      </c>
      <c r="L562" s="2">
        <v>1</v>
      </c>
      <c r="M562" s="10">
        <v>374</v>
      </c>
      <c r="N562" s="7">
        <v>374</v>
      </c>
    </row>
    <row r="563" spans="1:14" x14ac:dyDescent="0.3">
      <c r="A563">
        <v>1195</v>
      </c>
      <c r="B563" s="1">
        <v>44698</v>
      </c>
      <c r="C563">
        <v>2022</v>
      </c>
      <c r="D563">
        <v>5</v>
      </c>
      <c r="E563" t="str">
        <f t="shared" si="8"/>
        <v>Mei</v>
      </c>
      <c r="F563">
        <v>2</v>
      </c>
      <c r="G563" t="s">
        <v>1522</v>
      </c>
      <c r="H563" t="s">
        <v>1520</v>
      </c>
      <c r="I563" t="s">
        <v>1531</v>
      </c>
      <c r="J563" t="s">
        <v>1566</v>
      </c>
      <c r="K563" t="s">
        <v>1514</v>
      </c>
      <c r="L563" s="2">
        <v>1</v>
      </c>
      <c r="M563" s="10">
        <v>374</v>
      </c>
      <c r="N563" s="7">
        <v>374</v>
      </c>
    </row>
    <row r="564" spans="1:14" x14ac:dyDescent="0.3">
      <c r="A564">
        <v>1195</v>
      </c>
      <c r="B564" s="1">
        <v>44935</v>
      </c>
      <c r="C564">
        <v>2023</v>
      </c>
      <c r="D564">
        <v>1</v>
      </c>
      <c r="E564" t="str">
        <f t="shared" si="8"/>
        <v>Januari</v>
      </c>
      <c r="F564">
        <v>1</v>
      </c>
      <c r="G564" t="s">
        <v>1522</v>
      </c>
      <c r="H564" t="s">
        <v>1520</v>
      </c>
      <c r="I564" t="s">
        <v>1531</v>
      </c>
      <c r="J564" t="s">
        <v>1566</v>
      </c>
      <c r="K564" t="s">
        <v>1514</v>
      </c>
      <c r="L564" s="2">
        <v>1</v>
      </c>
      <c r="M564" s="10">
        <v>374</v>
      </c>
      <c r="N564" s="7">
        <v>374</v>
      </c>
    </row>
    <row r="565" spans="1:14" x14ac:dyDescent="0.3">
      <c r="A565">
        <v>1195</v>
      </c>
      <c r="B565" s="1">
        <v>44574</v>
      </c>
      <c r="C565">
        <v>2022</v>
      </c>
      <c r="D565">
        <v>1</v>
      </c>
      <c r="E565" t="str">
        <f t="shared" si="8"/>
        <v>Januari</v>
      </c>
      <c r="F565">
        <v>1</v>
      </c>
      <c r="G565" t="s">
        <v>1522</v>
      </c>
      <c r="H565" t="s">
        <v>1520</v>
      </c>
      <c r="I565" t="s">
        <v>1531</v>
      </c>
      <c r="J565" t="s">
        <v>1566</v>
      </c>
      <c r="K565" t="s">
        <v>1514</v>
      </c>
      <c r="L565" s="2">
        <v>1</v>
      </c>
      <c r="M565" s="10">
        <v>374</v>
      </c>
      <c r="N565" s="7">
        <v>374</v>
      </c>
    </row>
    <row r="566" spans="1:14" x14ac:dyDescent="0.3">
      <c r="A566">
        <v>1196</v>
      </c>
      <c r="B566" s="1">
        <v>44726</v>
      </c>
      <c r="C566">
        <v>2022</v>
      </c>
      <c r="D566">
        <v>6</v>
      </c>
      <c r="E566" t="str">
        <f t="shared" si="8"/>
        <v>Juni</v>
      </c>
      <c r="F566">
        <v>2</v>
      </c>
      <c r="G566" t="s">
        <v>1523</v>
      </c>
      <c r="H566" t="s">
        <v>1512</v>
      </c>
      <c r="I566" t="s">
        <v>1521</v>
      </c>
      <c r="J566" t="s">
        <v>1566</v>
      </c>
      <c r="K566" t="s">
        <v>1525</v>
      </c>
      <c r="L566" s="2">
        <v>1</v>
      </c>
      <c r="M566" s="10">
        <v>36595</v>
      </c>
      <c r="N566" s="7">
        <v>36595</v>
      </c>
    </row>
    <row r="567" spans="1:14" x14ac:dyDescent="0.3">
      <c r="A567">
        <v>1196</v>
      </c>
      <c r="B567" s="1">
        <v>44710</v>
      </c>
      <c r="C567">
        <v>2022</v>
      </c>
      <c r="D567">
        <v>5</v>
      </c>
      <c r="E567" t="str">
        <f t="shared" si="8"/>
        <v>Mei</v>
      </c>
      <c r="F567">
        <v>2</v>
      </c>
      <c r="G567" t="s">
        <v>1523</v>
      </c>
      <c r="H567" t="s">
        <v>1512</v>
      </c>
      <c r="I567" t="s">
        <v>1521</v>
      </c>
      <c r="J567" t="s">
        <v>1566</v>
      </c>
      <c r="K567" t="s">
        <v>1525</v>
      </c>
      <c r="L567" s="2">
        <v>1</v>
      </c>
      <c r="M567" s="10">
        <v>36595</v>
      </c>
      <c r="N567" s="7">
        <v>36595</v>
      </c>
    </row>
    <row r="568" spans="1:14" x14ac:dyDescent="0.3">
      <c r="A568">
        <v>1197</v>
      </c>
      <c r="B568" s="1">
        <v>44975</v>
      </c>
      <c r="C568">
        <v>2023</v>
      </c>
      <c r="D568">
        <v>2</v>
      </c>
      <c r="E568" t="str">
        <f t="shared" si="8"/>
        <v>Februari</v>
      </c>
      <c r="F568">
        <v>1</v>
      </c>
      <c r="G568" t="s">
        <v>1526</v>
      </c>
      <c r="H568" t="s">
        <v>1527</v>
      </c>
      <c r="I568" t="s">
        <v>1528</v>
      </c>
      <c r="J568" t="s">
        <v>1517</v>
      </c>
      <c r="K568" t="s">
        <v>1518</v>
      </c>
      <c r="L568" s="2">
        <v>5</v>
      </c>
      <c r="M568" s="10">
        <v>570</v>
      </c>
      <c r="N568" s="7">
        <v>2850</v>
      </c>
    </row>
    <row r="569" spans="1:14" x14ac:dyDescent="0.3">
      <c r="A569">
        <v>1197</v>
      </c>
      <c r="B569" s="1">
        <v>44626</v>
      </c>
      <c r="C569">
        <v>2022</v>
      </c>
      <c r="D569">
        <v>3</v>
      </c>
      <c r="E569" t="str">
        <f t="shared" si="8"/>
        <v>Maret</v>
      </c>
      <c r="F569">
        <v>1</v>
      </c>
      <c r="G569" t="s">
        <v>1526</v>
      </c>
      <c r="H569" t="s">
        <v>1527</v>
      </c>
      <c r="I569" t="s">
        <v>1528</v>
      </c>
      <c r="J569" t="s">
        <v>1517</v>
      </c>
      <c r="K569" t="s">
        <v>1518</v>
      </c>
      <c r="L569" s="2">
        <v>5</v>
      </c>
      <c r="M569" s="10">
        <v>570</v>
      </c>
      <c r="N569" s="7">
        <v>2850</v>
      </c>
    </row>
    <row r="570" spans="1:14" x14ac:dyDescent="0.3">
      <c r="A570">
        <v>1197</v>
      </c>
      <c r="B570" s="1">
        <v>45111</v>
      </c>
      <c r="C570">
        <v>2023</v>
      </c>
      <c r="D570">
        <v>7</v>
      </c>
      <c r="E570" t="str">
        <f t="shared" si="8"/>
        <v>Juli</v>
      </c>
      <c r="F570">
        <v>3</v>
      </c>
      <c r="G570" t="s">
        <v>1526</v>
      </c>
      <c r="H570" t="s">
        <v>1527</v>
      </c>
      <c r="I570" t="s">
        <v>1528</v>
      </c>
      <c r="J570" t="s">
        <v>1517</v>
      </c>
      <c r="K570" t="s">
        <v>1518</v>
      </c>
      <c r="L570" s="2">
        <v>5</v>
      </c>
      <c r="M570" s="10">
        <v>570</v>
      </c>
      <c r="N570" s="7">
        <v>2850</v>
      </c>
    </row>
    <row r="571" spans="1:14" x14ac:dyDescent="0.3">
      <c r="A571">
        <v>1197</v>
      </c>
      <c r="B571" s="1">
        <v>44910</v>
      </c>
      <c r="C571">
        <v>2022</v>
      </c>
      <c r="D571">
        <v>12</v>
      </c>
      <c r="E571" t="str">
        <f t="shared" si="8"/>
        <v>Desember</v>
      </c>
      <c r="F571">
        <v>4</v>
      </c>
      <c r="G571" t="s">
        <v>1526</v>
      </c>
      <c r="H571" t="s">
        <v>1527</v>
      </c>
      <c r="I571" t="s">
        <v>1528</v>
      </c>
      <c r="J571" t="s">
        <v>1517</v>
      </c>
      <c r="K571" t="s">
        <v>1518</v>
      </c>
      <c r="L571" s="2">
        <v>5</v>
      </c>
      <c r="M571" s="10">
        <v>570</v>
      </c>
      <c r="N571" s="7">
        <v>2850</v>
      </c>
    </row>
    <row r="572" spans="1:14" x14ac:dyDescent="0.3">
      <c r="A572">
        <v>1197</v>
      </c>
      <c r="B572" s="1">
        <v>44595</v>
      </c>
      <c r="C572">
        <v>2022</v>
      </c>
      <c r="D572">
        <v>2</v>
      </c>
      <c r="E572" t="str">
        <f t="shared" si="8"/>
        <v>Februari</v>
      </c>
      <c r="F572">
        <v>1</v>
      </c>
      <c r="G572" t="s">
        <v>1526</v>
      </c>
      <c r="H572" t="s">
        <v>1527</v>
      </c>
      <c r="I572" t="s">
        <v>1528</v>
      </c>
      <c r="J572" t="s">
        <v>1517</v>
      </c>
      <c r="K572" t="s">
        <v>1518</v>
      </c>
      <c r="L572" s="2">
        <v>5</v>
      </c>
      <c r="M572" s="10">
        <v>570</v>
      </c>
      <c r="N572" s="7">
        <v>2850</v>
      </c>
    </row>
    <row r="573" spans="1:14" x14ac:dyDescent="0.3">
      <c r="A573">
        <v>1198</v>
      </c>
      <c r="B573" s="1">
        <v>45052</v>
      </c>
      <c r="C573">
        <v>2023</v>
      </c>
      <c r="D573">
        <v>5</v>
      </c>
      <c r="E573" t="str">
        <f t="shared" si="8"/>
        <v>Mei</v>
      </c>
      <c r="F573">
        <v>2</v>
      </c>
      <c r="G573" t="s">
        <v>1529</v>
      </c>
      <c r="H573" t="s">
        <v>1530</v>
      </c>
      <c r="I573" t="s">
        <v>1528</v>
      </c>
      <c r="J573" t="s">
        <v>1517</v>
      </c>
      <c r="K573" t="s">
        <v>1525</v>
      </c>
      <c r="L573" s="2">
        <v>3</v>
      </c>
      <c r="M573" s="10">
        <v>1005</v>
      </c>
      <c r="N573" s="7">
        <v>3015</v>
      </c>
    </row>
    <row r="574" spans="1:14" x14ac:dyDescent="0.3">
      <c r="A574">
        <v>1199</v>
      </c>
      <c r="B574" s="1">
        <v>45453</v>
      </c>
      <c r="C574">
        <v>2024</v>
      </c>
      <c r="D574">
        <v>6</v>
      </c>
      <c r="E574" t="str">
        <f t="shared" si="8"/>
        <v>Juni</v>
      </c>
      <c r="F574">
        <v>2</v>
      </c>
      <c r="G574" t="s">
        <v>1532</v>
      </c>
      <c r="H574" t="s">
        <v>1512</v>
      </c>
      <c r="I574" t="s">
        <v>1516</v>
      </c>
      <c r="J574" t="s">
        <v>1517</v>
      </c>
      <c r="K574" t="s">
        <v>1514</v>
      </c>
      <c r="L574" s="2">
        <v>2</v>
      </c>
      <c r="M574" s="10">
        <v>14435</v>
      </c>
      <c r="N574" s="7">
        <v>28870</v>
      </c>
    </row>
    <row r="575" spans="1:14" x14ac:dyDescent="0.3">
      <c r="A575">
        <v>1199</v>
      </c>
      <c r="B575" s="1">
        <v>44733</v>
      </c>
      <c r="C575">
        <v>2022</v>
      </c>
      <c r="D575">
        <v>6</v>
      </c>
      <c r="E575" t="str">
        <f t="shared" si="8"/>
        <v>Juni</v>
      </c>
      <c r="F575">
        <v>2</v>
      </c>
      <c r="G575" t="s">
        <v>1532</v>
      </c>
      <c r="H575" t="s">
        <v>1512</v>
      </c>
      <c r="I575" t="s">
        <v>1516</v>
      </c>
      <c r="J575" t="s">
        <v>1517</v>
      </c>
      <c r="K575" t="s">
        <v>1514</v>
      </c>
      <c r="L575" s="2">
        <v>2</v>
      </c>
      <c r="M575" s="10">
        <v>14435</v>
      </c>
      <c r="N575" s="7">
        <v>28870</v>
      </c>
    </row>
    <row r="576" spans="1:14" x14ac:dyDescent="0.3">
      <c r="A576">
        <v>1201</v>
      </c>
      <c r="B576" s="1">
        <v>45252</v>
      </c>
      <c r="C576">
        <v>2023</v>
      </c>
      <c r="D576">
        <v>11</v>
      </c>
      <c r="E576" t="str">
        <f t="shared" si="8"/>
        <v>November</v>
      </c>
      <c r="F576">
        <v>4</v>
      </c>
      <c r="G576" t="s">
        <v>1511</v>
      </c>
      <c r="H576" t="s">
        <v>1512</v>
      </c>
      <c r="I576" t="s">
        <v>1521</v>
      </c>
      <c r="J576" t="s">
        <v>1566</v>
      </c>
      <c r="K576" t="s">
        <v>1525</v>
      </c>
      <c r="L576" s="2">
        <v>2</v>
      </c>
      <c r="M576" s="10">
        <v>60581</v>
      </c>
      <c r="N576" s="7">
        <v>121162</v>
      </c>
    </row>
    <row r="577" spans="1:14" x14ac:dyDescent="0.3">
      <c r="A577">
        <v>1201</v>
      </c>
      <c r="B577" s="1">
        <v>44761</v>
      </c>
      <c r="C577">
        <v>2022</v>
      </c>
      <c r="D577">
        <v>7</v>
      </c>
      <c r="E577" t="str">
        <f t="shared" si="8"/>
        <v>Juli</v>
      </c>
      <c r="F577">
        <v>3</v>
      </c>
      <c r="G577" t="s">
        <v>1511</v>
      </c>
      <c r="H577" t="s">
        <v>1512</v>
      </c>
      <c r="I577" t="s">
        <v>1521</v>
      </c>
      <c r="J577" t="s">
        <v>1566</v>
      </c>
      <c r="K577" t="s">
        <v>1525</v>
      </c>
      <c r="L577" s="2">
        <v>2</v>
      </c>
      <c r="M577" s="10">
        <v>60581</v>
      </c>
      <c r="N577" s="7">
        <v>121162</v>
      </c>
    </row>
    <row r="578" spans="1:14" x14ac:dyDescent="0.3">
      <c r="A578">
        <v>1201</v>
      </c>
      <c r="B578" s="1">
        <v>44620</v>
      </c>
      <c r="C578">
        <v>2022</v>
      </c>
      <c r="D578">
        <v>2</v>
      </c>
      <c r="E578" t="str">
        <f t="shared" si="8"/>
        <v>Februari</v>
      </c>
      <c r="F578">
        <v>1</v>
      </c>
      <c r="G578" t="s">
        <v>1511</v>
      </c>
      <c r="H578" t="s">
        <v>1512</v>
      </c>
      <c r="I578" t="s">
        <v>1521</v>
      </c>
      <c r="J578" t="s">
        <v>1566</v>
      </c>
      <c r="K578" t="s">
        <v>1525</v>
      </c>
      <c r="L578" s="2">
        <v>2</v>
      </c>
      <c r="M578" s="10">
        <v>60581</v>
      </c>
      <c r="N578" s="7">
        <v>121162</v>
      </c>
    </row>
    <row r="579" spans="1:14" x14ac:dyDescent="0.3">
      <c r="A579">
        <v>1201</v>
      </c>
      <c r="B579" s="1">
        <v>45503</v>
      </c>
      <c r="C579">
        <v>2024</v>
      </c>
      <c r="D579">
        <v>7</v>
      </c>
      <c r="E579" t="str">
        <f t="shared" ref="E579:E642" si="9">TEXT(DATE(2026, D579, 1), "[$-id-ID]mmmm")</f>
        <v>Juli</v>
      </c>
      <c r="F579">
        <v>3</v>
      </c>
      <c r="G579" t="s">
        <v>1511</v>
      </c>
      <c r="H579" t="s">
        <v>1512</v>
      </c>
      <c r="I579" t="s">
        <v>1521</v>
      </c>
      <c r="J579" t="s">
        <v>1566</v>
      </c>
      <c r="K579" t="s">
        <v>1525</v>
      </c>
      <c r="L579" s="2">
        <v>2</v>
      </c>
      <c r="M579" s="10">
        <v>60581</v>
      </c>
      <c r="N579" s="7">
        <v>121162</v>
      </c>
    </row>
    <row r="580" spans="1:14" x14ac:dyDescent="0.3">
      <c r="A580">
        <v>1201</v>
      </c>
      <c r="B580" s="1">
        <v>44595</v>
      </c>
      <c r="C580">
        <v>2022</v>
      </c>
      <c r="D580">
        <v>2</v>
      </c>
      <c r="E580" t="str">
        <f t="shared" si="9"/>
        <v>Februari</v>
      </c>
      <c r="F580">
        <v>1</v>
      </c>
      <c r="G580" t="s">
        <v>1511</v>
      </c>
      <c r="H580" t="s">
        <v>1512</v>
      </c>
      <c r="I580" t="s">
        <v>1521</v>
      </c>
      <c r="J580" t="s">
        <v>1566</v>
      </c>
      <c r="K580" t="s">
        <v>1525</v>
      </c>
      <c r="L580" s="2">
        <v>2</v>
      </c>
      <c r="M580" s="10">
        <v>60581</v>
      </c>
      <c r="N580" s="7">
        <v>121162</v>
      </c>
    </row>
    <row r="581" spans="1:14" x14ac:dyDescent="0.3">
      <c r="A581">
        <v>1201</v>
      </c>
      <c r="B581" s="1">
        <v>45071</v>
      </c>
      <c r="C581">
        <v>2023</v>
      </c>
      <c r="D581">
        <v>5</v>
      </c>
      <c r="E581" t="str">
        <f t="shared" si="9"/>
        <v>Mei</v>
      </c>
      <c r="F581">
        <v>2</v>
      </c>
      <c r="G581" t="s">
        <v>1511</v>
      </c>
      <c r="H581" t="s">
        <v>1512</v>
      </c>
      <c r="I581" t="s">
        <v>1521</v>
      </c>
      <c r="J581" t="s">
        <v>1566</v>
      </c>
      <c r="K581" t="s">
        <v>1525</v>
      </c>
      <c r="L581" s="2">
        <v>2</v>
      </c>
      <c r="M581" s="10">
        <v>60581</v>
      </c>
      <c r="N581" s="7">
        <v>121162</v>
      </c>
    </row>
    <row r="582" spans="1:14" x14ac:dyDescent="0.3">
      <c r="A582">
        <v>1201</v>
      </c>
      <c r="B582" s="1">
        <v>45198</v>
      </c>
      <c r="C582">
        <v>2023</v>
      </c>
      <c r="D582">
        <v>9</v>
      </c>
      <c r="E582" t="str">
        <f t="shared" si="9"/>
        <v>September</v>
      </c>
      <c r="F582">
        <v>3</v>
      </c>
      <c r="G582" t="s">
        <v>1511</v>
      </c>
      <c r="H582" t="s">
        <v>1512</v>
      </c>
      <c r="I582" t="s">
        <v>1521</v>
      </c>
      <c r="J582" t="s">
        <v>1566</v>
      </c>
      <c r="K582" t="s">
        <v>1525</v>
      </c>
      <c r="L582" s="2">
        <v>2</v>
      </c>
      <c r="M582" s="10">
        <v>60581</v>
      </c>
      <c r="N582" s="7">
        <v>121162</v>
      </c>
    </row>
    <row r="583" spans="1:14" x14ac:dyDescent="0.3">
      <c r="A583">
        <v>1201</v>
      </c>
      <c r="B583" s="1">
        <v>44918</v>
      </c>
      <c r="C583">
        <v>2022</v>
      </c>
      <c r="D583">
        <v>12</v>
      </c>
      <c r="E583" t="str">
        <f t="shared" si="9"/>
        <v>Desember</v>
      </c>
      <c r="F583">
        <v>4</v>
      </c>
      <c r="G583" t="s">
        <v>1511</v>
      </c>
      <c r="H583" t="s">
        <v>1512</v>
      </c>
      <c r="I583" t="s">
        <v>1521</v>
      </c>
      <c r="J583" t="s">
        <v>1566</v>
      </c>
      <c r="K583" t="s">
        <v>1525</v>
      </c>
      <c r="L583" s="2">
        <v>2</v>
      </c>
      <c r="M583" s="10">
        <v>60581</v>
      </c>
      <c r="N583" s="7">
        <v>121162</v>
      </c>
    </row>
    <row r="584" spans="1:14" x14ac:dyDescent="0.3">
      <c r="A584">
        <v>1202</v>
      </c>
      <c r="B584" s="1">
        <v>44624</v>
      </c>
      <c r="C584">
        <v>2022</v>
      </c>
      <c r="D584">
        <v>3</v>
      </c>
      <c r="E584" t="str">
        <f t="shared" si="9"/>
        <v>Maret</v>
      </c>
      <c r="F584">
        <v>1</v>
      </c>
      <c r="G584" t="s">
        <v>1515</v>
      </c>
      <c r="H584" t="s">
        <v>1512</v>
      </c>
      <c r="I584" t="s">
        <v>1535</v>
      </c>
      <c r="J584" t="s">
        <v>1524</v>
      </c>
      <c r="K584" t="s">
        <v>1525</v>
      </c>
      <c r="L584" s="2">
        <v>1</v>
      </c>
      <c r="M584" s="10">
        <v>2742</v>
      </c>
      <c r="N584" s="7">
        <v>2742</v>
      </c>
    </row>
    <row r="585" spans="1:14" x14ac:dyDescent="0.3">
      <c r="A585">
        <v>1202</v>
      </c>
      <c r="B585" s="1">
        <v>45169</v>
      </c>
      <c r="C585">
        <v>2023</v>
      </c>
      <c r="D585">
        <v>8</v>
      </c>
      <c r="E585" t="str">
        <f t="shared" si="9"/>
        <v>Agustus</v>
      </c>
      <c r="F585">
        <v>3</v>
      </c>
      <c r="G585" t="s">
        <v>1515</v>
      </c>
      <c r="H585" t="s">
        <v>1512</v>
      </c>
      <c r="I585" t="s">
        <v>1535</v>
      </c>
      <c r="J585" t="s">
        <v>1524</v>
      </c>
      <c r="K585" t="s">
        <v>1525</v>
      </c>
      <c r="L585" s="2">
        <v>1</v>
      </c>
      <c r="M585" s="10">
        <v>2742</v>
      </c>
      <c r="N585" s="7">
        <v>2742</v>
      </c>
    </row>
    <row r="586" spans="1:14" x14ac:dyDescent="0.3">
      <c r="A586">
        <v>1202</v>
      </c>
      <c r="B586" s="1">
        <v>45275</v>
      </c>
      <c r="C586">
        <v>2023</v>
      </c>
      <c r="D586">
        <v>12</v>
      </c>
      <c r="E586" t="str">
        <f t="shared" si="9"/>
        <v>Desember</v>
      </c>
      <c r="F586">
        <v>4</v>
      </c>
      <c r="G586" t="s">
        <v>1515</v>
      </c>
      <c r="H586" t="s">
        <v>1512</v>
      </c>
      <c r="I586" t="s">
        <v>1535</v>
      </c>
      <c r="J586" t="s">
        <v>1524</v>
      </c>
      <c r="K586" t="s">
        <v>1525</v>
      </c>
      <c r="L586" s="2">
        <v>1</v>
      </c>
      <c r="M586" s="10">
        <v>2742</v>
      </c>
      <c r="N586" s="7">
        <v>2742</v>
      </c>
    </row>
    <row r="587" spans="1:14" x14ac:dyDescent="0.3">
      <c r="A587">
        <v>1202</v>
      </c>
      <c r="B587" s="1">
        <v>44624</v>
      </c>
      <c r="C587">
        <v>2022</v>
      </c>
      <c r="D587">
        <v>3</v>
      </c>
      <c r="E587" t="str">
        <f t="shared" si="9"/>
        <v>Maret</v>
      </c>
      <c r="F587">
        <v>1</v>
      </c>
      <c r="G587" t="s">
        <v>1515</v>
      </c>
      <c r="H587" t="s">
        <v>1512</v>
      </c>
      <c r="I587" t="s">
        <v>1535</v>
      </c>
      <c r="J587" t="s">
        <v>1524</v>
      </c>
      <c r="K587" t="s">
        <v>1525</v>
      </c>
      <c r="L587" s="2">
        <v>1</v>
      </c>
      <c r="M587" s="10">
        <v>2742</v>
      </c>
      <c r="N587" s="7">
        <v>2742</v>
      </c>
    </row>
    <row r="588" spans="1:14" x14ac:dyDescent="0.3">
      <c r="A588">
        <v>1202</v>
      </c>
      <c r="B588" s="1">
        <v>45256</v>
      </c>
      <c r="C588">
        <v>2023</v>
      </c>
      <c r="D588">
        <v>11</v>
      </c>
      <c r="E588" t="str">
        <f t="shared" si="9"/>
        <v>November</v>
      </c>
      <c r="F588">
        <v>4</v>
      </c>
      <c r="G588" t="s">
        <v>1515</v>
      </c>
      <c r="H588" t="s">
        <v>1512</v>
      </c>
      <c r="I588" t="s">
        <v>1535</v>
      </c>
      <c r="J588" t="s">
        <v>1524</v>
      </c>
      <c r="K588" t="s">
        <v>1525</v>
      </c>
      <c r="L588" s="2">
        <v>1</v>
      </c>
      <c r="M588" s="10">
        <v>2742</v>
      </c>
      <c r="N588" s="7">
        <v>2742</v>
      </c>
    </row>
    <row r="589" spans="1:14" x14ac:dyDescent="0.3">
      <c r="A589">
        <v>1203</v>
      </c>
      <c r="B589" s="1">
        <v>44865</v>
      </c>
      <c r="C589">
        <v>2022</v>
      </c>
      <c r="D589">
        <v>10</v>
      </c>
      <c r="E589" t="str">
        <f t="shared" si="9"/>
        <v>Oktober</v>
      </c>
      <c r="F589">
        <v>4</v>
      </c>
      <c r="G589" t="s">
        <v>1534</v>
      </c>
      <c r="H589" t="s">
        <v>1530</v>
      </c>
      <c r="I589" t="s">
        <v>1528</v>
      </c>
      <c r="J589" t="s">
        <v>1566</v>
      </c>
      <c r="K589" t="s">
        <v>1514</v>
      </c>
      <c r="L589" s="2">
        <v>3</v>
      </c>
      <c r="M589" s="10">
        <v>3576</v>
      </c>
      <c r="N589" s="7">
        <v>10728</v>
      </c>
    </row>
    <row r="590" spans="1:14" x14ac:dyDescent="0.3">
      <c r="A590">
        <v>1203</v>
      </c>
      <c r="B590" s="1">
        <v>44930</v>
      </c>
      <c r="C590">
        <v>2023</v>
      </c>
      <c r="D590">
        <v>1</v>
      </c>
      <c r="E590" t="str">
        <f t="shared" si="9"/>
        <v>Januari</v>
      </c>
      <c r="F590">
        <v>1</v>
      </c>
      <c r="G590" t="s">
        <v>1534</v>
      </c>
      <c r="H590" t="s">
        <v>1530</v>
      </c>
      <c r="I590" t="s">
        <v>1528</v>
      </c>
      <c r="J590" t="s">
        <v>1566</v>
      </c>
      <c r="K590" t="s">
        <v>1514</v>
      </c>
      <c r="L590" s="2">
        <v>3</v>
      </c>
      <c r="M590" s="10">
        <v>3576</v>
      </c>
      <c r="N590" s="7">
        <v>10728</v>
      </c>
    </row>
    <row r="591" spans="1:14" x14ac:dyDescent="0.3">
      <c r="A591">
        <v>1203</v>
      </c>
      <c r="B591" s="1">
        <v>45283</v>
      </c>
      <c r="C591">
        <v>2023</v>
      </c>
      <c r="D591">
        <v>12</v>
      </c>
      <c r="E591" t="str">
        <f t="shared" si="9"/>
        <v>Desember</v>
      </c>
      <c r="F591">
        <v>4</v>
      </c>
      <c r="G591" t="s">
        <v>1534</v>
      </c>
      <c r="H591" t="s">
        <v>1530</v>
      </c>
      <c r="I591" t="s">
        <v>1528</v>
      </c>
      <c r="J591" t="s">
        <v>1566</v>
      </c>
      <c r="K591" t="s">
        <v>1514</v>
      </c>
      <c r="L591" s="2">
        <v>3</v>
      </c>
      <c r="M591" s="10">
        <v>3576</v>
      </c>
      <c r="N591" s="7">
        <v>10728</v>
      </c>
    </row>
    <row r="592" spans="1:14" x14ac:dyDescent="0.3">
      <c r="A592">
        <v>1203</v>
      </c>
      <c r="B592" s="1">
        <v>44936</v>
      </c>
      <c r="C592">
        <v>2023</v>
      </c>
      <c r="D592">
        <v>1</v>
      </c>
      <c r="E592" t="str">
        <f t="shared" si="9"/>
        <v>Januari</v>
      </c>
      <c r="F592">
        <v>1</v>
      </c>
      <c r="G592" t="s">
        <v>1534</v>
      </c>
      <c r="H592" t="s">
        <v>1530</v>
      </c>
      <c r="I592" t="s">
        <v>1528</v>
      </c>
      <c r="J592" t="s">
        <v>1566</v>
      </c>
      <c r="K592" t="s">
        <v>1514</v>
      </c>
      <c r="L592" s="2">
        <v>3</v>
      </c>
      <c r="M592" s="10">
        <v>3576</v>
      </c>
      <c r="N592" s="7">
        <v>10728</v>
      </c>
    </row>
    <row r="593" spans="1:14" x14ac:dyDescent="0.3">
      <c r="A593">
        <v>1204</v>
      </c>
      <c r="B593" s="1">
        <v>45118</v>
      </c>
      <c r="C593">
        <v>2023</v>
      </c>
      <c r="D593">
        <v>7</v>
      </c>
      <c r="E593" t="str">
        <f t="shared" si="9"/>
        <v>Juli</v>
      </c>
      <c r="F593">
        <v>3</v>
      </c>
      <c r="G593" t="s">
        <v>1519</v>
      </c>
      <c r="H593" t="s">
        <v>1520</v>
      </c>
      <c r="I593" t="s">
        <v>1513</v>
      </c>
      <c r="J593" t="s">
        <v>1517</v>
      </c>
      <c r="K593" t="s">
        <v>1514</v>
      </c>
      <c r="L593" s="2">
        <v>4</v>
      </c>
      <c r="M593" s="10">
        <v>15524</v>
      </c>
      <c r="N593" s="7">
        <v>62096</v>
      </c>
    </row>
    <row r="594" spans="1:14" x14ac:dyDescent="0.3">
      <c r="A594">
        <v>1204</v>
      </c>
      <c r="B594" s="1">
        <v>44788</v>
      </c>
      <c r="C594">
        <v>2022</v>
      </c>
      <c r="D594">
        <v>8</v>
      </c>
      <c r="E594" t="str">
        <f t="shared" si="9"/>
        <v>Agustus</v>
      </c>
      <c r="F594">
        <v>3</v>
      </c>
      <c r="G594" t="s">
        <v>1519</v>
      </c>
      <c r="H594" t="s">
        <v>1520</v>
      </c>
      <c r="I594" t="s">
        <v>1513</v>
      </c>
      <c r="J594" t="s">
        <v>1517</v>
      </c>
      <c r="K594" t="s">
        <v>1514</v>
      </c>
      <c r="L594" s="2">
        <v>4</v>
      </c>
      <c r="M594" s="10">
        <v>15524</v>
      </c>
      <c r="N594" s="7">
        <v>62096</v>
      </c>
    </row>
    <row r="595" spans="1:14" x14ac:dyDescent="0.3">
      <c r="A595">
        <v>1205</v>
      </c>
      <c r="B595" s="1">
        <v>45047</v>
      </c>
      <c r="C595">
        <v>2023</v>
      </c>
      <c r="D595">
        <v>5</v>
      </c>
      <c r="E595" t="str">
        <f t="shared" si="9"/>
        <v>Mei</v>
      </c>
      <c r="F595">
        <v>2</v>
      </c>
      <c r="G595" t="s">
        <v>1522</v>
      </c>
      <c r="H595" t="s">
        <v>1520</v>
      </c>
      <c r="I595" t="s">
        <v>1521</v>
      </c>
      <c r="J595" t="s">
        <v>1517</v>
      </c>
      <c r="K595" t="s">
        <v>1518</v>
      </c>
      <c r="L595" s="2">
        <v>3</v>
      </c>
      <c r="M595" s="10">
        <v>973</v>
      </c>
      <c r="N595" s="7">
        <v>2919</v>
      </c>
    </row>
    <row r="596" spans="1:14" x14ac:dyDescent="0.3">
      <c r="A596">
        <v>1205</v>
      </c>
      <c r="B596" s="1">
        <v>45110</v>
      </c>
      <c r="C596">
        <v>2023</v>
      </c>
      <c r="D596">
        <v>7</v>
      </c>
      <c r="E596" t="str">
        <f t="shared" si="9"/>
        <v>Juli</v>
      </c>
      <c r="F596">
        <v>3</v>
      </c>
      <c r="G596" t="s">
        <v>1522</v>
      </c>
      <c r="H596" t="s">
        <v>1520</v>
      </c>
      <c r="I596" t="s">
        <v>1521</v>
      </c>
      <c r="J596" t="s">
        <v>1517</v>
      </c>
      <c r="K596" t="s">
        <v>1518</v>
      </c>
      <c r="L596" s="2">
        <v>3</v>
      </c>
      <c r="M596" s="10">
        <v>973</v>
      </c>
      <c r="N596" s="7">
        <v>2919</v>
      </c>
    </row>
    <row r="597" spans="1:14" x14ac:dyDescent="0.3">
      <c r="A597">
        <v>1205</v>
      </c>
      <c r="B597" s="1">
        <v>45192</v>
      </c>
      <c r="C597">
        <v>2023</v>
      </c>
      <c r="D597">
        <v>9</v>
      </c>
      <c r="E597" t="str">
        <f t="shared" si="9"/>
        <v>September</v>
      </c>
      <c r="F597">
        <v>3</v>
      </c>
      <c r="G597" t="s">
        <v>1522</v>
      </c>
      <c r="H597" t="s">
        <v>1520</v>
      </c>
      <c r="I597" t="s">
        <v>1521</v>
      </c>
      <c r="J597" t="s">
        <v>1517</v>
      </c>
      <c r="K597" t="s">
        <v>1518</v>
      </c>
      <c r="L597" s="2">
        <v>3</v>
      </c>
      <c r="M597" s="10">
        <v>973</v>
      </c>
      <c r="N597" s="7">
        <v>2919</v>
      </c>
    </row>
    <row r="598" spans="1:14" x14ac:dyDescent="0.3">
      <c r="A598">
        <v>1205</v>
      </c>
      <c r="B598" s="1">
        <v>45120</v>
      </c>
      <c r="C598">
        <v>2023</v>
      </c>
      <c r="D598">
        <v>7</v>
      </c>
      <c r="E598" t="str">
        <f t="shared" si="9"/>
        <v>Juli</v>
      </c>
      <c r="F598">
        <v>3</v>
      </c>
      <c r="G598" t="s">
        <v>1522</v>
      </c>
      <c r="H598" t="s">
        <v>1520</v>
      </c>
      <c r="I598" t="s">
        <v>1521</v>
      </c>
      <c r="J598" t="s">
        <v>1517</v>
      </c>
      <c r="K598" t="s">
        <v>1518</v>
      </c>
      <c r="L598" s="2">
        <v>3</v>
      </c>
      <c r="M598" s="10">
        <v>973</v>
      </c>
      <c r="N598" s="7">
        <v>2919</v>
      </c>
    </row>
    <row r="599" spans="1:14" x14ac:dyDescent="0.3">
      <c r="A599">
        <v>1205</v>
      </c>
      <c r="B599" s="1">
        <v>44839</v>
      </c>
      <c r="C599">
        <v>2022</v>
      </c>
      <c r="D599">
        <v>10</v>
      </c>
      <c r="E599" t="str">
        <f t="shared" si="9"/>
        <v>Oktober</v>
      </c>
      <c r="F599">
        <v>4</v>
      </c>
      <c r="G599" t="s">
        <v>1522</v>
      </c>
      <c r="H599" t="s">
        <v>1520</v>
      </c>
      <c r="I599" t="s">
        <v>1521</v>
      </c>
      <c r="J599" t="s">
        <v>1517</v>
      </c>
      <c r="K599" t="s">
        <v>1518</v>
      </c>
      <c r="L599" s="2">
        <v>3</v>
      </c>
      <c r="M599" s="10">
        <v>973</v>
      </c>
      <c r="N599" s="7">
        <v>2919</v>
      </c>
    </row>
    <row r="600" spans="1:14" x14ac:dyDescent="0.3">
      <c r="A600">
        <v>1205</v>
      </c>
      <c r="B600" s="1">
        <v>45572</v>
      </c>
      <c r="C600">
        <v>2024</v>
      </c>
      <c r="D600">
        <v>10</v>
      </c>
      <c r="E600" t="str">
        <f t="shared" si="9"/>
        <v>Oktober</v>
      </c>
      <c r="F600">
        <v>4</v>
      </c>
      <c r="G600" t="s">
        <v>1522</v>
      </c>
      <c r="H600" t="s">
        <v>1520</v>
      </c>
      <c r="I600" t="s">
        <v>1521</v>
      </c>
      <c r="J600" t="s">
        <v>1517</v>
      </c>
      <c r="K600" t="s">
        <v>1518</v>
      </c>
      <c r="L600" s="2">
        <v>3</v>
      </c>
      <c r="M600" s="10">
        <v>973</v>
      </c>
      <c r="N600" s="7">
        <v>2919</v>
      </c>
    </row>
    <row r="601" spans="1:14" x14ac:dyDescent="0.3">
      <c r="A601">
        <v>1206</v>
      </c>
      <c r="B601" s="1">
        <v>44657</v>
      </c>
      <c r="C601">
        <v>2022</v>
      </c>
      <c r="D601">
        <v>4</v>
      </c>
      <c r="E601" t="str">
        <f t="shared" si="9"/>
        <v>April</v>
      </c>
      <c r="F601">
        <v>2</v>
      </c>
      <c r="G601" t="s">
        <v>1523</v>
      </c>
      <c r="H601" t="s">
        <v>1512</v>
      </c>
      <c r="I601" t="s">
        <v>1521</v>
      </c>
      <c r="J601" t="s">
        <v>1566</v>
      </c>
      <c r="K601" t="s">
        <v>1518</v>
      </c>
      <c r="L601" s="2">
        <v>2</v>
      </c>
      <c r="M601" s="10">
        <v>19223</v>
      </c>
      <c r="N601" s="7">
        <v>38446</v>
      </c>
    </row>
    <row r="602" spans="1:14" x14ac:dyDescent="0.3">
      <c r="A602">
        <v>1206</v>
      </c>
      <c r="B602" s="1">
        <v>44915</v>
      </c>
      <c r="C602">
        <v>2022</v>
      </c>
      <c r="D602">
        <v>12</v>
      </c>
      <c r="E602" t="str">
        <f t="shared" si="9"/>
        <v>Desember</v>
      </c>
      <c r="F602">
        <v>4</v>
      </c>
      <c r="G602" t="s">
        <v>1523</v>
      </c>
      <c r="H602" t="s">
        <v>1512</v>
      </c>
      <c r="I602" t="s">
        <v>1521</v>
      </c>
      <c r="J602" t="s">
        <v>1566</v>
      </c>
      <c r="K602" t="s">
        <v>1518</v>
      </c>
      <c r="L602" s="2">
        <v>2</v>
      </c>
      <c r="M602" s="10">
        <v>19223</v>
      </c>
      <c r="N602" s="7">
        <v>38446</v>
      </c>
    </row>
    <row r="603" spans="1:14" x14ac:dyDescent="0.3">
      <c r="A603">
        <v>1206</v>
      </c>
      <c r="B603" s="1">
        <v>45526</v>
      </c>
      <c r="C603">
        <v>2024</v>
      </c>
      <c r="D603">
        <v>8</v>
      </c>
      <c r="E603" t="str">
        <f t="shared" si="9"/>
        <v>Agustus</v>
      </c>
      <c r="F603">
        <v>3</v>
      </c>
      <c r="G603" t="s">
        <v>1523</v>
      </c>
      <c r="H603" t="s">
        <v>1512</v>
      </c>
      <c r="I603" t="s">
        <v>1521</v>
      </c>
      <c r="J603" t="s">
        <v>1566</v>
      </c>
      <c r="K603" t="s">
        <v>1518</v>
      </c>
      <c r="L603" s="2">
        <v>2</v>
      </c>
      <c r="M603" s="10">
        <v>19223</v>
      </c>
      <c r="N603" s="7">
        <v>38446</v>
      </c>
    </row>
    <row r="604" spans="1:14" x14ac:dyDescent="0.3">
      <c r="A604">
        <v>1206</v>
      </c>
      <c r="B604" s="1">
        <v>45169</v>
      </c>
      <c r="C604">
        <v>2023</v>
      </c>
      <c r="D604">
        <v>8</v>
      </c>
      <c r="E604" t="str">
        <f t="shared" si="9"/>
        <v>Agustus</v>
      </c>
      <c r="F604">
        <v>3</v>
      </c>
      <c r="G604" t="s">
        <v>1523</v>
      </c>
      <c r="H604" t="s">
        <v>1512</v>
      </c>
      <c r="I604" t="s">
        <v>1521</v>
      </c>
      <c r="J604" t="s">
        <v>1566</v>
      </c>
      <c r="K604" t="s">
        <v>1518</v>
      </c>
      <c r="L604" s="2">
        <v>2</v>
      </c>
      <c r="M604" s="10">
        <v>19223</v>
      </c>
      <c r="N604" s="7">
        <v>38446</v>
      </c>
    </row>
    <row r="605" spans="1:14" x14ac:dyDescent="0.3">
      <c r="A605">
        <v>1207</v>
      </c>
      <c r="B605" s="1">
        <v>45056</v>
      </c>
      <c r="C605">
        <v>2023</v>
      </c>
      <c r="D605">
        <v>5</v>
      </c>
      <c r="E605" t="str">
        <f t="shared" si="9"/>
        <v>Mei</v>
      </c>
      <c r="F605">
        <v>2</v>
      </c>
      <c r="G605" t="s">
        <v>1526</v>
      </c>
      <c r="H605" t="s">
        <v>1527</v>
      </c>
      <c r="I605" t="s">
        <v>1535</v>
      </c>
      <c r="J605" t="s">
        <v>1524</v>
      </c>
      <c r="K605" t="s">
        <v>1514</v>
      </c>
      <c r="L605" s="2">
        <v>3</v>
      </c>
      <c r="M605" s="10">
        <v>197</v>
      </c>
      <c r="N605" s="7">
        <v>591</v>
      </c>
    </row>
    <row r="606" spans="1:14" x14ac:dyDescent="0.3">
      <c r="A606">
        <v>1208</v>
      </c>
      <c r="B606" s="1">
        <v>44793</v>
      </c>
      <c r="C606">
        <v>2022</v>
      </c>
      <c r="D606">
        <v>8</v>
      </c>
      <c r="E606" t="str">
        <f t="shared" si="9"/>
        <v>Agustus</v>
      </c>
      <c r="F606">
        <v>3</v>
      </c>
      <c r="G606" t="s">
        <v>1529</v>
      </c>
      <c r="H606" t="s">
        <v>1530</v>
      </c>
      <c r="I606" t="s">
        <v>1513</v>
      </c>
      <c r="J606" t="s">
        <v>1524</v>
      </c>
      <c r="K606" t="s">
        <v>1518</v>
      </c>
      <c r="L606" s="2">
        <v>4</v>
      </c>
      <c r="M606" s="10">
        <v>1862</v>
      </c>
      <c r="N606" s="7">
        <v>7448</v>
      </c>
    </row>
    <row r="607" spans="1:14" x14ac:dyDescent="0.3">
      <c r="A607">
        <v>1208</v>
      </c>
      <c r="B607" s="1">
        <v>44670</v>
      </c>
      <c r="C607">
        <v>2022</v>
      </c>
      <c r="D607">
        <v>4</v>
      </c>
      <c r="E607" t="str">
        <f t="shared" si="9"/>
        <v>April</v>
      </c>
      <c r="F607">
        <v>2</v>
      </c>
      <c r="G607" t="s">
        <v>1529</v>
      </c>
      <c r="H607" t="s">
        <v>1530</v>
      </c>
      <c r="I607" t="s">
        <v>1513</v>
      </c>
      <c r="J607" t="s">
        <v>1524</v>
      </c>
      <c r="K607" t="s">
        <v>1518</v>
      </c>
      <c r="L607" s="2">
        <v>4</v>
      </c>
      <c r="M607" s="10">
        <v>1862</v>
      </c>
      <c r="N607" s="7">
        <v>7448</v>
      </c>
    </row>
    <row r="608" spans="1:14" x14ac:dyDescent="0.3">
      <c r="A608">
        <v>1209</v>
      </c>
      <c r="B608" s="1">
        <v>44579</v>
      </c>
      <c r="C608">
        <v>2022</v>
      </c>
      <c r="D608">
        <v>1</v>
      </c>
      <c r="E608" t="str">
        <f t="shared" si="9"/>
        <v>Januari</v>
      </c>
      <c r="F608">
        <v>1</v>
      </c>
      <c r="G608" t="s">
        <v>1532</v>
      </c>
      <c r="H608" t="s">
        <v>1512</v>
      </c>
      <c r="I608" t="s">
        <v>1531</v>
      </c>
      <c r="J608" t="s">
        <v>1524</v>
      </c>
      <c r="K608" t="s">
        <v>1525</v>
      </c>
      <c r="L608" s="2">
        <v>2</v>
      </c>
      <c r="M608" s="10">
        <v>7732</v>
      </c>
      <c r="N608" s="7">
        <v>15464</v>
      </c>
    </row>
    <row r="609" spans="1:14" x14ac:dyDescent="0.3">
      <c r="A609">
        <v>1209</v>
      </c>
      <c r="B609" s="1">
        <v>45458</v>
      </c>
      <c r="C609">
        <v>2024</v>
      </c>
      <c r="D609">
        <v>6</v>
      </c>
      <c r="E609" t="str">
        <f t="shared" si="9"/>
        <v>Juni</v>
      </c>
      <c r="F609">
        <v>2</v>
      </c>
      <c r="G609" t="s">
        <v>1532</v>
      </c>
      <c r="H609" t="s">
        <v>1512</v>
      </c>
      <c r="I609" t="s">
        <v>1531</v>
      </c>
      <c r="J609" t="s">
        <v>1524</v>
      </c>
      <c r="K609" t="s">
        <v>1525</v>
      </c>
      <c r="L609" s="2">
        <v>2</v>
      </c>
      <c r="M609" s="10">
        <v>7732</v>
      </c>
      <c r="N609" s="7">
        <v>15464</v>
      </c>
    </row>
    <row r="610" spans="1:14" x14ac:dyDescent="0.3">
      <c r="A610">
        <v>1209</v>
      </c>
      <c r="B610" s="1">
        <v>45018</v>
      </c>
      <c r="C610">
        <v>2023</v>
      </c>
      <c r="D610">
        <v>4</v>
      </c>
      <c r="E610" t="str">
        <f t="shared" si="9"/>
        <v>April</v>
      </c>
      <c r="F610">
        <v>2</v>
      </c>
      <c r="G610" t="s">
        <v>1532</v>
      </c>
      <c r="H610" t="s">
        <v>1512</v>
      </c>
      <c r="I610" t="s">
        <v>1531</v>
      </c>
      <c r="J610" t="s">
        <v>1524</v>
      </c>
      <c r="K610" t="s">
        <v>1525</v>
      </c>
      <c r="L610" s="2">
        <v>2</v>
      </c>
      <c r="M610" s="10">
        <v>7732</v>
      </c>
      <c r="N610" s="7">
        <v>15464</v>
      </c>
    </row>
    <row r="611" spans="1:14" x14ac:dyDescent="0.3">
      <c r="A611">
        <v>1209</v>
      </c>
      <c r="B611" s="1">
        <v>45177</v>
      </c>
      <c r="C611">
        <v>2023</v>
      </c>
      <c r="D611">
        <v>9</v>
      </c>
      <c r="E611" t="str">
        <f t="shared" si="9"/>
        <v>September</v>
      </c>
      <c r="F611">
        <v>3</v>
      </c>
      <c r="G611" t="s">
        <v>1532</v>
      </c>
      <c r="H611" t="s">
        <v>1512</v>
      </c>
      <c r="I611" t="s">
        <v>1531</v>
      </c>
      <c r="J611" t="s">
        <v>1524</v>
      </c>
      <c r="K611" t="s">
        <v>1525</v>
      </c>
      <c r="L611" s="2">
        <v>2</v>
      </c>
      <c r="M611" s="10">
        <v>7732</v>
      </c>
      <c r="N611" s="7">
        <v>15464</v>
      </c>
    </row>
    <row r="612" spans="1:14" x14ac:dyDescent="0.3">
      <c r="A612">
        <v>1209</v>
      </c>
      <c r="B612" s="1">
        <v>45538</v>
      </c>
      <c r="C612">
        <v>2024</v>
      </c>
      <c r="D612">
        <v>9</v>
      </c>
      <c r="E612" t="str">
        <f t="shared" si="9"/>
        <v>September</v>
      </c>
      <c r="F612">
        <v>3</v>
      </c>
      <c r="G612" t="s">
        <v>1532</v>
      </c>
      <c r="H612" t="s">
        <v>1512</v>
      </c>
      <c r="I612" t="s">
        <v>1531</v>
      </c>
      <c r="J612" t="s">
        <v>1524</v>
      </c>
      <c r="K612" t="s">
        <v>1525</v>
      </c>
      <c r="L612" s="2">
        <v>2</v>
      </c>
      <c r="M612" s="10">
        <v>7732</v>
      </c>
      <c r="N612" s="7">
        <v>15464</v>
      </c>
    </row>
    <row r="613" spans="1:14" x14ac:dyDescent="0.3">
      <c r="A613">
        <v>1210</v>
      </c>
      <c r="B613" s="1">
        <v>45170</v>
      </c>
      <c r="C613">
        <v>2023</v>
      </c>
      <c r="D613">
        <v>9</v>
      </c>
      <c r="E613" t="str">
        <f t="shared" si="9"/>
        <v>September</v>
      </c>
      <c r="F613">
        <v>3</v>
      </c>
      <c r="G613" t="s">
        <v>1533</v>
      </c>
      <c r="H613" t="s">
        <v>1520</v>
      </c>
      <c r="I613" t="s">
        <v>1535</v>
      </c>
      <c r="J613" t="s">
        <v>1566</v>
      </c>
      <c r="K613" t="s">
        <v>1525</v>
      </c>
      <c r="L613" s="2">
        <v>3</v>
      </c>
      <c r="M613" s="10">
        <v>508</v>
      </c>
      <c r="N613" s="7">
        <v>1524</v>
      </c>
    </row>
    <row r="614" spans="1:14" x14ac:dyDescent="0.3">
      <c r="A614">
        <v>1210</v>
      </c>
      <c r="B614" s="1">
        <v>44631</v>
      </c>
      <c r="C614">
        <v>2022</v>
      </c>
      <c r="D614">
        <v>3</v>
      </c>
      <c r="E614" t="str">
        <f t="shared" si="9"/>
        <v>Maret</v>
      </c>
      <c r="F614">
        <v>1</v>
      </c>
      <c r="G614" t="s">
        <v>1533</v>
      </c>
      <c r="H614" t="s">
        <v>1520</v>
      </c>
      <c r="I614" t="s">
        <v>1535</v>
      </c>
      <c r="J614" t="s">
        <v>1566</v>
      </c>
      <c r="K614" t="s">
        <v>1525</v>
      </c>
      <c r="L614" s="2">
        <v>3</v>
      </c>
      <c r="M614" s="10">
        <v>508</v>
      </c>
      <c r="N614" s="7">
        <v>1524</v>
      </c>
    </row>
    <row r="615" spans="1:14" x14ac:dyDescent="0.3">
      <c r="A615">
        <v>1210</v>
      </c>
      <c r="B615" s="1">
        <v>44735</v>
      </c>
      <c r="C615">
        <v>2022</v>
      </c>
      <c r="D615">
        <v>6</v>
      </c>
      <c r="E615" t="str">
        <f t="shared" si="9"/>
        <v>Juni</v>
      </c>
      <c r="F615">
        <v>2</v>
      </c>
      <c r="G615" t="s">
        <v>1533</v>
      </c>
      <c r="H615" t="s">
        <v>1520</v>
      </c>
      <c r="I615" t="s">
        <v>1535</v>
      </c>
      <c r="J615" t="s">
        <v>1566</v>
      </c>
      <c r="K615" t="s">
        <v>1525</v>
      </c>
      <c r="L615" s="2">
        <v>3</v>
      </c>
      <c r="M615" s="10">
        <v>508</v>
      </c>
      <c r="N615" s="7">
        <v>1524</v>
      </c>
    </row>
    <row r="616" spans="1:14" x14ac:dyDescent="0.3">
      <c r="A616">
        <v>1210</v>
      </c>
      <c r="B616" s="1">
        <v>44701</v>
      </c>
      <c r="C616">
        <v>2022</v>
      </c>
      <c r="D616">
        <v>5</v>
      </c>
      <c r="E616" t="str">
        <f t="shared" si="9"/>
        <v>Mei</v>
      </c>
      <c r="F616">
        <v>2</v>
      </c>
      <c r="G616" t="s">
        <v>1533</v>
      </c>
      <c r="H616" t="s">
        <v>1520</v>
      </c>
      <c r="I616" t="s">
        <v>1535</v>
      </c>
      <c r="J616" t="s">
        <v>1566</v>
      </c>
      <c r="K616" t="s">
        <v>1525</v>
      </c>
      <c r="L616" s="2">
        <v>3</v>
      </c>
      <c r="M616" s="10">
        <v>508</v>
      </c>
      <c r="N616" s="7">
        <v>1524</v>
      </c>
    </row>
    <row r="617" spans="1:14" x14ac:dyDescent="0.3">
      <c r="A617">
        <v>1210</v>
      </c>
      <c r="B617" s="1">
        <v>44900</v>
      </c>
      <c r="C617">
        <v>2022</v>
      </c>
      <c r="D617">
        <v>12</v>
      </c>
      <c r="E617" t="str">
        <f t="shared" si="9"/>
        <v>Desember</v>
      </c>
      <c r="F617">
        <v>4</v>
      </c>
      <c r="G617" t="s">
        <v>1533</v>
      </c>
      <c r="H617" t="s">
        <v>1520</v>
      </c>
      <c r="I617" t="s">
        <v>1535</v>
      </c>
      <c r="J617" t="s">
        <v>1566</v>
      </c>
      <c r="K617" t="s">
        <v>1525</v>
      </c>
      <c r="L617" s="2">
        <v>3</v>
      </c>
      <c r="M617" s="10">
        <v>508</v>
      </c>
      <c r="N617" s="7">
        <v>1524</v>
      </c>
    </row>
    <row r="618" spans="1:14" x14ac:dyDescent="0.3">
      <c r="A618">
        <v>1211</v>
      </c>
      <c r="B618" s="1">
        <v>45057</v>
      </c>
      <c r="C618">
        <v>2023</v>
      </c>
      <c r="D618">
        <v>5</v>
      </c>
      <c r="E618" t="str">
        <f t="shared" si="9"/>
        <v>Mei</v>
      </c>
      <c r="F618">
        <v>2</v>
      </c>
      <c r="G618" t="s">
        <v>1511</v>
      </c>
      <c r="H618" t="s">
        <v>1512</v>
      </c>
      <c r="I618" t="s">
        <v>1521</v>
      </c>
      <c r="J618" t="s">
        <v>1566</v>
      </c>
      <c r="K618" t="s">
        <v>1525</v>
      </c>
      <c r="L618" s="2">
        <v>1</v>
      </c>
      <c r="M618" s="10">
        <v>55970</v>
      </c>
      <c r="N618" s="7">
        <v>55970</v>
      </c>
    </row>
    <row r="619" spans="1:14" x14ac:dyDescent="0.3">
      <c r="A619">
        <v>1211</v>
      </c>
      <c r="B619" s="1">
        <v>45081</v>
      </c>
      <c r="C619">
        <v>2023</v>
      </c>
      <c r="D619">
        <v>6</v>
      </c>
      <c r="E619" t="str">
        <f t="shared" si="9"/>
        <v>Juni</v>
      </c>
      <c r="F619">
        <v>2</v>
      </c>
      <c r="G619" t="s">
        <v>1511</v>
      </c>
      <c r="H619" t="s">
        <v>1512</v>
      </c>
      <c r="I619" t="s">
        <v>1521</v>
      </c>
      <c r="J619" t="s">
        <v>1566</v>
      </c>
      <c r="K619" t="s">
        <v>1525</v>
      </c>
      <c r="L619" s="2">
        <v>1</v>
      </c>
      <c r="M619" s="10">
        <v>55970</v>
      </c>
      <c r="N619" s="7">
        <v>55970</v>
      </c>
    </row>
    <row r="620" spans="1:14" x14ac:dyDescent="0.3">
      <c r="A620">
        <v>1212</v>
      </c>
      <c r="B620" s="1">
        <v>45339</v>
      </c>
      <c r="C620">
        <v>2024</v>
      </c>
      <c r="D620">
        <v>2</v>
      </c>
      <c r="E620" t="str">
        <f t="shared" si="9"/>
        <v>Februari</v>
      </c>
      <c r="F620">
        <v>1</v>
      </c>
      <c r="G620" t="s">
        <v>1515</v>
      </c>
      <c r="H620" t="s">
        <v>1512</v>
      </c>
      <c r="I620" t="s">
        <v>1528</v>
      </c>
      <c r="J620" t="s">
        <v>1524</v>
      </c>
      <c r="K620" t="s">
        <v>1525</v>
      </c>
      <c r="L620" s="2">
        <v>2</v>
      </c>
      <c r="M620" s="10">
        <v>2129</v>
      </c>
      <c r="N620" s="7">
        <v>4258</v>
      </c>
    </row>
    <row r="621" spans="1:14" x14ac:dyDescent="0.3">
      <c r="A621">
        <v>1212</v>
      </c>
      <c r="B621" s="1">
        <v>44787</v>
      </c>
      <c r="C621">
        <v>2022</v>
      </c>
      <c r="D621">
        <v>8</v>
      </c>
      <c r="E621" t="str">
        <f t="shared" si="9"/>
        <v>Agustus</v>
      </c>
      <c r="F621">
        <v>3</v>
      </c>
      <c r="G621" t="s">
        <v>1515</v>
      </c>
      <c r="H621" t="s">
        <v>1512</v>
      </c>
      <c r="I621" t="s">
        <v>1528</v>
      </c>
      <c r="J621" t="s">
        <v>1524</v>
      </c>
      <c r="K621" t="s">
        <v>1525</v>
      </c>
      <c r="L621" s="2">
        <v>2</v>
      </c>
      <c r="M621" s="10">
        <v>2129</v>
      </c>
      <c r="N621" s="7">
        <v>4258</v>
      </c>
    </row>
    <row r="622" spans="1:14" x14ac:dyDescent="0.3">
      <c r="A622">
        <v>1212</v>
      </c>
      <c r="B622" s="1">
        <v>45218</v>
      </c>
      <c r="C622">
        <v>2023</v>
      </c>
      <c r="D622">
        <v>10</v>
      </c>
      <c r="E622" t="str">
        <f t="shared" si="9"/>
        <v>Oktober</v>
      </c>
      <c r="F622">
        <v>4</v>
      </c>
      <c r="G622" t="s">
        <v>1515</v>
      </c>
      <c r="H622" t="s">
        <v>1512</v>
      </c>
      <c r="I622" t="s">
        <v>1528</v>
      </c>
      <c r="J622" t="s">
        <v>1524</v>
      </c>
      <c r="K622" t="s">
        <v>1525</v>
      </c>
      <c r="L622" s="2">
        <v>2</v>
      </c>
      <c r="M622" s="10">
        <v>2129</v>
      </c>
      <c r="N622" s="7">
        <v>4258</v>
      </c>
    </row>
    <row r="623" spans="1:14" x14ac:dyDescent="0.3">
      <c r="A623">
        <v>1213</v>
      </c>
      <c r="B623" s="1">
        <v>44608</v>
      </c>
      <c r="C623">
        <v>2022</v>
      </c>
      <c r="D623">
        <v>2</v>
      </c>
      <c r="E623" t="str">
        <f t="shared" si="9"/>
        <v>Februari</v>
      </c>
      <c r="F623">
        <v>1</v>
      </c>
      <c r="G623" t="s">
        <v>1534</v>
      </c>
      <c r="H623" t="s">
        <v>1530</v>
      </c>
      <c r="I623" t="s">
        <v>1521</v>
      </c>
      <c r="J623" t="s">
        <v>1566</v>
      </c>
      <c r="K623" t="s">
        <v>1518</v>
      </c>
      <c r="L623" s="2">
        <v>3</v>
      </c>
      <c r="M623" s="10">
        <v>2280</v>
      </c>
      <c r="N623" s="7">
        <v>6840</v>
      </c>
    </row>
    <row r="624" spans="1:14" x14ac:dyDescent="0.3">
      <c r="A624">
        <v>1214</v>
      </c>
      <c r="B624" s="1">
        <v>45006</v>
      </c>
      <c r="C624">
        <v>2023</v>
      </c>
      <c r="D624">
        <v>3</v>
      </c>
      <c r="E624" t="str">
        <f t="shared" si="9"/>
        <v>Maret</v>
      </c>
      <c r="F624">
        <v>1</v>
      </c>
      <c r="G624" t="s">
        <v>1519</v>
      </c>
      <c r="H624" t="s">
        <v>1520</v>
      </c>
      <c r="I624" t="s">
        <v>1516</v>
      </c>
      <c r="J624" t="s">
        <v>1566</v>
      </c>
      <c r="K624" t="s">
        <v>1514</v>
      </c>
      <c r="L624" s="2">
        <v>1</v>
      </c>
      <c r="M624" s="10">
        <v>2260</v>
      </c>
      <c r="N624" s="7">
        <v>2260</v>
      </c>
    </row>
    <row r="625" spans="1:14" x14ac:dyDescent="0.3">
      <c r="A625">
        <v>1214</v>
      </c>
      <c r="B625" s="1">
        <v>44696</v>
      </c>
      <c r="C625">
        <v>2022</v>
      </c>
      <c r="D625">
        <v>5</v>
      </c>
      <c r="E625" t="str">
        <f t="shared" si="9"/>
        <v>Mei</v>
      </c>
      <c r="F625">
        <v>2</v>
      </c>
      <c r="G625" t="s">
        <v>1519</v>
      </c>
      <c r="H625" t="s">
        <v>1520</v>
      </c>
      <c r="I625" t="s">
        <v>1516</v>
      </c>
      <c r="J625" t="s">
        <v>1566</v>
      </c>
      <c r="K625" t="s">
        <v>1514</v>
      </c>
      <c r="L625" s="2">
        <v>1</v>
      </c>
      <c r="M625" s="10">
        <v>2260</v>
      </c>
      <c r="N625" s="7">
        <v>2260</v>
      </c>
    </row>
    <row r="626" spans="1:14" x14ac:dyDescent="0.3">
      <c r="A626">
        <v>1215</v>
      </c>
      <c r="B626" s="1">
        <v>45143</v>
      </c>
      <c r="C626">
        <v>2023</v>
      </c>
      <c r="D626">
        <v>8</v>
      </c>
      <c r="E626" t="str">
        <f t="shared" si="9"/>
        <v>Agustus</v>
      </c>
      <c r="F626">
        <v>3</v>
      </c>
      <c r="G626" t="s">
        <v>1522</v>
      </c>
      <c r="H626" t="s">
        <v>1520</v>
      </c>
      <c r="I626" t="s">
        <v>1528</v>
      </c>
      <c r="J626" t="s">
        <v>1566</v>
      </c>
      <c r="K626" t="s">
        <v>1518</v>
      </c>
      <c r="L626" s="2">
        <v>4</v>
      </c>
      <c r="M626" s="10">
        <v>962</v>
      </c>
      <c r="N626" s="7">
        <v>3848</v>
      </c>
    </row>
    <row r="627" spans="1:14" x14ac:dyDescent="0.3">
      <c r="A627">
        <v>1215</v>
      </c>
      <c r="B627" s="1">
        <v>45068</v>
      </c>
      <c r="C627">
        <v>2023</v>
      </c>
      <c r="D627">
        <v>5</v>
      </c>
      <c r="E627" t="str">
        <f t="shared" si="9"/>
        <v>Mei</v>
      </c>
      <c r="F627">
        <v>2</v>
      </c>
      <c r="G627" t="s">
        <v>1522</v>
      </c>
      <c r="H627" t="s">
        <v>1520</v>
      </c>
      <c r="I627" t="s">
        <v>1528</v>
      </c>
      <c r="J627" t="s">
        <v>1566</v>
      </c>
      <c r="K627" t="s">
        <v>1518</v>
      </c>
      <c r="L627" s="2">
        <v>4</v>
      </c>
      <c r="M627" s="10">
        <v>962</v>
      </c>
      <c r="N627" s="7">
        <v>3848</v>
      </c>
    </row>
    <row r="628" spans="1:14" x14ac:dyDescent="0.3">
      <c r="A628">
        <v>1215</v>
      </c>
      <c r="B628" s="1">
        <v>44885</v>
      </c>
      <c r="C628">
        <v>2022</v>
      </c>
      <c r="D628">
        <v>11</v>
      </c>
      <c r="E628" t="str">
        <f t="shared" si="9"/>
        <v>November</v>
      </c>
      <c r="F628">
        <v>4</v>
      </c>
      <c r="G628" t="s">
        <v>1522</v>
      </c>
      <c r="H628" t="s">
        <v>1520</v>
      </c>
      <c r="I628" t="s">
        <v>1528</v>
      </c>
      <c r="J628" t="s">
        <v>1566</v>
      </c>
      <c r="K628" t="s">
        <v>1518</v>
      </c>
      <c r="L628" s="2">
        <v>4</v>
      </c>
      <c r="M628" s="10">
        <v>962</v>
      </c>
      <c r="N628" s="7">
        <v>3848</v>
      </c>
    </row>
    <row r="629" spans="1:14" x14ac:dyDescent="0.3">
      <c r="A629">
        <v>1215</v>
      </c>
      <c r="B629" s="1">
        <v>44770</v>
      </c>
      <c r="C629">
        <v>2022</v>
      </c>
      <c r="D629">
        <v>7</v>
      </c>
      <c r="E629" t="str">
        <f t="shared" si="9"/>
        <v>Juli</v>
      </c>
      <c r="F629">
        <v>3</v>
      </c>
      <c r="G629" t="s">
        <v>1522</v>
      </c>
      <c r="H629" t="s">
        <v>1520</v>
      </c>
      <c r="I629" t="s">
        <v>1528</v>
      </c>
      <c r="J629" t="s">
        <v>1566</v>
      </c>
      <c r="K629" t="s">
        <v>1518</v>
      </c>
      <c r="L629" s="2">
        <v>4</v>
      </c>
      <c r="M629" s="10">
        <v>962</v>
      </c>
      <c r="N629" s="7">
        <v>3848</v>
      </c>
    </row>
    <row r="630" spans="1:14" x14ac:dyDescent="0.3">
      <c r="A630">
        <v>1216</v>
      </c>
      <c r="B630" s="1">
        <v>44963</v>
      </c>
      <c r="C630">
        <v>2023</v>
      </c>
      <c r="D630">
        <v>2</v>
      </c>
      <c r="E630" t="str">
        <f t="shared" si="9"/>
        <v>Februari</v>
      </c>
      <c r="F630">
        <v>1</v>
      </c>
      <c r="G630" t="s">
        <v>1523</v>
      </c>
      <c r="H630" t="s">
        <v>1512</v>
      </c>
      <c r="I630" t="s">
        <v>1531</v>
      </c>
      <c r="J630" t="s">
        <v>1524</v>
      </c>
      <c r="K630" t="s">
        <v>1514</v>
      </c>
      <c r="L630" s="2">
        <v>2</v>
      </c>
      <c r="M630" s="10">
        <v>12775</v>
      </c>
      <c r="N630" s="7">
        <v>25550</v>
      </c>
    </row>
    <row r="631" spans="1:14" x14ac:dyDescent="0.3">
      <c r="A631">
        <v>1216</v>
      </c>
      <c r="B631" s="1">
        <v>44799</v>
      </c>
      <c r="C631">
        <v>2022</v>
      </c>
      <c r="D631">
        <v>8</v>
      </c>
      <c r="E631" t="str">
        <f t="shared" si="9"/>
        <v>Agustus</v>
      </c>
      <c r="F631">
        <v>3</v>
      </c>
      <c r="G631" t="s">
        <v>1523</v>
      </c>
      <c r="H631" t="s">
        <v>1512</v>
      </c>
      <c r="I631" t="s">
        <v>1531</v>
      </c>
      <c r="J631" t="s">
        <v>1524</v>
      </c>
      <c r="K631" t="s">
        <v>1514</v>
      </c>
      <c r="L631" s="2">
        <v>2</v>
      </c>
      <c r="M631" s="10">
        <v>12775</v>
      </c>
      <c r="N631" s="7">
        <v>25550</v>
      </c>
    </row>
    <row r="632" spans="1:14" x14ac:dyDescent="0.3">
      <c r="A632">
        <v>1216</v>
      </c>
      <c r="B632" s="1">
        <v>44904</v>
      </c>
      <c r="C632">
        <v>2022</v>
      </c>
      <c r="D632">
        <v>12</v>
      </c>
      <c r="E632" t="str">
        <f t="shared" si="9"/>
        <v>Desember</v>
      </c>
      <c r="F632">
        <v>4</v>
      </c>
      <c r="G632" t="s">
        <v>1523</v>
      </c>
      <c r="H632" t="s">
        <v>1512</v>
      </c>
      <c r="I632" t="s">
        <v>1531</v>
      </c>
      <c r="J632" t="s">
        <v>1524</v>
      </c>
      <c r="K632" t="s">
        <v>1514</v>
      </c>
      <c r="L632" s="2">
        <v>2</v>
      </c>
      <c r="M632" s="10">
        <v>12775</v>
      </c>
      <c r="N632" s="7">
        <v>25550</v>
      </c>
    </row>
    <row r="633" spans="1:14" x14ac:dyDescent="0.3">
      <c r="A633">
        <v>1216</v>
      </c>
      <c r="B633" s="1">
        <v>44728</v>
      </c>
      <c r="C633">
        <v>2022</v>
      </c>
      <c r="D633">
        <v>6</v>
      </c>
      <c r="E633" t="str">
        <f t="shared" si="9"/>
        <v>Juni</v>
      </c>
      <c r="F633">
        <v>2</v>
      </c>
      <c r="G633" t="s">
        <v>1523</v>
      </c>
      <c r="H633" t="s">
        <v>1512</v>
      </c>
      <c r="I633" t="s">
        <v>1531</v>
      </c>
      <c r="J633" t="s">
        <v>1524</v>
      </c>
      <c r="K633" t="s">
        <v>1514</v>
      </c>
      <c r="L633" s="2">
        <v>2</v>
      </c>
      <c r="M633" s="10">
        <v>12775</v>
      </c>
      <c r="N633" s="7">
        <v>25550</v>
      </c>
    </row>
    <row r="634" spans="1:14" x14ac:dyDescent="0.3">
      <c r="A634">
        <v>1216</v>
      </c>
      <c r="B634" s="1">
        <v>45367</v>
      </c>
      <c r="C634">
        <v>2024</v>
      </c>
      <c r="D634">
        <v>3</v>
      </c>
      <c r="E634" t="str">
        <f t="shared" si="9"/>
        <v>Maret</v>
      </c>
      <c r="F634">
        <v>1</v>
      </c>
      <c r="G634" t="s">
        <v>1523</v>
      </c>
      <c r="H634" t="s">
        <v>1512</v>
      </c>
      <c r="I634" t="s">
        <v>1531</v>
      </c>
      <c r="J634" t="s">
        <v>1524</v>
      </c>
      <c r="K634" t="s">
        <v>1514</v>
      </c>
      <c r="L634" s="2">
        <v>2</v>
      </c>
      <c r="M634" s="10">
        <v>12775</v>
      </c>
      <c r="N634" s="7">
        <v>25550</v>
      </c>
    </row>
    <row r="635" spans="1:14" x14ac:dyDescent="0.3">
      <c r="A635">
        <v>1216</v>
      </c>
      <c r="B635" s="1">
        <v>44838</v>
      </c>
      <c r="C635">
        <v>2022</v>
      </c>
      <c r="D635">
        <v>10</v>
      </c>
      <c r="E635" t="str">
        <f t="shared" si="9"/>
        <v>Oktober</v>
      </c>
      <c r="F635">
        <v>4</v>
      </c>
      <c r="G635" t="s">
        <v>1523</v>
      </c>
      <c r="H635" t="s">
        <v>1512</v>
      </c>
      <c r="I635" t="s">
        <v>1531</v>
      </c>
      <c r="J635" t="s">
        <v>1524</v>
      </c>
      <c r="K635" t="s">
        <v>1514</v>
      </c>
      <c r="L635" s="2">
        <v>2</v>
      </c>
      <c r="M635" s="10">
        <v>12775</v>
      </c>
      <c r="N635" s="7">
        <v>25550</v>
      </c>
    </row>
    <row r="636" spans="1:14" x14ac:dyDescent="0.3">
      <c r="A636">
        <v>1216</v>
      </c>
      <c r="B636" s="1">
        <v>45230</v>
      </c>
      <c r="C636">
        <v>2023</v>
      </c>
      <c r="D636">
        <v>10</v>
      </c>
      <c r="E636" t="str">
        <f t="shared" si="9"/>
        <v>Oktober</v>
      </c>
      <c r="F636">
        <v>4</v>
      </c>
      <c r="G636" t="s">
        <v>1523</v>
      </c>
      <c r="H636" t="s">
        <v>1512</v>
      </c>
      <c r="I636" t="s">
        <v>1531</v>
      </c>
      <c r="J636" t="s">
        <v>1524</v>
      </c>
      <c r="K636" t="s">
        <v>1514</v>
      </c>
      <c r="L636" s="2">
        <v>2</v>
      </c>
      <c r="M636" s="10">
        <v>12775</v>
      </c>
      <c r="N636" s="7">
        <v>25550</v>
      </c>
    </row>
    <row r="637" spans="1:14" x14ac:dyDescent="0.3">
      <c r="A637">
        <v>1216</v>
      </c>
      <c r="B637" s="1">
        <v>45203</v>
      </c>
      <c r="C637">
        <v>2023</v>
      </c>
      <c r="D637">
        <v>10</v>
      </c>
      <c r="E637" t="str">
        <f t="shared" si="9"/>
        <v>Oktober</v>
      </c>
      <c r="F637">
        <v>4</v>
      </c>
      <c r="G637" t="s">
        <v>1523</v>
      </c>
      <c r="H637" t="s">
        <v>1512</v>
      </c>
      <c r="I637" t="s">
        <v>1531</v>
      </c>
      <c r="J637" t="s">
        <v>1524</v>
      </c>
      <c r="K637" t="s">
        <v>1514</v>
      </c>
      <c r="L637" s="2">
        <v>2</v>
      </c>
      <c r="M637" s="10">
        <v>12775</v>
      </c>
      <c r="N637" s="7">
        <v>25550</v>
      </c>
    </row>
    <row r="638" spans="1:14" x14ac:dyDescent="0.3">
      <c r="A638">
        <v>1217</v>
      </c>
      <c r="B638" s="1">
        <v>44674</v>
      </c>
      <c r="C638">
        <v>2022</v>
      </c>
      <c r="D638">
        <v>4</v>
      </c>
      <c r="E638" t="str">
        <f t="shared" si="9"/>
        <v>April</v>
      </c>
      <c r="F638">
        <v>2</v>
      </c>
      <c r="G638" t="s">
        <v>1526</v>
      </c>
      <c r="H638" t="s">
        <v>1527</v>
      </c>
      <c r="I638" t="s">
        <v>1513</v>
      </c>
      <c r="J638" t="s">
        <v>1517</v>
      </c>
      <c r="K638" t="s">
        <v>1525</v>
      </c>
      <c r="L638" s="2">
        <v>2</v>
      </c>
      <c r="M638" s="10">
        <v>685</v>
      </c>
      <c r="N638" s="7">
        <v>1370</v>
      </c>
    </row>
    <row r="639" spans="1:14" x14ac:dyDescent="0.3">
      <c r="A639">
        <v>1217</v>
      </c>
      <c r="B639" s="1">
        <v>44950</v>
      </c>
      <c r="C639">
        <v>2023</v>
      </c>
      <c r="D639">
        <v>1</v>
      </c>
      <c r="E639" t="str">
        <f t="shared" si="9"/>
        <v>Januari</v>
      </c>
      <c r="F639">
        <v>1</v>
      </c>
      <c r="G639" t="s">
        <v>1526</v>
      </c>
      <c r="H639" t="s">
        <v>1527</v>
      </c>
      <c r="I639" t="s">
        <v>1513</v>
      </c>
      <c r="J639" t="s">
        <v>1517</v>
      </c>
      <c r="K639" t="s">
        <v>1525</v>
      </c>
      <c r="L639" s="2">
        <v>2</v>
      </c>
      <c r="M639" s="10">
        <v>685</v>
      </c>
      <c r="N639" s="7">
        <v>1370</v>
      </c>
    </row>
    <row r="640" spans="1:14" x14ac:dyDescent="0.3">
      <c r="A640">
        <v>1218</v>
      </c>
      <c r="B640" s="1">
        <v>45516</v>
      </c>
      <c r="C640">
        <v>2024</v>
      </c>
      <c r="D640">
        <v>8</v>
      </c>
      <c r="E640" t="str">
        <f t="shared" si="9"/>
        <v>Agustus</v>
      </c>
      <c r="F640">
        <v>3</v>
      </c>
      <c r="G640" t="s">
        <v>1529</v>
      </c>
      <c r="H640" t="s">
        <v>1530</v>
      </c>
      <c r="I640" t="s">
        <v>1535</v>
      </c>
      <c r="J640" t="s">
        <v>1517</v>
      </c>
      <c r="K640" t="s">
        <v>1525</v>
      </c>
      <c r="L640" s="2">
        <v>4</v>
      </c>
      <c r="M640" s="10">
        <v>1218</v>
      </c>
      <c r="N640" s="7">
        <v>4872</v>
      </c>
    </row>
    <row r="641" spans="1:14" x14ac:dyDescent="0.3">
      <c r="A641">
        <v>1218</v>
      </c>
      <c r="B641" s="1">
        <v>45039</v>
      </c>
      <c r="C641">
        <v>2023</v>
      </c>
      <c r="D641">
        <v>4</v>
      </c>
      <c r="E641" t="str">
        <f t="shared" si="9"/>
        <v>April</v>
      </c>
      <c r="F641">
        <v>2</v>
      </c>
      <c r="G641" t="s">
        <v>1529</v>
      </c>
      <c r="H641" t="s">
        <v>1530</v>
      </c>
      <c r="I641" t="s">
        <v>1535</v>
      </c>
      <c r="J641" t="s">
        <v>1517</v>
      </c>
      <c r="K641" t="s">
        <v>1525</v>
      </c>
      <c r="L641" s="2">
        <v>4</v>
      </c>
      <c r="M641" s="10">
        <v>1218</v>
      </c>
      <c r="N641" s="7">
        <v>4872</v>
      </c>
    </row>
    <row r="642" spans="1:14" x14ac:dyDescent="0.3">
      <c r="A642">
        <v>1218</v>
      </c>
      <c r="B642" s="1">
        <v>45239</v>
      </c>
      <c r="C642">
        <v>2023</v>
      </c>
      <c r="D642">
        <v>11</v>
      </c>
      <c r="E642" t="str">
        <f t="shared" si="9"/>
        <v>November</v>
      </c>
      <c r="F642">
        <v>4</v>
      </c>
      <c r="G642" t="s">
        <v>1529</v>
      </c>
      <c r="H642" t="s">
        <v>1530</v>
      </c>
      <c r="I642" t="s">
        <v>1535</v>
      </c>
      <c r="J642" t="s">
        <v>1517</v>
      </c>
      <c r="K642" t="s">
        <v>1525</v>
      </c>
      <c r="L642" s="2">
        <v>4</v>
      </c>
      <c r="M642" s="10">
        <v>1218</v>
      </c>
      <c r="N642" s="7">
        <v>4872</v>
      </c>
    </row>
    <row r="643" spans="1:14" x14ac:dyDescent="0.3">
      <c r="A643">
        <v>1218</v>
      </c>
      <c r="B643" s="1">
        <v>44898</v>
      </c>
      <c r="C643">
        <v>2022</v>
      </c>
      <c r="D643">
        <v>12</v>
      </c>
      <c r="E643" t="str">
        <f t="shared" ref="E643:E706" si="10">TEXT(DATE(2026, D643, 1), "[$-id-ID]mmmm")</f>
        <v>Desember</v>
      </c>
      <c r="F643">
        <v>4</v>
      </c>
      <c r="G643" t="s">
        <v>1529</v>
      </c>
      <c r="H643" t="s">
        <v>1530</v>
      </c>
      <c r="I643" t="s">
        <v>1535</v>
      </c>
      <c r="J643" t="s">
        <v>1517</v>
      </c>
      <c r="K643" t="s">
        <v>1525</v>
      </c>
      <c r="L643" s="2">
        <v>4</v>
      </c>
      <c r="M643" s="10">
        <v>1218</v>
      </c>
      <c r="N643" s="7">
        <v>4872</v>
      </c>
    </row>
    <row r="644" spans="1:14" x14ac:dyDescent="0.3">
      <c r="A644">
        <v>1219</v>
      </c>
      <c r="B644" s="1">
        <v>44721</v>
      </c>
      <c r="C644">
        <v>2022</v>
      </c>
      <c r="D644">
        <v>6</v>
      </c>
      <c r="E644" t="str">
        <f t="shared" si="10"/>
        <v>Juni</v>
      </c>
      <c r="F644">
        <v>2</v>
      </c>
      <c r="G644" t="s">
        <v>1532</v>
      </c>
      <c r="H644" t="s">
        <v>1512</v>
      </c>
      <c r="I644" t="s">
        <v>1521</v>
      </c>
      <c r="J644" t="s">
        <v>1566</v>
      </c>
      <c r="K644" t="s">
        <v>1514</v>
      </c>
      <c r="L644" s="2">
        <v>1</v>
      </c>
      <c r="M644" s="10">
        <v>4031</v>
      </c>
      <c r="N644" s="7">
        <v>4031</v>
      </c>
    </row>
    <row r="645" spans="1:14" x14ac:dyDescent="0.3">
      <c r="A645">
        <v>1219</v>
      </c>
      <c r="B645" s="1">
        <v>44807</v>
      </c>
      <c r="C645">
        <v>2022</v>
      </c>
      <c r="D645">
        <v>9</v>
      </c>
      <c r="E645" t="str">
        <f t="shared" si="10"/>
        <v>September</v>
      </c>
      <c r="F645">
        <v>3</v>
      </c>
      <c r="G645" t="s">
        <v>1532</v>
      </c>
      <c r="H645" t="s">
        <v>1512</v>
      </c>
      <c r="I645" t="s">
        <v>1521</v>
      </c>
      <c r="J645" t="s">
        <v>1566</v>
      </c>
      <c r="K645" t="s">
        <v>1514</v>
      </c>
      <c r="L645" s="2">
        <v>1</v>
      </c>
      <c r="M645" s="10">
        <v>4031</v>
      </c>
      <c r="N645" s="7">
        <v>4031</v>
      </c>
    </row>
    <row r="646" spans="1:14" x14ac:dyDescent="0.3">
      <c r="A646">
        <v>1219</v>
      </c>
      <c r="B646" s="1">
        <v>44962</v>
      </c>
      <c r="C646">
        <v>2023</v>
      </c>
      <c r="D646">
        <v>2</v>
      </c>
      <c r="E646" t="str">
        <f t="shared" si="10"/>
        <v>Februari</v>
      </c>
      <c r="F646">
        <v>1</v>
      </c>
      <c r="G646" t="s">
        <v>1532</v>
      </c>
      <c r="H646" t="s">
        <v>1512</v>
      </c>
      <c r="I646" t="s">
        <v>1521</v>
      </c>
      <c r="J646" t="s">
        <v>1566</v>
      </c>
      <c r="K646" t="s">
        <v>1514</v>
      </c>
      <c r="L646" s="2">
        <v>1</v>
      </c>
      <c r="M646" s="10">
        <v>4031</v>
      </c>
      <c r="N646" s="7">
        <v>4031</v>
      </c>
    </row>
    <row r="647" spans="1:14" x14ac:dyDescent="0.3">
      <c r="A647">
        <v>1220</v>
      </c>
      <c r="B647" s="1">
        <v>44866</v>
      </c>
      <c r="C647">
        <v>2022</v>
      </c>
      <c r="D647">
        <v>11</v>
      </c>
      <c r="E647" t="str">
        <f t="shared" si="10"/>
        <v>November</v>
      </c>
      <c r="F647">
        <v>4</v>
      </c>
      <c r="G647" t="s">
        <v>1533</v>
      </c>
      <c r="H647" t="s">
        <v>1520</v>
      </c>
      <c r="I647" t="s">
        <v>1531</v>
      </c>
      <c r="J647" t="s">
        <v>1566</v>
      </c>
      <c r="K647" t="s">
        <v>1514</v>
      </c>
      <c r="L647" s="2">
        <v>2</v>
      </c>
      <c r="M647" s="10">
        <v>140</v>
      </c>
      <c r="N647" s="7">
        <v>280</v>
      </c>
    </row>
    <row r="648" spans="1:14" x14ac:dyDescent="0.3">
      <c r="A648">
        <v>1220</v>
      </c>
      <c r="B648" s="1">
        <v>44692</v>
      </c>
      <c r="C648">
        <v>2022</v>
      </c>
      <c r="D648">
        <v>5</v>
      </c>
      <c r="E648" t="str">
        <f t="shared" si="10"/>
        <v>Mei</v>
      </c>
      <c r="F648">
        <v>2</v>
      </c>
      <c r="G648" t="s">
        <v>1533</v>
      </c>
      <c r="H648" t="s">
        <v>1520</v>
      </c>
      <c r="I648" t="s">
        <v>1531</v>
      </c>
      <c r="J648" t="s">
        <v>1566</v>
      </c>
      <c r="K648" t="s">
        <v>1514</v>
      </c>
      <c r="L648" s="2">
        <v>2</v>
      </c>
      <c r="M648" s="10">
        <v>140</v>
      </c>
      <c r="N648" s="7">
        <v>280</v>
      </c>
    </row>
    <row r="649" spans="1:14" x14ac:dyDescent="0.3">
      <c r="A649">
        <v>1221</v>
      </c>
      <c r="B649" s="1">
        <v>44608</v>
      </c>
      <c r="C649">
        <v>2022</v>
      </c>
      <c r="D649">
        <v>2</v>
      </c>
      <c r="E649" t="str">
        <f t="shared" si="10"/>
        <v>Februari</v>
      </c>
      <c r="F649">
        <v>1</v>
      </c>
      <c r="G649" t="s">
        <v>1511</v>
      </c>
      <c r="H649" t="s">
        <v>1512</v>
      </c>
      <c r="I649" t="s">
        <v>1528</v>
      </c>
      <c r="J649" t="s">
        <v>1524</v>
      </c>
      <c r="K649" t="s">
        <v>1525</v>
      </c>
      <c r="L649" s="2">
        <v>2</v>
      </c>
      <c r="M649" s="10">
        <v>54557</v>
      </c>
      <c r="N649" s="7">
        <v>109114</v>
      </c>
    </row>
    <row r="650" spans="1:14" x14ac:dyDescent="0.3">
      <c r="A650">
        <v>1221</v>
      </c>
      <c r="B650" s="1">
        <v>44638</v>
      </c>
      <c r="C650">
        <v>2022</v>
      </c>
      <c r="D650">
        <v>3</v>
      </c>
      <c r="E650" t="str">
        <f t="shared" si="10"/>
        <v>Maret</v>
      </c>
      <c r="F650">
        <v>1</v>
      </c>
      <c r="G650" t="s">
        <v>1511</v>
      </c>
      <c r="H650" t="s">
        <v>1512</v>
      </c>
      <c r="I650" t="s">
        <v>1528</v>
      </c>
      <c r="J650" t="s">
        <v>1524</v>
      </c>
      <c r="K650" t="s">
        <v>1525</v>
      </c>
      <c r="L650" s="2">
        <v>2</v>
      </c>
      <c r="M650" s="10">
        <v>54557</v>
      </c>
      <c r="N650" s="7">
        <v>109114</v>
      </c>
    </row>
    <row r="651" spans="1:14" x14ac:dyDescent="0.3">
      <c r="A651">
        <v>1222</v>
      </c>
      <c r="B651" s="1">
        <v>45047</v>
      </c>
      <c r="C651">
        <v>2023</v>
      </c>
      <c r="D651">
        <v>5</v>
      </c>
      <c r="E651" t="str">
        <f t="shared" si="10"/>
        <v>Mei</v>
      </c>
      <c r="F651">
        <v>2</v>
      </c>
      <c r="G651" t="s">
        <v>1515</v>
      </c>
      <c r="H651" t="s">
        <v>1512</v>
      </c>
      <c r="I651" t="s">
        <v>1531</v>
      </c>
      <c r="J651" t="s">
        <v>1566</v>
      </c>
      <c r="K651" t="s">
        <v>1514</v>
      </c>
      <c r="L651" s="2">
        <v>2</v>
      </c>
      <c r="M651" s="10">
        <v>1892</v>
      </c>
      <c r="N651" s="7">
        <v>3784</v>
      </c>
    </row>
    <row r="652" spans="1:14" x14ac:dyDescent="0.3">
      <c r="A652">
        <v>1222</v>
      </c>
      <c r="B652" s="1">
        <v>44618</v>
      </c>
      <c r="C652">
        <v>2022</v>
      </c>
      <c r="D652">
        <v>2</v>
      </c>
      <c r="E652" t="str">
        <f t="shared" si="10"/>
        <v>Februari</v>
      </c>
      <c r="F652">
        <v>1</v>
      </c>
      <c r="G652" t="s">
        <v>1515</v>
      </c>
      <c r="H652" t="s">
        <v>1512</v>
      </c>
      <c r="I652" t="s">
        <v>1531</v>
      </c>
      <c r="J652" t="s">
        <v>1566</v>
      </c>
      <c r="K652" t="s">
        <v>1514</v>
      </c>
      <c r="L652" s="2">
        <v>2</v>
      </c>
      <c r="M652" s="10">
        <v>1892</v>
      </c>
      <c r="N652" s="7">
        <v>3784</v>
      </c>
    </row>
    <row r="653" spans="1:14" x14ac:dyDescent="0.3">
      <c r="A653">
        <v>1223</v>
      </c>
      <c r="B653" s="1">
        <v>44569</v>
      </c>
      <c r="C653">
        <v>2022</v>
      </c>
      <c r="D653">
        <v>1</v>
      </c>
      <c r="E653" t="str">
        <f t="shared" si="10"/>
        <v>Januari</v>
      </c>
      <c r="F653">
        <v>1</v>
      </c>
      <c r="G653" t="s">
        <v>1534</v>
      </c>
      <c r="H653" t="s">
        <v>1530</v>
      </c>
      <c r="I653" t="s">
        <v>1516</v>
      </c>
      <c r="J653" t="s">
        <v>1566</v>
      </c>
      <c r="K653" t="s">
        <v>1525</v>
      </c>
      <c r="L653" s="2">
        <v>3</v>
      </c>
      <c r="M653" s="10">
        <v>3197</v>
      </c>
      <c r="N653" s="7">
        <v>9591</v>
      </c>
    </row>
    <row r="654" spans="1:14" x14ac:dyDescent="0.3">
      <c r="A654">
        <v>1223</v>
      </c>
      <c r="B654" s="1">
        <v>44987</v>
      </c>
      <c r="C654">
        <v>2023</v>
      </c>
      <c r="D654">
        <v>3</v>
      </c>
      <c r="E654" t="str">
        <f t="shared" si="10"/>
        <v>Maret</v>
      </c>
      <c r="F654">
        <v>1</v>
      </c>
      <c r="G654" t="s">
        <v>1534</v>
      </c>
      <c r="H654" t="s">
        <v>1530</v>
      </c>
      <c r="I654" t="s">
        <v>1516</v>
      </c>
      <c r="J654" t="s">
        <v>1566</v>
      </c>
      <c r="K654" t="s">
        <v>1525</v>
      </c>
      <c r="L654" s="2">
        <v>3</v>
      </c>
      <c r="M654" s="10">
        <v>3197</v>
      </c>
      <c r="N654" s="7">
        <v>9591</v>
      </c>
    </row>
    <row r="655" spans="1:14" x14ac:dyDescent="0.3">
      <c r="A655">
        <v>1223</v>
      </c>
      <c r="B655" s="1">
        <v>44687</v>
      </c>
      <c r="C655">
        <v>2022</v>
      </c>
      <c r="D655">
        <v>5</v>
      </c>
      <c r="E655" t="str">
        <f t="shared" si="10"/>
        <v>Mei</v>
      </c>
      <c r="F655">
        <v>2</v>
      </c>
      <c r="G655" t="s">
        <v>1534</v>
      </c>
      <c r="H655" t="s">
        <v>1530</v>
      </c>
      <c r="I655" t="s">
        <v>1516</v>
      </c>
      <c r="J655" t="s">
        <v>1566</v>
      </c>
      <c r="K655" t="s">
        <v>1525</v>
      </c>
      <c r="L655" s="2">
        <v>3</v>
      </c>
      <c r="M655" s="10">
        <v>3197</v>
      </c>
      <c r="N655" s="7">
        <v>9591</v>
      </c>
    </row>
    <row r="656" spans="1:14" x14ac:dyDescent="0.3">
      <c r="A656">
        <v>1223</v>
      </c>
      <c r="B656" s="1">
        <v>44927</v>
      </c>
      <c r="C656">
        <v>2023</v>
      </c>
      <c r="D656">
        <v>1</v>
      </c>
      <c r="E656" t="str">
        <f t="shared" si="10"/>
        <v>Januari</v>
      </c>
      <c r="F656">
        <v>1</v>
      </c>
      <c r="G656" t="s">
        <v>1534</v>
      </c>
      <c r="H656" t="s">
        <v>1530</v>
      </c>
      <c r="I656" t="s">
        <v>1516</v>
      </c>
      <c r="J656" t="s">
        <v>1566</v>
      </c>
      <c r="K656" t="s">
        <v>1525</v>
      </c>
      <c r="L656" s="2">
        <v>3</v>
      </c>
      <c r="M656" s="10">
        <v>3197</v>
      </c>
      <c r="N656" s="7">
        <v>9591</v>
      </c>
    </row>
    <row r="657" spans="1:14" x14ac:dyDescent="0.3">
      <c r="A657">
        <v>1224</v>
      </c>
      <c r="B657" s="1">
        <v>45158</v>
      </c>
      <c r="C657">
        <v>2023</v>
      </c>
      <c r="D657">
        <v>8</v>
      </c>
      <c r="E657" t="str">
        <f t="shared" si="10"/>
        <v>Agustus</v>
      </c>
      <c r="F657">
        <v>3</v>
      </c>
      <c r="G657" t="s">
        <v>1519</v>
      </c>
      <c r="H657" t="s">
        <v>1520</v>
      </c>
      <c r="I657" t="s">
        <v>1516</v>
      </c>
      <c r="J657" t="s">
        <v>1524</v>
      </c>
      <c r="K657" t="s">
        <v>1525</v>
      </c>
      <c r="L657" s="2">
        <v>5</v>
      </c>
      <c r="M657" s="10">
        <v>10225</v>
      </c>
      <c r="N657" s="7">
        <v>51125</v>
      </c>
    </row>
    <row r="658" spans="1:14" x14ac:dyDescent="0.3">
      <c r="A658">
        <v>1224</v>
      </c>
      <c r="B658" s="1">
        <v>44867</v>
      </c>
      <c r="C658">
        <v>2022</v>
      </c>
      <c r="D658">
        <v>11</v>
      </c>
      <c r="E658" t="str">
        <f t="shared" si="10"/>
        <v>November</v>
      </c>
      <c r="F658">
        <v>4</v>
      </c>
      <c r="G658" t="s">
        <v>1519</v>
      </c>
      <c r="H658" t="s">
        <v>1520</v>
      </c>
      <c r="I658" t="s">
        <v>1516</v>
      </c>
      <c r="J658" t="s">
        <v>1524</v>
      </c>
      <c r="K658" t="s">
        <v>1525</v>
      </c>
      <c r="L658" s="2">
        <v>5</v>
      </c>
      <c r="M658" s="10">
        <v>10225</v>
      </c>
      <c r="N658" s="7">
        <v>51125</v>
      </c>
    </row>
    <row r="659" spans="1:14" x14ac:dyDescent="0.3">
      <c r="A659">
        <v>1224</v>
      </c>
      <c r="B659" s="1">
        <v>45648</v>
      </c>
      <c r="C659">
        <v>2024</v>
      </c>
      <c r="D659">
        <v>12</v>
      </c>
      <c r="E659" t="str">
        <f t="shared" si="10"/>
        <v>Desember</v>
      </c>
      <c r="F659">
        <v>4</v>
      </c>
      <c r="G659" t="s">
        <v>1519</v>
      </c>
      <c r="H659" t="s">
        <v>1520</v>
      </c>
      <c r="I659" t="s">
        <v>1516</v>
      </c>
      <c r="J659" t="s">
        <v>1524</v>
      </c>
      <c r="K659" t="s">
        <v>1525</v>
      </c>
      <c r="L659" s="2">
        <v>5</v>
      </c>
      <c r="M659" s="10">
        <v>10225</v>
      </c>
      <c r="N659" s="7">
        <v>51125</v>
      </c>
    </row>
    <row r="660" spans="1:14" x14ac:dyDescent="0.3">
      <c r="A660">
        <v>1224</v>
      </c>
      <c r="B660" s="1">
        <v>45268</v>
      </c>
      <c r="C660">
        <v>2023</v>
      </c>
      <c r="D660">
        <v>12</v>
      </c>
      <c r="E660" t="str">
        <f t="shared" si="10"/>
        <v>Desember</v>
      </c>
      <c r="F660">
        <v>4</v>
      </c>
      <c r="G660" t="s">
        <v>1519</v>
      </c>
      <c r="H660" t="s">
        <v>1520</v>
      </c>
      <c r="I660" t="s">
        <v>1516</v>
      </c>
      <c r="J660" t="s">
        <v>1524</v>
      </c>
      <c r="K660" t="s">
        <v>1525</v>
      </c>
      <c r="L660" s="2">
        <v>5</v>
      </c>
      <c r="M660" s="10">
        <v>10225</v>
      </c>
      <c r="N660" s="7">
        <v>51125</v>
      </c>
    </row>
    <row r="661" spans="1:14" x14ac:dyDescent="0.3">
      <c r="A661">
        <v>1224</v>
      </c>
      <c r="B661" s="1">
        <v>44869</v>
      </c>
      <c r="C661">
        <v>2022</v>
      </c>
      <c r="D661">
        <v>11</v>
      </c>
      <c r="E661" t="str">
        <f t="shared" si="10"/>
        <v>November</v>
      </c>
      <c r="F661">
        <v>4</v>
      </c>
      <c r="G661" t="s">
        <v>1519</v>
      </c>
      <c r="H661" t="s">
        <v>1520</v>
      </c>
      <c r="I661" t="s">
        <v>1516</v>
      </c>
      <c r="J661" t="s">
        <v>1524</v>
      </c>
      <c r="K661" t="s">
        <v>1525</v>
      </c>
      <c r="L661" s="2">
        <v>5</v>
      </c>
      <c r="M661" s="10">
        <v>10225</v>
      </c>
      <c r="N661" s="7">
        <v>51125</v>
      </c>
    </row>
    <row r="662" spans="1:14" x14ac:dyDescent="0.3">
      <c r="A662">
        <v>1224</v>
      </c>
      <c r="B662" s="1">
        <v>44649</v>
      </c>
      <c r="C662">
        <v>2022</v>
      </c>
      <c r="D662">
        <v>3</v>
      </c>
      <c r="E662" t="str">
        <f t="shared" si="10"/>
        <v>Maret</v>
      </c>
      <c r="F662">
        <v>1</v>
      </c>
      <c r="G662" t="s">
        <v>1519</v>
      </c>
      <c r="H662" t="s">
        <v>1520</v>
      </c>
      <c r="I662" t="s">
        <v>1516</v>
      </c>
      <c r="J662" t="s">
        <v>1524</v>
      </c>
      <c r="K662" t="s">
        <v>1525</v>
      </c>
      <c r="L662" s="2">
        <v>5</v>
      </c>
      <c r="M662" s="10">
        <v>10225</v>
      </c>
      <c r="N662" s="7">
        <v>51125</v>
      </c>
    </row>
    <row r="663" spans="1:14" x14ac:dyDescent="0.3">
      <c r="A663">
        <v>1224</v>
      </c>
      <c r="B663" s="1">
        <v>44980</v>
      </c>
      <c r="C663">
        <v>2023</v>
      </c>
      <c r="D663">
        <v>2</v>
      </c>
      <c r="E663" t="str">
        <f t="shared" si="10"/>
        <v>Februari</v>
      </c>
      <c r="F663">
        <v>1</v>
      </c>
      <c r="G663" t="s">
        <v>1519</v>
      </c>
      <c r="H663" t="s">
        <v>1520</v>
      </c>
      <c r="I663" t="s">
        <v>1516</v>
      </c>
      <c r="J663" t="s">
        <v>1524</v>
      </c>
      <c r="K663" t="s">
        <v>1525</v>
      </c>
      <c r="L663" s="2">
        <v>5</v>
      </c>
      <c r="M663" s="10">
        <v>10225</v>
      </c>
      <c r="N663" s="7">
        <v>51125</v>
      </c>
    </row>
    <row r="664" spans="1:14" x14ac:dyDescent="0.3">
      <c r="A664">
        <v>1225</v>
      </c>
      <c r="B664" s="1">
        <v>45111</v>
      </c>
      <c r="C664">
        <v>2023</v>
      </c>
      <c r="D664">
        <v>7</v>
      </c>
      <c r="E664" t="str">
        <f t="shared" si="10"/>
        <v>Juli</v>
      </c>
      <c r="F664">
        <v>3</v>
      </c>
      <c r="G664" t="s">
        <v>1522</v>
      </c>
      <c r="H664" t="s">
        <v>1520</v>
      </c>
      <c r="I664" t="s">
        <v>1535</v>
      </c>
      <c r="J664" t="s">
        <v>1517</v>
      </c>
      <c r="K664" t="s">
        <v>1518</v>
      </c>
      <c r="L664" s="2">
        <v>2</v>
      </c>
      <c r="M664" s="10">
        <v>899</v>
      </c>
      <c r="N664" s="7">
        <v>1798</v>
      </c>
    </row>
    <row r="665" spans="1:14" x14ac:dyDescent="0.3">
      <c r="A665">
        <v>1225</v>
      </c>
      <c r="B665" s="1">
        <v>45108</v>
      </c>
      <c r="C665">
        <v>2023</v>
      </c>
      <c r="D665">
        <v>7</v>
      </c>
      <c r="E665" t="str">
        <f t="shared" si="10"/>
        <v>Juli</v>
      </c>
      <c r="F665">
        <v>3</v>
      </c>
      <c r="G665" t="s">
        <v>1522</v>
      </c>
      <c r="H665" t="s">
        <v>1520</v>
      </c>
      <c r="I665" t="s">
        <v>1535</v>
      </c>
      <c r="J665" t="s">
        <v>1517</v>
      </c>
      <c r="K665" t="s">
        <v>1518</v>
      </c>
      <c r="L665" s="2">
        <v>2</v>
      </c>
      <c r="M665" s="10">
        <v>899</v>
      </c>
      <c r="N665" s="7">
        <v>1798</v>
      </c>
    </row>
    <row r="666" spans="1:14" x14ac:dyDescent="0.3">
      <c r="A666">
        <v>1225</v>
      </c>
      <c r="B666" s="1">
        <v>45414</v>
      </c>
      <c r="C666">
        <v>2024</v>
      </c>
      <c r="D666">
        <v>5</v>
      </c>
      <c r="E666" t="str">
        <f t="shared" si="10"/>
        <v>Mei</v>
      </c>
      <c r="F666">
        <v>2</v>
      </c>
      <c r="G666" t="s">
        <v>1522</v>
      </c>
      <c r="H666" t="s">
        <v>1520</v>
      </c>
      <c r="I666" t="s">
        <v>1535</v>
      </c>
      <c r="J666" t="s">
        <v>1517</v>
      </c>
      <c r="K666" t="s">
        <v>1518</v>
      </c>
      <c r="L666" s="2">
        <v>2</v>
      </c>
      <c r="M666" s="10">
        <v>899</v>
      </c>
      <c r="N666" s="7">
        <v>1798</v>
      </c>
    </row>
    <row r="667" spans="1:14" x14ac:dyDescent="0.3">
      <c r="A667">
        <v>1227</v>
      </c>
      <c r="B667" s="1">
        <v>44686</v>
      </c>
      <c r="C667">
        <v>2022</v>
      </c>
      <c r="D667">
        <v>5</v>
      </c>
      <c r="E667" t="str">
        <f t="shared" si="10"/>
        <v>Mei</v>
      </c>
      <c r="F667">
        <v>2</v>
      </c>
      <c r="G667" t="s">
        <v>1526</v>
      </c>
      <c r="H667" t="s">
        <v>1527</v>
      </c>
      <c r="I667" t="s">
        <v>1531</v>
      </c>
      <c r="J667" t="s">
        <v>1524</v>
      </c>
      <c r="K667" t="s">
        <v>1525</v>
      </c>
      <c r="L667" s="2">
        <v>3</v>
      </c>
      <c r="M667" s="10">
        <v>736</v>
      </c>
      <c r="N667" s="7">
        <v>2208</v>
      </c>
    </row>
    <row r="668" spans="1:14" x14ac:dyDescent="0.3">
      <c r="A668">
        <v>1227</v>
      </c>
      <c r="B668" s="1">
        <v>45214</v>
      </c>
      <c r="C668">
        <v>2023</v>
      </c>
      <c r="D668">
        <v>10</v>
      </c>
      <c r="E668" t="str">
        <f t="shared" si="10"/>
        <v>Oktober</v>
      </c>
      <c r="F668">
        <v>4</v>
      </c>
      <c r="G668" t="s">
        <v>1526</v>
      </c>
      <c r="H668" t="s">
        <v>1527</v>
      </c>
      <c r="I668" t="s">
        <v>1531</v>
      </c>
      <c r="J668" t="s">
        <v>1524</v>
      </c>
      <c r="K668" t="s">
        <v>1525</v>
      </c>
      <c r="L668" s="2">
        <v>3</v>
      </c>
      <c r="M668" s="10">
        <v>736</v>
      </c>
      <c r="N668" s="7">
        <v>2208</v>
      </c>
    </row>
    <row r="669" spans="1:14" x14ac:dyDescent="0.3">
      <c r="A669">
        <v>1227</v>
      </c>
      <c r="B669" s="1">
        <v>44829</v>
      </c>
      <c r="C669">
        <v>2022</v>
      </c>
      <c r="D669">
        <v>9</v>
      </c>
      <c r="E669" t="str">
        <f t="shared" si="10"/>
        <v>September</v>
      </c>
      <c r="F669">
        <v>3</v>
      </c>
      <c r="G669" t="s">
        <v>1526</v>
      </c>
      <c r="H669" t="s">
        <v>1527</v>
      </c>
      <c r="I669" t="s">
        <v>1531</v>
      </c>
      <c r="J669" t="s">
        <v>1524</v>
      </c>
      <c r="K669" t="s">
        <v>1525</v>
      </c>
      <c r="L669" s="2">
        <v>3</v>
      </c>
      <c r="M669" s="10">
        <v>736</v>
      </c>
      <c r="N669" s="7">
        <v>2208</v>
      </c>
    </row>
    <row r="670" spans="1:14" x14ac:dyDescent="0.3">
      <c r="A670">
        <v>1228</v>
      </c>
      <c r="B670" s="1">
        <v>45243</v>
      </c>
      <c r="C670">
        <v>2023</v>
      </c>
      <c r="D670">
        <v>11</v>
      </c>
      <c r="E670" t="str">
        <f t="shared" si="10"/>
        <v>November</v>
      </c>
      <c r="F670">
        <v>4</v>
      </c>
      <c r="G670" t="s">
        <v>1529</v>
      </c>
      <c r="H670" t="s">
        <v>1530</v>
      </c>
      <c r="I670" t="s">
        <v>1516</v>
      </c>
      <c r="J670" t="s">
        <v>1566</v>
      </c>
      <c r="K670" t="s">
        <v>1525</v>
      </c>
      <c r="L670" s="2">
        <v>4</v>
      </c>
      <c r="M670" s="10">
        <v>1504</v>
      </c>
      <c r="N670" s="7">
        <v>6016</v>
      </c>
    </row>
    <row r="671" spans="1:14" x14ac:dyDescent="0.3">
      <c r="A671">
        <v>1228</v>
      </c>
      <c r="B671" s="1">
        <v>45487</v>
      </c>
      <c r="C671">
        <v>2024</v>
      </c>
      <c r="D671">
        <v>7</v>
      </c>
      <c r="E671" t="str">
        <f t="shared" si="10"/>
        <v>Juli</v>
      </c>
      <c r="F671">
        <v>3</v>
      </c>
      <c r="G671" t="s">
        <v>1529</v>
      </c>
      <c r="H671" t="s">
        <v>1530</v>
      </c>
      <c r="I671" t="s">
        <v>1516</v>
      </c>
      <c r="J671" t="s">
        <v>1566</v>
      </c>
      <c r="K671" t="s">
        <v>1525</v>
      </c>
      <c r="L671" s="2">
        <v>4</v>
      </c>
      <c r="M671" s="10">
        <v>1504</v>
      </c>
      <c r="N671" s="7">
        <v>6016</v>
      </c>
    </row>
    <row r="672" spans="1:14" x14ac:dyDescent="0.3">
      <c r="A672">
        <v>1229</v>
      </c>
      <c r="B672" s="1">
        <v>45039</v>
      </c>
      <c r="C672">
        <v>2023</v>
      </c>
      <c r="D672">
        <v>4</v>
      </c>
      <c r="E672" t="str">
        <f t="shared" si="10"/>
        <v>April</v>
      </c>
      <c r="F672">
        <v>2</v>
      </c>
      <c r="G672" t="s">
        <v>1532</v>
      </c>
      <c r="H672" t="s">
        <v>1512</v>
      </c>
      <c r="I672" t="s">
        <v>1521</v>
      </c>
      <c r="J672" t="s">
        <v>1566</v>
      </c>
      <c r="K672" t="s">
        <v>1514</v>
      </c>
      <c r="L672" s="2">
        <v>2</v>
      </c>
      <c r="M672" s="10">
        <v>7086</v>
      </c>
      <c r="N672" s="7">
        <v>14172</v>
      </c>
    </row>
    <row r="673" spans="1:14" x14ac:dyDescent="0.3">
      <c r="A673">
        <v>1229</v>
      </c>
      <c r="B673" s="1">
        <v>44590</v>
      </c>
      <c r="C673">
        <v>2022</v>
      </c>
      <c r="D673">
        <v>1</v>
      </c>
      <c r="E673" t="str">
        <f t="shared" si="10"/>
        <v>Januari</v>
      </c>
      <c r="F673">
        <v>1</v>
      </c>
      <c r="G673" t="s">
        <v>1532</v>
      </c>
      <c r="H673" t="s">
        <v>1512</v>
      </c>
      <c r="I673" t="s">
        <v>1521</v>
      </c>
      <c r="J673" t="s">
        <v>1566</v>
      </c>
      <c r="K673" t="s">
        <v>1514</v>
      </c>
      <c r="L673" s="2">
        <v>2</v>
      </c>
      <c r="M673" s="10">
        <v>7086</v>
      </c>
      <c r="N673" s="7">
        <v>14172</v>
      </c>
    </row>
    <row r="674" spans="1:14" x14ac:dyDescent="0.3">
      <c r="A674">
        <v>1230</v>
      </c>
      <c r="B674" s="1">
        <v>45260</v>
      </c>
      <c r="C674">
        <v>2023</v>
      </c>
      <c r="D674">
        <v>11</v>
      </c>
      <c r="E674" t="str">
        <f t="shared" si="10"/>
        <v>November</v>
      </c>
      <c r="F674">
        <v>4</v>
      </c>
      <c r="G674" t="s">
        <v>1533</v>
      </c>
      <c r="H674" t="s">
        <v>1520</v>
      </c>
      <c r="I674" t="s">
        <v>1528</v>
      </c>
      <c r="J674" t="s">
        <v>1524</v>
      </c>
      <c r="K674" t="s">
        <v>1518</v>
      </c>
      <c r="L674" s="2">
        <v>1</v>
      </c>
      <c r="M674" s="10">
        <v>783</v>
      </c>
      <c r="N674" s="7">
        <v>783</v>
      </c>
    </row>
    <row r="675" spans="1:14" x14ac:dyDescent="0.3">
      <c r="A675">
        <v>1230</v>
      </c>
      <c r="B675" s="1">
        <v>45014</v>
      </c>
      <c r="C675">
        <v>2023</v>
      </c>
      <c r="D675">
        <v>3</v>
      </c>
      <c r="E675" t="str">
        <f t="shared" si="10"/>
        <v>Maret</v>
      </c>
      <c r="F675">
        <v>1</v>
      </c>
      <c r="G675" t="s">
        <v>1533</v>
      </c>
      <c r="H675" t="s">
        <v>1520</v>
      </c>
      <c r="I675" t="s">
        <v>1528</v>
      </c>
      <c r="J675" t="s">
        <v>1524</v>
      </c>
      <c r="K675" t="s">
        <v>1518</v>
      </c>
      <c r="L675" s="2">
        <v>1</v>
      </c>
      <c r="M675" s="10">
        <v>783</v>
      </c>
      <c r="N675" s="7">
        <v>783</v>
      </c>
    </row>
    <row r="676" spans="1:14" x14ac:dyDescent="0.3">
      <c r="A676">
        <v>1230</v>
      </c>
      <c r="B676" s="1">
        <v>44614</v>
      </c>
      <c r="C676">
        <v>2022</v>
      </c>
      <c r="D676">
        <v>2</v>
      </c>
      <c r="E676" t="str">
        <f t="shared" si="10"/>
        <v>Februari</v>
      </c>
      <c r="F676">
        <v>1</v>
      </c>
      <c r="G676" t="s">
        <v>1533</v>
      </c>
      <c r="H676" t="s">
        <v>1520</v>
      </c>
      <c r="I676" t="s">
        <v>1528</v>
      </c>
      <c r="J676" t="s">
        <v>1524</v>
      </c>
      <c r="K676" t="s">
        <v>1518</v>
      </c>
      <c r="L676" s="2">
        <v>1</v>
      </c>
      <c r="M676" s="10">
        <v>783</v>
      </c>
      <c r="N676" s="7">
        <v>783</v>
      </c>
    </row>
    <row r="677" spans="1:14" x14ac:dyDescent="0.3">
      <c r="A677">
        <v>1230</v>
      </c>
      <c r="B677" s="1">
        <v>45266</v>
      </c>
      <c r="C677">
        <v>2023</v>
      </c>
      <c r="D677">
        <v>12</v>
      </c>
      <c r="E677" t="str">
        <f t="shared" si="10"/>
        <v>Desember</v>
      </c>
      <c r="F677">
        <v>4</v>
      </c>
      <c r="G677" t="s">
        <v>1533</v>
      </c>
      <c r="H677" t="s">
        <v>1520</v>
      </c>
      <c r="I677" t="s">
        <v>1528</v>
      </c>
      <c r="J677" t="s">
        <v>1524</v>
      </c>
      <c r="K677" t="s">
        <v>1518</v>
      </c>
      <c r="L677" s="2">
        <v>1</v>
      </c>
      <c r="M677" s="10">
        <v>783</v>
      </c>
      <c r="N677" s="7">
        <v>783</v>
      </c>
    </row>
    <row r="678" spans="1:14" x14ac:dyDescent="0.3">
      <c r="A678">
        <v>1230</v>
      </c>
      <c r="B678" s="1">
        <v>45066</v>
      </c>
      <c r="C678">
        <v>2023</v>
      </c>
      <c r="D678">
        <v>5</v>
      </c>
      <c r="E678" t="str">
        <f t="shared" si="10"/>
        <v>Mei</v>
      </c>
      <c r="F678">
        <v>2</v>
      </c>
      <c r="G678" t="s">
        <v>1533</v>
      </c>
      <c r="H678" t="s">
        <v>1520</v>
      </c>
      <c r="I678" t="s">
        <v>1528</v>
      </c>
      <c r="J678" t="s">
        <v>1524</v>
      </c>
      <c r="K678" t="s">
        <v>1518</v>
      </c>
      <c r="L678" s="2">
        <v>1</v>
      </c>
      <c r="M678" s="10">
        <v>783</v>
      </c>
      <c r="N678" s="7">
        <v>783</v>
      </c>
    </row>
    <row r="679" spans="1:14" x14ac:dyDescent="0.3">
      <c r="A679">
        <v>1230</v>
      </c>
      <c r="B679" s="1">
        <v>45525</v>
      </c>
      <c r="C679">
        <v>2024</v>
      </c>
      <c r="D679">
        <v>8</v>
      </c>
      <c r="E679" t="str">
        <f t="shared" si="10"/>
        <v>Agustus</v>
      </c>
      <c r="F679">
        <v>3</v>
      </c>
      <c r="G679" t="s">
        <v>1533</v>
      </c>
      <c r="H679" t="s">
        <v>1520</v>
      </c>
      <c r="I679" t="s">
        <v>1528</v>
      </c>
      <c r="J679" t="s">
        <v>1524</v>
      </c>
      <c r="K679" t="s">
        <v>1518</v>
      </c>
      <c r="L679" s="2">
        <v>1</v>
      </c>
      <c r="M679" s="10">
        <v>783</v>
      </c>
      <c r="N679" s="7">
        <v>783</v>
      </c>
    </row>
    <row r="680" spans="1:14" x14ac:dyDescent="0.3">
      <c r="A680">
        <v>1230</v>
      </c>
      <c r="B680" s="1">
        <v>45049</v>
      </c>
      <c r="C680">
        <v>2023</v>
      </c>
      <c r="D680">
        <v>5</v>
      </c>
      <c r="E680" t="str">
        <f t="shared" si="10"/>
        <v>Mei</v>
      </c>
      <c r="F680">
        <v>2</v>
      </c>
      <c r="G680" t="s">
        <v>1533</v>
      </c>
      <c r="H680" t="s">
        <v>1520</v>
      </c>
      <c r="I680" t="s">
        <v>1528</v>
      </c>
      <c r="J680" t="s">
        <v>1524</v>
      </c>
      <c r="K680" t="s">
        <v>1518</v>
      </c>
      <c r="L680" s="2">
        <v>1</v>
      </c>
      <c r="M680" s="10">
        <v>783</v>
      </c>
      <c r="N680" s="7">
        <v>783</v>
      </c>
    </row>
    <row r="681" spans="1:14" x14ac:dyDescent="0.3">
      <c r="A681">
        <v>1230</v>
      </c>
      <c r="B681" s="1">
        <v>45281</v>
      </c>
      <c r="C681">
        <v>2023</v>
      </c>
      <c r="D681">
        <v>12</v>
      </c>
      <c r="E681" t="str">
        <f t="shared" si="10"/>
        <v>Desember</v>
      </c>
      <c r="F681">
        <v>4</v>
      </c>
      <c r="G681" t="s">
        <v>1533</v>
      </c>
      <c r="H681" t="s">
        <v>1520</v>
      </c>
      <c r="I681" t="s">
        <v>1528</v>
      </c>
      <c r="J681" t="s">
        <v>1524</v>
      </c>
      <c r="K681" t="s">
        <v>1518</v>
      </c>
      <c r="L681" s="2">
        <v>1</v>
      </c>
      <c r="M681" s="10">
        <v>783</v>
      </c>
      <c r="N681" s="7">
        <v>783</v>
      </c>
    </row>
    <row r="682" spans="1:14" x14ac:dyDescent="0.3">
      <c r="A682">
        <v>1230</v>
      </c>
      <c r="B682" s="1">
        <v>44913</v>
      </c>
      <c r="C682">
        <v>2022</v>
      </c>
      <c r="D682">
        <v>12</v>
      </c>
      <c r="E682" t="str">
        <f t="shared" si="10"/>
        <v>Desember</v>
      </c>
      <c r="F682">
        <v>4</v>
      </c>
      <c r="G682" t="s">
        <v>1533</v>
      </c>
      <c r="H682" t="s">
        <v>1520</v>
      </c>
      <c r="I682" t="s">
        <v>1528</v>
      </c>
      <c r="J682" t="s">
        <v>1524</v>
      </c>
      <c r="K682" t="s">
        <v>1518</v>
      </c>
      <c r="L682" s="2">
        <v>1</v>
      </c>
      <c r="M682" s="10">
        <v>783</v>
      </c>
      <c r="N682" s="7">
        <v>783</v>
      </c>
    </row>
    <row r="683" spans="1:14" x14ac:dyDescent="0.3">
      <c r="A683">
        <v>1231</v>
      </c>
      <c r="B683" s="1">
        <v>45096</v>
      </c>
      <c r="C683">
        <v>2023</v>
      </c>
      <c r="D683">
        <v>6</v>
      </c>
      <c r="E683" t="str">
        <f t="shared" si="10"/>
        <v>Juni</v>
      </c>
      <c r="F683">
        <v>2</v>
      </c>
      <c r="G683" t="s">
        <v>1511</v>
      </c>
      <c r="H683" t="s">
        <v>1512</v>
      </c>
      <c r="I683" t="s">
        <v>1521</v>
      </c>
      <c r="J683" t="s">
        <v>1517</v>
      </c>
      <c r="K683" t="s">
        <v>1525</v>
      </c>
      <c r="L683" s="2">
        <v>1</v>
      </c>
      <c r="M683" s="10">
        <v>67161</v>
      </c>
      <c r="N683" s="7">
        <v>67161</v>
      </c>
    </row>
    <row r="684" spans="1:14" x14ac:dyDescent="0.3">
      <c r="A684">
        <v>1231</v>
      </c>
      <c r="B684" s="1">
        <v>44580</v>
      </c>
      <c r="C684">
        <v>2022</v>
      </c>
      <c r="D684">
        <v>1</v>
      </c>
      <c r="E684" t="str">
        <f t="shared" si="10"/>
        <v>Januari</v>
      </c>
      <c r="F684">
        <v>1</v>
      </c>
      <c r="G684" t="s">
        <v>1511</v>
      </c>
      <c r="H684" t="s">
        <v>1512</v>
      </c>
      <c r="I684" t="s">
        <v>1521</v>
      </c>
      <c r="J684" t="s">
        <v>1517</v>
      </c>
      <c r="K684" t="s">
        <v>1525</v>
      </c>
      <c r="L684" s="2">
        <v>1</v>
      </c>
      <c r="M684" s="10">
        <v>67161</v>
      </c>
      <c r="N684" s="7">
        <v>67161</v>
      </c>
    </row>
    <row r="685" spans="1:14" x14ac:dyDescent="0.3">
      <c r="A685">
        <v>1231</v>
      </c>
      <c r="B685" s="1">
        <v>45263</v>
      </c>
      <c r="C685">
        <v>2023</v>
      </c>
      <c r="D685">
        <v>12</v>
      </c>
      <c r="E685" t="str">
        <f t="shared" si="10"/>
        <v>Desember</v>
      </c>
      <c r="F685">
        <v>4</v>
      </c>
      <c r="G685" t="s">
        <v>1511</v>
      </c>
      <c r="H685" t="s">
        <v>1512</v>
      </c>
      <c r="I685" t="s">
        <v>1521</v>
      </c>
      <c r="J685" t="s">
        <v>1517</v>
      </c>
      <c r="K685" t="s">
        <v>1525</v>
      </c>
      <c r="L685" s="2">
        <v>1</v>
      </c>
      <c r="M685" s="10">
        <v>67161</v>
      </c>
      <c r="N685" s="7">
        <v>67161</v>
      </c>
    </row>
    <row r="686" spans="1:14" x14ac:dyDescent="0.3">
      <c r="A686">
        <v>1231</v>
      </c>
      <c r="B686" s="1">
        <v>45107</v>
      </c>
      <c r="C686">
        <v>2023</v>
      </c>
      <c r="D686">
        <v>6</v>
      </c>
      <c r="E686" t="str">
        <f t="shared" si="10"/>
        <v>Juni</v>
      </c>
      <c r="F686">
        <v>2</v>
      </c>
      <c r="G686" t="s">
        <v>1511</v>
      </c>
      <c r="H686" t="s">
        <v>1512</v>
      </c>
      <c r="I686" t="s">
        <v>1521</v>
      </c>
      <c r="J686" t="s">
        <v>1517</v>
      </c>
      <c r="K686" t="s">
        <v>1525</v>
      </c>
      <c r="L686" s="2">
        <v>1</v>
      </c>
      <c r="M686" s="10">
        <v>67161</v>
      </c>
      <c r="N686" s="7">
        <v>67161</v>
      </c>
    </row>
    <row r="687" spans="1:14" x14ac:dyDescent="0.3">
      <c r="A687">
        <v>1231</v>
      </c>
      <c r="B687" s="1">
        <v>45204</v>
      </c>
      <c r="C687">
        <v>2023</v>
      </c>
      <c r="D687">
        <v>10</v>
      </c>
      <c r="E687" t="str">
        <f t="shared" si="10"/>
        <v>Oktober</v>
      </c>
      <c r="F687">
        <v>4</v>
      </c>
      <c r="G687" t="s">
        <v>1511</v>
      </c>
      <c r="H687" t="s">
        <v>1512</v>
      </c>
      <c r="I687" t="s">
        <v>1521</v>
      </c>
      <c r="J687" t="s">
        <v>1517</v>
      </c>
      <c r="K687" t="s">
        <v>1525</v>
      </c>
      <c r="L687" s="2">
        <v>1</v>
      </c>
      <c r="M687" s="10">
        <v>67161</v>
      </c>
      <c r="N687" s="7">
        <v>67161</v>
      </c>
    </row>
    <row r="688" spans="1:14" x14ac:dyDescent="0.3">
      <c r="A688">
        <v>1232</v>
      </c>
      <c r="B688" s="1">
        <v>44971</v>
      </c>
      <c r="C688">
        <v>2023</v>
      </c>
      <c r="D688">
        <v>2</v>
      </c>
      <c r="E688" t="str">
        <f t="shared" si="10"/>
        <v>Februari</v>
      </c>
      <c r="F688">
        <v>1</v>
      </c>
      <c r="G688" t="s">
        <v>1515</v>
      </c>
      <c r="H688" t="s">
        <v>1512</v>
      </c>
      <c r="I688" t="s">
        <v>1513</v>
      </c>
      <c r="J688" t="s">
        <v>1517</v>
      </c>
      <c r="K688" t="s">
        <v>1518</v>
      </c>
      <c r="L688" s="2">
        <v>3</v>
      </c>
      <c r="M688" s="10">
        <v>2774</v>
      </c>
      <c r="N688" s="7">
        <v>8322</v>
      </c>
    </row>
    <row r="689" spans="1:14" x14ac:dyDescent="0.3">
      <c r="A689">
        <v>1232</v>
      </c>
      <c r="B689" s="1">
        <v>45284</v>
      </c>
      <c r="C689">
        <v>2023</v>
      </c>
      <c r="D689">
        <v>12</v>
      </c>
      <c r="E689" t="str">
        <f t="shared" si="10"/>
        <v>Desember</v>
      </c>
      <c r="F689">
        <v>4</v>
      </c>
      <c r="G689" t="s">
        <v>1515</v>
      </c>
      <c r="H689" t="s">
        <v>1512</v>
      </c>
      <c r="I689" t="s">
        <v>1513</v>
      </c>
      <c r="J689" t="s">
        <v>1517</v>
      </c>
      <c r="K689" t="s">
        <v>1518</v>
      </c>
      <c r="L689" s="2">
        <v>3</v>
      </c>
      <c r="M689" s="10">
        <v>2774</v>
      </c>
      <c r="N689" s="7">
        <v>8322</v>
      </c>
    </row>
    <row r="690" spans="1:14" x14ac:dyDescent="0.3">
      <c r="A690">
        <v>1232</v>
      </c>
      <c r="B690" s="1">
        <v>45277</v>
      </c>
      <c r="C690">
        <v>2023</v>
      </c>
      <c r="D690">
        <v>12</v>
      </c>
      <c r="E690" t="str">
        <f t="shared" si="10"/>
        <v>Desember</v>
      </c>
      <c r="F690">
        <v>4</v>
      </c>
      <c r="G690" t="s">
        <v>1515</v>
      </c>
      <c r="H690" t="s">
        <v>1512</v>
      </c>
      <c r="I690" t="s">
        <v>1513</v>
      </c>
      <c r="J690" t="s">
        <v>1517</v>
      </c>
      <c r="K690" t="s">
        <v>1518</v>
      </c>
      <c r="L690" s="2">
        <v>3</v>
      </c>
      <c r="M690" s="10">
        <v>2774</v>
      </c>
      <c r="N690" s="7">
        <v>8322</v>
      </c>
    </row>
    <row r="691" spans="1:14" x14ac:dyDescent="0.3">
      <c r="A691">
        <v>1232</v>
      </c>
      <c r="B691" s="1">
        <v>44762</v>
      </c>
      <c r="C691">
        <v>2022</v>
      </c>
      <c r="D691">
        <v>7</v>
      </c>
      <c r="E691" t="str">
        <f t="shared" si="10"/>
        <v>Juli</v>
      </c>
      <c r="F691">
        <v>3</v>
      </c>
      <c r="G691" t="s">
        <v>1515</v>
      </c>
      <c r="H691" t="s">
        <v>1512</v>
      </c>
      <c r="I691" t="s">
        <v>1513</v>
      </c>
      <c r="J691" t="s">
        <v>1517</v>
      </c>
      <c r="K691" t="s">
        <v>1518</v>
      </c>
      <c r="L691" s="2">
        <v>3</v>
      </c>
      <c r="M691" s="10">
        <v>2774</v>
      </c>
      <c r="N691" s="7">
        <v>8322</v>
      </c>
    </row>
    <row r="692" spans="1:14" x14ac:dyDescent="0.3">
      <c r="A692">
        <v>1233</v>
      </c>
      <c r="B692" s="1">
        <v>45561</v>
      </c>
      <c r="C692">
        <v>2024</v>
      </c>
      <c r="D692">
        <v>9</v>
      </c>
      <c r="E692" t="str">
        <f t="shared" si="10"/>
        <v>September</v>
      </c>
      <c r="F692">
        <v>3</v>
      </c>
      <c r="G692" t="s">
        <v>1534</v>
      </c>
      <c r="H692" t="s">
        <v>1530</v>
      </c>
      <c r="I692" t="s">
        <v>1516</v>
      </c>
      <c r="J692" t="s">
        <v>1566</v>
      </c>
      <c r="K692" t="s">
        <v>1514</v>
      </c>
      <c r="L692" s="2">
        <v>2</v>
      </c>
      <c r="M692" s="10">
        <v>1961</v>
      </c>
      <c r="N692" s="7">
        <v>3922</v>
      </c>
    </row>
    <row r="693" spans="1:14" x14ac:dyDescent="0.3">
      <c r="A693">
        <v>1233</v>
      </c>
      <c r="B693" s="1">
        <v>44932</v>
      </c>
      <c r="C693">
        <v>2023</v>
      </c>
      <c r="D693">
        <v>1</v>
      </c>
      <c r="E693" t="str">
        <f t="shared" si="10"/>
        <v>Januari</v>
      </c>
      <c r="F693">
        <v>1</v>
      </c>
      <c r="G693" t="s">
        <v>1534</v>
      </c>
      <c r="H693" t="s">
        <v>1530</v>
      </c>
      <c r="I693" t="s">
        <v>1516</v>
      </c>
      <c r="J693" t="s">
        <v>1566</v>
      </c>
      <c r="K693" t="s">
        <v>1514</v>
      </c>
      <c r="L693" s="2">
        <v>2</v>
      </c>
      <c r="M693" s="10">
        <v>1961</v>
      </c>
      <c r="N693" s="7">
        <v>3922</v>
      </c>
    </row>
    <row r="694" spans="1:14" x14ac:dyDescent="0.3">
      <c r="A694">
        <v>1234</v>
      </c>
      <c r="B694" s="1">
        <v>44728</v>
      </c>
      <c r="C694">
        <v>2022</v>
      </c>
      <c r="D694">
        <v>6</v>
      </c>
      <c r="E694" t="str">
        <f t="shared" si="10"/>
        <v>Juni</v>
      </c>
      <c r="F694">
        <v>2</v>
      </c>
      <c r="G694" t="s">
        <v>1519</v>
      </c>
      <c r="H694" t="s">
        <v>1520</v>
      </c>
      <c r="I694" t="s">
        <v>1528</v>
      </c>
      <c r="J694" t="s">
        <v>1517</v>
      </c>
      <c r="K694" t="s">
        <v>1514</v>
      </c>
      <c r="L694" s="2">
        <v>3</v>
      </c>
      <c r="M694" s="10">
        <v>3843</v>
      </c>
      <c r="N694" s="7">
        <v>11529</v>
      </c>
    </row>
    <row r="695" spans="1:14" x14ac:dyDescent="0.3">
      <c r="A695">
        <v>1234</v>
      </c>
      <c r="B695" s="1">
        <v>44564</v>
      </c>
      <c r="C695">
        <v>2022</v>
      </c>
      <c r="D695">
        <v>1</v>
      </c>
      <c r="E695" t="str">
        <f t="shared" si="10"/>
        <v>Januari</v>
      </c>
      <c r="F695">
        <v>1</v>
      </c>
      <c r="G695" t="s">
        <v>1519</v>
      </c>
      <c r="H695" t="s">
        <v>1520</v>
      </c>
      <c r="I695" t="s">
        <v>1528</v>
      </c>
      <c r="J695" t="s">
        <v>1517</v>
      </c>
      <c r="K695" t="s">
        <v>1514</v>
      </c>
      <c r="L695" s="2">
        <v>3</v>
      </c>
      <c r="M695" s="10">
        <v>3843</v>
      </c>
      <c r="N695" s="7">
        <v>11529</v>
      </c>
    </row>
    <row r="696" spans="1:14" x14ac:dyDescent="0.3">
      <c r="A696">
        <v>1235</v>
      </c>
      <c r="B696" s="1">
        <v>44595</v>
      </c>
      <c r="C696">
        <v>2022</v>
      </c>
      <c r="D696">
        <v>2</v>
      </c>
      <c r="E696" t="str">
        <f t="shared" si="10"/>
        <v>Februari</v>
      </c>
      <c r="F696">
        <v>1</v>
      </c>
      <c r="G696" t="s">
        <v>1522</v>
      </c>
      <c r="H696" t="s">
        <v>1520</v>
      </c>
      <c r="I696" t="s">
        <v>1535</v>
      </c>
      <c r="J696" t="s">
        <v>1566</v>
      </c>
      <c r="K696" t="s">
        <v>1525</v>
      </c>
      <c r="L696" s="2">
        <v>2</v>
      </c>
      <c r="M696" s="10">
        <v>515</v>
      </c>
      <c r="N696" s="7">
        <v>1030</v>
      </c>
    </row>
    <row r="697" spans="1:14" x14ac:dyDescent="0.3">
      <c r="A697">
        <v>1235</v>
      </c>
      <c r="B697" s="1">
        <v>45139</v>
      </c>
      <c r="C697">
        <v>2023</v>
      </c>
      <c r="D697">
        <v>8</v>
      </c>
      <c r="E697" t="str">
        <f t="shared" si="10"/>
        <v>Agustus</v>
      </c>
      <c r="F697">
        <v>3</v>
      </c>
      <c r="G697" t="s">
        <v>1522</v>
      </c>
      <c r="H697" t="s">
        <v>1520</v>
      </c>
      <c r="I697" t="s">
        <v>1535</v>
      </c>
      <c r="J697" t="s">
        <v>1566</v>
      </c>
      <c r="K697" t="s">
        <v>1525</v>
      </c>
      <c r="L697" s="2">
        <v>2</v>
      </c>
      <c r="M697" s="10">
        <v>515</v>
      </c>
      <c r="N697" s="7">
        <v>1030</v>
      </c>
    </row>
    <row r="698" spans="1:14" x14ac:dyDescent="0.3">
      <c r="A698">
        <v>1235</v>
      </c>
      <c r="B698" s="1">
        <v>45153</v>
      </c>
      <c r="C698">
        <v>2023</v>
      </c>
      <c r="D698">
        <v>8</v>
      </c>
      <c r="E698" t="str">
        <f t="shared" si="10"/>
        <v>Agustus</v>
      </c>
      <c r="F698">
        <v>3</v>
      </c>
      <c r="G698" t="s">
        <v>1522</v>
      </c>
      <c r="H698" t="s">
        <v>1520</v>
      </c>
      <c r="I698" t="s">
        <v>1535</v>
      </c>
      <c r="J698" t="s">
        <v>1566</v>
      </c>
      <c r="K698" t="s">
        <v>1525</v>
      </c>
      <c r="L698" s="2">
        <v>2</v>
      </c>
      <c r="M698" s="10">
        <v>515</v>
      </c>
      <c r="N698" s="7">
        <v>1030</v>
      </c>
    </row>
    <row r="699" spans="1:14" x14ac:dyDescent="0.3">
      <c r="A699">
        <v>1236</v>
      </c>
      <c r="B699" s="1">
        <v>45310</v>
      </c>
      <c r="C699">
        <v>2024</v>
      </c>
      <c r="D699">
        <v>1</v>
      </c>
      <c r="E699" t="str">
        <f t="shared" si="10"/>
        <v>Januari</v>
      </c>
      <c r="F699">
        <v>1</v>
      </c>
      <c r="G699" t="s">
        <v>1523</v>
      </c>
      <c r="H699" t="s">
        <v>1512</v>
      </c>
      <c r="I699" t="s">
        <v>1528</v>
      </c>
      <c r="J699" t="s">
        <v>1517</v>
      </c>
      <c r="K699" t="s">
        <v>1525</v>
      </c>
      <c r="L699" s="2">
        <v>2</v>
      </c>
      <c r="M699" s="10">
        <v>18773</v>
      </c>
      <c r="N699" s="7">
        <v>37546</v>
      </c>
    </row>
    <row r="700" spans="1:14" x14ac:dyDescent="0.3">
      <c r="A700">
        <v>1236</v>
      </c>
      <c r="B700" s="1">
        <v>45355</v>
      </c>
      <c r="C700">
        <v>2024</v>
      </c>
      <c r="D700">
        <v>3</v>
      </c>
      <c r="E700" t="str">
        <f t="shared" si="10"/>
        <v>Maret</v>
      </c>
      <c r="F700">
        <v>1</v>
      </c>
      <c r="G700" t="s">
        <v>1523</v>
      </c>
      <c r="H700" t="s">
        <v>1512</v>
      </c>
      <c r="I700" t="s">
        <v>1528</v>
      </c>
      <c r="J700" t="s">
        <v>1517</v>
      </c>
      <c r="K700" t="s">
        <v>1525</v>
      </c>
      <c r="L700" s="2">
        <v>2</v>
      </c>
      <c r="M700" s="10">
        <v>18773</v>
      </c>
      <c r="N700" s="7">
        <v>37546</v>
      </c>
    </row>
    <row r="701" spans="1:14" x14ac:dyDescent="0.3">
      <c r="A701">
        <v>1236</v>
      </c>
      <c r="B701" s="1">
        <v>45546</v>
      </c>
      <c r="C701">
        <v>2024</v>
      </c>
      <c r="D701">
        <v>9</v>
      </c>
      <c r="E701" t="str">
        <f t="shared" si="10"/>
        <v>September</v>
      </c>
      <c r="F701">
        <v>3</v>
      </c>
      <c r="G701" t="s">
        <v>1523</v>
      </c>
      <c r="H701" t="s">
        <v>1512</v>
      </c>
      <c r="I701" t="s">
        <v>1528</v>
      </c>
      <c r="J701" t="s">
        <v>1517</v>
      </c>
      <c r="K701" t="s">
        <v>1525</v>
      </c>
      <c r="L701" s="2">
        <v>2</v>
      </c>
      <c r="M701" s="10">
        <v>18773</v>
      </c>
      <c r="N701" s="7">
        <v>37546</v>
      </c>
    </row>
    <row r="702" spans="1:14" x14ac:dyDescent="0.3">
      <c r="A702">
        <v>1238</v>
      </c>
      <c r="B702" s="1">
        <v>45502</v>
      </c>
      <c r="C702">
        <v>2024</v>
      </c>
      <c r="D702">
        <v>7</v>
      </c>
      <c r="E702" t="str">
        <f t="shared" si="10"/>
        <v>Juli</v>
      </c>
      <c r="F702">
        <v>3</v>
      </c>
      <c r="G702" t="s">
        <v>1529</v>
      </c>
      <c r="H702" t="s">
        <v>1530</v>
      </c>
      <c r="I702" t="s">
        <v>1535</v>
      </c>
      <c r="J702" t="s">
        <v>1524</v>
      </c>
      <c r="K702" t="s">
        <v>1514</v>
      </c>
      <c r="L702" s="2">
        <v>2</v>
      </c>
      <c r="M702" s="10">
        <v>996</v>
      </c>
      <c r="N702" s="7">
        <v>1992</v>
      </c>
    </row>
    <row r="703" spans="1:14" x14ac:dyDescent="0.3">
      <c r="A703">
        <v>1239</v>
      </c>
      <c r="B703" s="1">
        <v>44765</v>
      </c>
      <c r="C703">
        <v>2022</v>
      </c>
      <c r="D703">
        <v>7</v>
      </c>
      <c r="E703" t="str">
        <f t="shared" si="10"/>
        <v>Juli</v>
      </c>
      <c r="F703">
        <v>3</v>
      </c>
      <c r="G703" t="s">
        <v>1532</v>
      </c>
      <c r="H703" t="s">
        <v>1512</v>
      </c>
      <c r="I703" t="s">
        <v>1528</v>
      </c>
      <c r="J703" t="s">
        <v>1566</v>
      </c>
      <c r="K703" t="s">
        <v>1518</v>
      </c>
      <c r="L703" s="2">
        <v>2</v>
      </c>
      <c r="M703" s="10">
        <v>12569</v>
      </c>
      <c r="N703" s="7">
        <v>25138</v>
      </c>
    </row>
    <row r="704" spans="1:14" x14ac:dyDescent="0.3">
      <c r="A704">
        <v>1239</v>
      </c>
      <c r="B704" s="1">
        <v>44797</v>
      </c>
      <c r="C704">
        <v>2022</v>
      </c>
      <c r="D704">
        <v>8</v>
      </c>
      <c r="E704" t="str">
        <f t="shared" si="10"/>
        <v>Agustus</v>
      </c>
      <c r="F704">
        <v>3</v>
      </c>
      <c r="G704" t="s">
        <v>1532</v>
      </c>
      <c r="H704" t="s">
        <v>1512</v>
      </c>
      <c r="I704" t="s">
        <v>1528</v>
      </c>
      <c r="J704" t="s">
        <v>1566</v>
      </c>
      <c r="K704" t="s">
        <v>1518</v>
      </c>
      <c r="L704" s="2">
        <v>2</v>
      </c>
      <c r="M704" s="10">
        <v>12569</v>
      </c>
      <c r="N704" s="7">
        <v>25138</v>
      </c>
    </row>
    <row r="705" spans="1:14" x14ac:dyDescent="0.3">
      <c r="A705">
        <v>1239</v>
      </c>
      <c r="B705" s="1">
        <v>45267</v>
      </c>
      <c r="C705">
        <v>2023</v>
      </c>
      <c r="D705">
        <v>12</v>
      </c>
      <c r="E705" t="str">
        <f t="shared" si="10"/>
        <v>Desember</v>
      </c>
      <c r="F705">
        <v>4</v>
      </c>
      <c r="G705" t="s">
        <v>1532</v>
      </c>
      <c r="H705" t="s">
        <v>1512</v>
      </c>
      <c r="I705" t="s">
        <v>1528</v>
      </c>
      <c r="J705" t="s">
        <v>1566</v>
      </c>
      <c r="K705" t="s">
        <v>1518</v>
      </c>
      <c r="L705" s="2">
        <v>2</v>
      </c>
      <c r="M705" s="10">
        <v>12569</v>
      </c>
      <c r="N705" s="7">
        <v>25138</v>
      </c>
    </row>
    <row r="706" spans="1:14" x14ac:dyDescent="0.3">
      <c r="A706">
        <v>1239</v>
      </c>
      <c r="B706" s="1">
        <v>45274</v>
      </c>
      <c r="C706">
        <v>2023</v>
      </c>
      <c r="D706">
        <v>12</v>
      </c>
      <c r="E706" t="str">
        <f t="shared" si="10"/>
        <v>Desember</v>
      </c>
      <c r="F706">
        <v>4</v>
      </c>
      <c r="G706" t="s">
        <v>1532</v>
      </c>
      <c r="H706" t="s">
        <v>1512</v>
      </c>
      <c r="I706" t="s">
        <v>1528</v>
      </c>
      <c r="J706" t="s">
        <v>1566</v>
      </c>
      <c r="K706" t="s">
        <v>1518</v>
      </c>
      <c r="L706" s="2">
        <v>2</v>
      </c>
      <c r="M706" s="10">
        <v>12569</v>
      </c>
      <c r="N706" s="7">
        <v>25138</v>
      </c>
    </row>
    <row r="707" spans="1:14" x14ac:dyDescent="0.3">
      <c r="A707">
        <v>1239</v>
      </c>
      <c r="B707" s="1">
        <v>45647</v>
      </c>
      <c r="C707">
        <v>2024</v>
      </c>
      <c r="D707">
        <v>12</v>
      </c>
      <c r="E707" t="str">
        <f t="shared" ref="E707:E770" si="11">TEXT(DATE(2026, D707, 1), "[$-id-ID]mmmm")</f>
        <v>Desember</v>
      </c>
      <c r="F707">
        <v>4</v>
      </c>
      <c r="G707" t="s">
        <v>1532</v>
      </c>
      <c r="H707" t="s">
        <v>1512</v>
      </c>
      <c r="I707" t="s">
        <v>1528</v>
      </c>
      <c r="J707" t="s">
        <v>1566</v>
      </c>
      <c r="K707" t="s">
        <v>1518</v>
      </c>
      <c r="L707" s="2">
        <v>2</v>
      </c>
      <c r="M707" s="10">
        <v>12569</v>
      </c>
      <c r="N707" s="7">
        <v>25138</v>
      </c>
    </row>
    <row r="708" spans="1:14" x14ac:dyDescent="0.3">
      <c r="A708">
        <v>1239</v>
      </c>
      <c r="B708" s="1">
        <v>44969</v>
      </c>
      <c r="C708">
        <v>2023</v>
      </c>
      <c r="D708">
        <v>2</v>
      </c>
      <c r="E708" t="str">
        <f t="shared" si="11"/>
        <v>Februari</v>
      </c>
      <c r="F708">
        <v>1</v>
      </c>
      <c r="G708" t="s">
        <v>1532</v>
      </c>
      <c r="H708" t="s">
        <v>1512</v>
      </c>
      <c r="I708" t="s">
        <v>1528</v>
      </c>
      <c r="J708" t="s">
        <v>1566</v>
      </c>
      <c r="K708" t="s">
        <v>1518</v>
      </c>
      <c r="L708" s="2">
        <v>2</v>
      </c>
      <c r="M708" s="10">
        <v>12569</v>
      </c>
      <c r="N708" s="7">
        <v>25138</v>
      </c>
    </row>
    <row r="709" spans="1:14" x14ac:dyDescent="0.3">
      <c r="A709">
        <v>1240</v>
      </c>
      <c r="B709" s="1">
        <v>45082</v>
      </c>
      <c r="C709">
        <v>2023</v>
      </c>
      <c r="D709">
        <v>6</v>
      </c>
      <c r="E709" t="str">
        <f t="shared" si="11"/>
        <v>Juni</v>
      </c>
      <c r="F709">
        <v>2</v>
      </c>
      <c r="G709" t="s">
        <v>1533</v>
      </c>
      <c r="H709" t="s">
        <v>1520</v>
      </c>
      <c r="I709" t="s">
        <v>1516</v>
      </c>
      <c r="J709" t="s">
        <v>1524</v>
      </c>
      <c r="K709" t="s">
        <v>1514</v>
      </c>
      <c r="L709" s="2">
        <v>3</v>
      </c>
      <c r="M709" s="10">
        <v>241</v>
      </c>
      <c r="N709" s="7">
        <v>723</v>
      </c>
    </row>
    <row r="710" spans="1:14" x14ac:dyDescent="0.3">
      <c r="A710">
        <v>1240</v>
      </c>
      <c r="B710" s="1">
        <v>44981</v>
      </c>
      <c r="C710">
        <v>2023</v>
      </c>
      <c r="D710">
        <v>2</v>
      </c>
      <c r="E710" t="str">
        <f t="shared" si="11"/>
        <v>Februari</v>
      </c>
      <c r="F710">
        <v>1</v>
      </c>
      <c r="G710" t="s">
        <v>1533</v>
      </c>
      <c r="H710" t="s">
        <v>1520</v>
      </c>
      <c r="I710" t="s">
        <v>1516</v>
      </c>
      <c r="J710" t="s">
        <v>1524</v>
      </c>
      <c r="K710" t="s">
        <v>1514</v>
      </c>
      <c r="L710" s="2">
        <v>3</v>
      </c>
      <c r="M710" s="10">
        <v>241</v>
      </c>
      <c r="N710" s="7">
        <v>723</v>
      </c>
    </row>
    <row r="711" spans="1:14" x14ac:dyDescent="0.3">
      <c r="A711">
        <v>1240</v>
      </c>
      <c r="B711" s="1">
        <v>45630</v>
      </c>
      <c r="C711">
        <v>2024</v>
      </c>
      <c r="D711">
        <v>12</v>
      </c>
      <c r="E711" t="str">
        <f t="shared" si="11"/>
        <v>Desember</v>
      </c>
      <c r="F711">
        <v>4</v>
      </c>
      <c r="G711" t="s">
        <v>1533</v>
      </c>
      <c r="H711" t="s">
        <v>1520</v>
      </c>
      <c r="I711" t="s">
        <v>1516</v>
      </c>
      <c r="J711" t="s">
        <v>1524</v>
      </c>
      <c r="K711" t="s">
        <v>1514</v>
      </c>
      <c r="L711" s="2">
        <v>3</v>
      </c>
      <c r="M711" s="10">
        <v>241</v>
      </c>
      <c r="N711" s="7">
        <v>723</v>
      </c>
    </row>
    <row r="712" spans="1:14" x14ac:dyDescent="0.3">
      <c r="A712">
        <v>1241</v>
      </c>
      <c r="B712" s="1">
        <v>45339</v>
      </c>
      <c r="C712">
        <v>2024</v>
      </c>
      <c r="D712">
        <v>2</v>
      </c>
      <c r="E712" t="str">
        <f t="shared" si="11"/>
        <v>Februari</v>
      </c>
      <c r="F712">
        <v>1</v>
      </c>
      <c r="G712" t="s">
        <v>1511</v>
      </c>
      <c r="H712" t="s">
        <v>1512</v>
      </c>
      <c r="I712" t="s">
        <v>1521</v>
      </c>
      <c r="J712" t="s">
        <v>1517</v>
      </c>
      <c r="K712" t="s">
        <v>1518</v>
      </c>
      <c r="L712" s="2">
        <v>1</v>
      </c>
      <c r="M712" s="10">
        <v>51561</v>
      </c>
      <c r="N712" s="7">
        <v>51561</v>
      </c>
    </row>
    <row r="713" spans="1:14" x14ac:dyDescent="0.3">
      <c r="A713">
        <v>1241</v>
      </c>
      <c r="B713" s="1">
        <v>45131</v>
      </c>
      <c r="C713">
        <v>2023</v>
      </c>
      <c r="D713">
        <v>7</v>
      </c>
      <c r="E713" t="str">
        <f t="shared" si="11"/>
        <v>Juli</v>
      </c>
      <c r="F713">
        <v>3</v>
      </c>
      <c r="G713" t="s">
        <v>1511</v>
      </c>
      <c r="H713" t="s">
        <v>1512</v>
      </c>
      <c r="I713" t="s">
        <v>1521</v>
      </c>
      <c r="J713" t="s">
        <v>1517</v>
      </c>
      <c r="K713" t="s">
        <v>1518</v>
      </c>
      <c r="L713" s="2">
        <v>1</v>
      </c>
      <c r="M713" s="10">
        <v>51561</v>
      </c>
      <c r="N713" s="7">
        <v>51561</v>
      </c>
    </row>
    <row r="714" spans="1:14" x14ac:dyDescent="0.3">
      <c r="A714">
        <v>1243</v>
      </c>
      <c r="B714" s="1">
        <v>45029</v>
      </c>
      <c r="C714">
        <v>2023</v>
      </c>
      <c r="D714">
        <v>4</v>
      </c>
      <c r="E714" t="str">
        <f t="shared" si="11"/>
        <v>April</v>
      </c>
      <c r="F714">
        <v>2</v>
      </c>
      <c r="G714" t="s">
        <v>1534</v>
      </c>
      <c r="H714" t="s">
        <v>1530</v>
      </c>
      <c r="I714" t="s">
        <v>1528</v>
      </c>
      <c r="J714" t="s">
        <v>1566</v>
      </c>
      <c r="K714" t="s">
        <v>1518</v>
      </c>
      <c r="L714" s="2">
        <v>2</v>
      </c>
      <c r="M714" s="10">
        <v>1792</v>
      </c>
      <c r="N714" s="7">
        <v>3584</v>
      </c>
    </row>
    <row r="715" spans="1:14" x14ac:dyDescent="0.3">
      <c r="A715">
        <v>1243</v>
      </c>
      <c r="B715" s="1">
        <v>45274</v>
      </c>
      <c r="C715">
        <v>2023</v>
      </c>
      <c r="D715">
        <v>12</v>
      </c>
      <c r="E715" t="str">
        <f t="shared" si="11"/>
        <v>Desember</v>
      </c>
      <c r="F715">
        <v>4</v>
      </c>
      <c r="G715" t="s">
        <v>1534</v>
      </c>
      <c r="H715" t="s">
        <v>1530</v>
      </c>
      <c r="I715" t="s">
        <v>1528</v>
      </c>
      <c r="J715" t="s">
        <v>1566</v>
      </c>
      <c r="K715" t="s">
        <v>1518</v>
      </c>
      <c r="L715" s="2">
        <v>2</v>
      </c>
      <c r="M715" s="10">
        <v>1792</v>
      </c>
      <c r="N715" s="7">
        <v>3584</v>
      </c>
    </row>
    <row r="716" spans="1:14" x14ac:dyDescent="0.3">
      <c r="A716">
        <v>1244</v>
      </c>
      <c r="B716" s="1">
        <v>44605</v>
      </c>
      <c r="C716">
        <v>2022</v>
      </c>
      <c r="D716">
        <v>2</v>
      </c>
      <c r="E716" t="str">
        <f t="shared" si="11"/>
        <v>Februari</v>
      </c>
      <c r="F716">
        <v>1</v>
      </c>
      <c r="G716" t="s">
        <v>1519</v>
      </c>
      <c r="H716" t="s">
        <v>1520</v>
      </c>
      <c r="I716" t="s">
        <v>1528</v>
      </c>
      <c r="J716" t="s">
        <v>1566</v>
      </c>
      <c r="K716" t="s">
        <v>1518</v>
      </c>
      <c r="L716" s="2">
        <v>1</v>
      </c>
      <c r="M716" s="10">
        <v>17414</v>
      </c>
      <c r="N716" s="7">
        <v>17414</v>
      </c>
    </row>
    <row r="717" spans="1:14" x14ac:dyDescent="0.3">
      <c r="A717">
        <v>1244</v>
      </c>
      <c r="B717" s="1">
        <v>45049</v>
      </c>
      <c r="C717">
        <v>2023</v>
      </c>
      <c r="D717">
        <v>5</v>
      </c>
      <c r="E717" t="str">
        <f t="shared" si="11"/>
        <v>Mei</v>
      </c>
      <c r="F717">
        <v>2</v>
      </c>
      <c r="G717" t="s">
        <v>1519</v>
      </c>
      <c r="H717" t="s">
        <v>1520</v>
      </c>
      <c r="I717" t="s">
        <v>1528</v>
      </c>
      <c r="J717" t="s">
        <v>1566</v>
      </c>
      <c r="K717" t="s">
        <v>1518</v>
      </c>
      <c r="L717" s="2">
        <v>1</v>
      </c>
      <c r="M717" s="10">
        <v>17414</v>
      </c>
      <c r="N717" s="7">
        <v>17414</v>
      </c>
    </row>
    <row r="718" spans="1:14" x14ac:dyDescent="0.3">
      <c r="A718">
        <v>1245</v>
      </c>
      <c r="B718" s="1">
        <v>44659</v>
      </c>
      <c r="C718">
        <v>2022</v>
      </c>
      <c r="D718">
        <v>4</v>
      </c>
      <c r="E718" t="str">
        <f t="shared" si="11"/>
        <v>April</v>
      </c>
      <c r="F718">
        <v>2</v>
      </c>
      <c r="G718" t="s">
        <v>1522</v>
      </c>
      <c r="H718" t="s">
        <v>1520</v>
      </c>
      <c r="I718" t="s">
        <v>1535</v>
      </c>
      <c r="J718" t="s">
        <v>1517</v>
      </c>
      <c r="K718" t="s">
        <v>1525</v>
      </c>
      <c r="L718" s="2">
        <v>5</v>
      </c>
      <c r="M718" s="10">
        <v>417</v>
      </c>
      <c r="N718" s="7">
        <v>2085</v>
      </c>
    </row>
    <row r="719" spans="1:14" x14ac:dyDescent="0.3">
      <c r="A719">
        <v>1246</v>
      </c>
      <c r="B719" s="1">
        <v>44784</v>
      </c>
      <c r="C719">
        <v>2022</v>
      </c>
      <c r="D719">
        <v>8</v>
      </c>
      <c r="E719" t="str">
        <f t="shared" si="11"/>
        <v>Agustus</v>
      </c>
      <c r="F719">
        <v>3</v>
      </c>
      <c r="G719" t="s">
        <v>1523</v>
      </c>
      <c r="H719" t="s">
        <v>1512</v>
      </c>
      <c r="I719" t="s">
        <v>1521</v>
      </c>
      <c r="J719" t="s">
        <v>1566</v>
      </c>
      <c r="K719" t="s">
        <v>1518</v>
      </c>
      <c r="L719" s="2">
        <v>1</v>
      </c>
      <c r="M719" s="10">
        <v>32293</v>
      </c>
      <c r="N719" s="7">
        <v>32293</v>
      </c>
    </row>
    <row r="720" spans="1:14" x14ac:dyDescent="0.3">
      <c r="A720">
        <v>1246</v>
      </c>
      <c r="B720" s="1">
        <v>45011</v>
      </c>
      <c r="C720">
        <v>2023</v>
      </c>
      <c r="D720">
        <v>3</v>
      </c>
      <c r="E720" t="str">
        <f t="shared" si="11"/>
        <v>Maret</v>
      </c>
      <c r="F720">
        <v>1</v>
      </c>
      <c r="G720" t="s">
        <v>1523</v>
      </c>
      <c r="H720" t="s">
        <v>1512</v>
      </c>
      <c r="I720" t="s">
        <v>1521</v>
      </c>
      <c r="J720" t="s">
        <v>1566</v>
      </c>
      <c r="K720" t="s">
        <v>1518</v>
      </c>
      <c r="L720" s="2">
        <v>1</v>
      </c>
      <c r="M720" s="10">
        <v>32293</v>
      </c>
      <c r="N720" s="7">
        <v>32293</v>
      </c>
    </row>
    <row r="721" spans="1:14" x14ac:dyDescent="0.3">
      <c r="A721">
        <v>1246</v>
      </c>
      <c r="B721" s="1">
        <v>45653</v>
      </c>
      <c r="C721">
        <v>2024</v>
      </c>
      <c r="D721">
        <v>12</v>
      </c>
      <c r="E721" t="str">
        <f t="shared" si="11"/>
        <v>Desember</v>
      </c>
      <c r="F721">
        <v>4</v>
      </c>
      <c r="G721" t="s">
        <v>1523</v>
      </c>
      <c r="H721" t="s">
        <v>1512</v>
      </c>
      <c r="I721" t="s">
        <v>1521</v>
      </c>
      <c r="J721" t="s">
        <v>1566</v>
      </c>
      <c r="K721" t="s">
        <v>1518</v>
      </c>
      <c r="L721" s="2">
        <v>1</v>
      </c>
      <c r="M721" s="10">
        <v>32293</v>
      </c>
      <c r="N721" s="7">
        <v>32293</v>
      </c>
    </row>
    <row r="722" spans="1:14" x14ac:dyDescent="0.3">
      <c r="A722">
        <v>1246</v>
      </c>
      <c r="B722" s="1">
        <v>45011</v>
      </c>
      <c r="C722">
        <v>2023</v>
      </c>
      <c r="D722">
        <v>3</v>
      </c>
      <c r="E722" t="str">
        <f t="shared" si="11"/>
        <v>Maret</v>
      </c>
      <c r="F722">
        <v>1</v>
      </c>
      <c r="G722" t="s">
        <v>1523</v>
      </c>
      <c r="H722" t="s">
        <v>1512</v>
      </c>
      <c r="I722" t="s">
        <v>1521</v>
      </c>
      <c r="J722" t="s">
        <v>1566</v>
      </c>
      <c r="K722" t="s">
        <v>1518</v>
      </c>
      <c r="L722" s="2">
        <v>1</v>
      </c>
      <c r="M722" s="10">
        <v>32293</v>
      </c>
      <c r="N722" s="7">
        <v>32293</v>
      </c>
    </row>
    <row r="723" spans="1:14" x14ac:dyDescent="0.3">
      <c r="A723">
        <v>1247</v>
      </c>
      <c r="B723" s="1">
        <v>45402</v>
      </c>
      <c r="C723">
        <v>2024</v>
      </c>
      <c r="D723">
        <v>4</v>
      </c>
      <c r="E723" t="str">
        <f t="shared" si="11"/>
        <v>April</v>
      </c>
      <c r="F723">
        <v>2</v>
      </c>
      <c r="G723" t="s">
        <v>1526</v>
      </c>
      <c r="H723" t="s">
        <v>1527</v>
      </c>
      <c r="I723" t="s">
        <v>1535</v>
      </c>
      <c r="J723" t="s">
        <v>1524</v>
      </c>
      <c r="K723" t="s">
        <v>1525</v>
      </c>
      <c r="L723" s="2">
        <v>2</v>
      </c>
      <c r="M723" s="10">
        <v>750</v>
      </c>
      <c r="N723" s="7">
        <v>1500</v>
      </c>
    </row>
    <row r="724" spans="1:14" x14ac:dyDescent="0.3">
      <c r="A724">
        <v>1247</v>
      </c>
      <c r="B724" s="1">
        <v>45398</v>
      </c>
      <c r="C724">
        <v>2024</v>
      </c>
      <c r="D724">
        <v>4</v>
      </c>
      <c r="E724" t="str">
        <f t="shared" si="11"/>
        <v>April</v>
      </c>
      <c r="F724">
        <v>2</v>
      </c>
      <c r="G724" t="s">
        <v>1526</v>
      </c>
      <c r="H724" t="s">
        <v>1527</v>
      </c>
      <c r="I724" t="s">
        <v>1535</v>
      </c>
      <c r="J724" t="s">
        <v>1524</v>
      </c>
      <c r="K724" t="s">
        <v>1525</v>
      </c>
      <c r="L724" s="2">
        <v>2</v>
      </c>
      <c r="M724" s="10">
        <v>750</v>
      </c>
      <c r="N724" s="7">
        <v>1500</v>
      </c>
    </row>
    <row r="725" spans="1:14" x14ac:dyDescent="0.3">
      <c r="A725">
        <v>1247</v>
      </c>
      <c r="B725" s="1">
        <v>45240</v>
      </c>
      <c r="C725">
        <v>2023</v>
      </c>
      <c r="D725">
        <v>11</v>
      </c>
      <c r="E725" t="str">
        <f t="shared" si="11"/>
        <v>November</v>
      </c>
      <c r="F725">
        <v>4</v>
      </c>
      <c r="G725" t="s">
        <v>1526</v>
      </c>
      <c r="H725" t="s">
        <v>1527</v>
      </c>
      <c r="I725" t="s">
        <v>1535</v>
      </c>
      <c r="J725" t="s">
        <v>1524</v>
      </c>
      <c r="K725" t="s">
        <v>1525</v>
      </c>
      <c r="L725" s="2">
        <v>2</v>
      </c>
      <c r="M725" s="10">
        <v>750</v>
      </c>
      <c r="N725" s="7">
        <v>1500</v>
      </c>
    </row>
    <row r="726" spans="1:14" x14ac:dyDescent="0.3">
      <c r="A726">
        <v>1248</v>
      </c>
      <c r="B726" s="1">
        <v>45216</v>
      </c>
      <c r="C726">
        <v>2023</v>
      </c>
      <c r="D726">
        <v>10</v>
      </c>
      <c r="E726" t="str">
        <f t="shared" si="11"/>
        <v>Oktober</v>
      </c>
      <c r="F726">
        <v>4</v>
      </c>
      <c r="G726" t="s">
        <v>1529</v>
      </c>
      <c r="H726" t="s">
        <v>1530</v>
      </c>
      <c r="I726" t="s">
        <v>1535</v>
      </c>
      <c r="J726" t="s">
        <v>1566</v>
      </c>
      <c r="K726" t="s">
        <v>1525</v>
      </c>
      <c r="L726" s="2">
        <v>3</v>
      </c>
      <c r="M726" s="10">
        <v>1702</v>
      </c>
      <c r="N726" s="7">
        <v>5106</v>
      </c>
    </row>
    <row r="727" spans="1:14" x14ac:dyDescent="0.3">
      <c r="A727">
        <v>1248</v>
      </c>
      <c r="B727" s="1">
        <v>45079</v>
      </c>
      <c r="C727">
        <v>2023</v>
      </c>
      <c r="D727">
        <v>6</v>
      </c>
      <c r="E727" t="str">
        <f t="shared" si="11"/>
        <v>Juni</v>
      </c>
      <c r="F727">
        <v>2</v>
      </c>
      <c r="G727" t="s">
        <v>1529</v>
      </c>
      <c r="H727" t="s">
        <v>1530</v>
      </c>
      <c r="I727" t="s">
        <v>1535</v>
      </c>
      <c r="J727" t="s">
        <v>1566</v>
      </c>
      <c r="K727" t="s">
        <v>1525</v>
      </c>
      <c r="L727" s="2">
        <v>3</v>
      </c>
      <c r="M727" s="10">
        <v>1702</v>
      </c>
      <c r="N727" s="7">
        <v>5106</v>
      </c>
    </row>
    <row r="728" spans="1:14" x14ac:dyDescent="0.3">
      <c r="A728">
        <v>1248</v>
      </c>
      <c r="B728" s="1">
        <v>45598</v>
      </c>
      <c r="C728">
        <v>2024</v>
      </c>
      <c r="D728">
        <v>11</v>
      </c>
      <c r="E728" t="str">
        <f t="shared" si="11"/>
        <v>November</v>
      </c>
      <c r="F728">
        <v>4</v>
      </c>
      <c r="G728" t="s">
        <v>1529</v>
      </c>
      <c r="H728" t="s">
        <v>1530</v>
      </c>
      <c r="I728" t="s">
        <v>1535</v>
      </c>
      <c r="J728" t="s">
        <v>1566</v>
      </c>
      <c r="K728" t="s">
        <v>1525</v>
      </c>
      <c r="L728" s="2">
        <v>3</v>
      </c>
      <c r="M728" s="10">
        <v>1702</v>
      </c>
      <c r="N728" s="7">
        <v>5106</v>
      </c>
    </row>
    <row r="729" spans="1:14" x14ac:dyDescent="0.3">
      <c r="A729">
        <v>1249</v>
      </c>
      <c r="B729" s="1">
        <v>45047</v>
      </c>
      <c r="C729">
        <v>2023</v>
      </c>
      <c r="D729">
        <v>5</v>
      </c>
      <c r="E729" t="str">
        <f t="shared" si="11"/>
        <v>Mei</v>
      </c>
      <c r="F729">
        <v>2</v>
      </c>
      <c r="G729" t="s">
        <v>1532</v>
      </c>
      <c r="H729" t="s">
        <v>1512</v>
      </c>
      <c r="I729" t="s">
        <v>1516</v>
      </c>
      <c r="J729" t="s">
        <v>1517</v>
      </c>
      <c r="K729" t="s">
        <v>1514</v>
      </c>
      <c r="L729" s="2">
        <v>1</v>
      </c>
      <c r="M729" s="10">
        <v>10698</v>
      </c>
      <c r="N729" s="7">
        <v>10698</v>
      </c>
    </row>
    <row r="730" spans="1:14" x14ac:dyDescent="0.3">
      <c r="A730">
        <v>1250</v>
      </c>
      <c r="B730" s="1">
        <v>44602</v>
      </c>
      <c r="C730">
        <v>2022</v>
      </c>
      <c r="D730">
        <v>2</v>
      </c>
      <c r="E730" t="str">
        <f t="shared" si="11"/>
        <v>Februari</v>
      </c>
      <c r="F730">
        <v>1</v>
      </c>
      <c r="G730" t="s">
        <v>1533</v>
      </c>
      <c r="H730" t="s">
        <v>1520</v>
      </c>
      <c r="I730" t="s">
        <v>1516</v>
      </c>
      <c r="J730" t="s">
        <v>1566</v>
      </c>
      <c r="K730" t="s">
        <v>1518</v>
      </c>
      <c r="L730" s="2">
        <v>3</v>
      </c>
      <c r="M730" s="10">
        <v>468</v>
      </c>
      <c r="N730" s="7">
        <v>1404</v>
      </c>
    </row>
    <row r="731" spans="1:14" x14ac:dyDescent="0.3">
      <c r="A731">
        <v>1250</v>
      </c>
      <c r="B731" s="1">
        <v>45048</v>
      </c>
      <c r="C731">
        <v>2023</v>
      </c>
      <c r="D731">
        <v>5</v>
      </c>
      <c r="E731" t="str">
        <f t="shared" si="11"/>
        <v>Mei</v>
      </c>
      <c r="F731">
        <v>2</v>
      </c>
      <c r="G731" t="s">
        <v>1533</v>
      </c>
      <c r="H731" t="s">
        <v>1520</v>
      </c>
      <c r="I731" t="s">
        <v>1516</v>
      </c>
      <c r="J731" t="s">
        <v>1566</v>
      </c>
      <c r="K731" t="s">
        <v>1518</v>
      </c>
      <c r="L731" s="2">
        <v>3</v>
      </c>
      <c r="M731" s="10">
        <v>468</v>
      </c>
      <c r="N731" s="7">
        <v>1404</v>
      </c>
    </row>
    <row r="732" spans="1:14" x14ac:dyDescent="0.3">
      <c r="A732">
        <v>1250</v>
      </c>
      <c r="B732" s="1">
        <v>44707</v>
      </c>
      <c r="C732">
        <v>2022</v>
      </c>
      <c r="D732">
        <v>5</v>
      </c>
      <c r="E732" t="str">
        <f t="shared" si="11"/>
        <v>Mei</v>
      </c>
      <c r="F732">
        <v>2</v>
      </c>
      <c r="G732" t="s">
        <v>1533</v>
      </c>
      <c r="H732" t="s">
        <v>1520</v>
      </c>
      <c r="I732" t="s">
        <v>1516</v>
      </c>
      <c r="J732" t="s">
        <v>1566</v>
      </c>
      <c r="K732" t="s">
        <v>1518</v>
      </c>
      <c r="L732" s="2">
        <v>3</v>
      </c>
      <c r="M732" s="10">
        <v>468</v>
      </c>
      <c r="N732" s="7">
        <v>1404</v>
      </c>
    </row>
    <row r="733" spans="1:14" x14ac:dyDescent="0.3">
      <c r="A733">
        <v>1250</v>
      </c>
      <c r="B733" s="1">
        <v>44615</v>
      </c>
      <c r="C733">
        <v>2022</v>
      </c>
      <c r="D733">
        <v>2</v>
      </c>
      <c r="E733" t="str">
        <f t="shared" si="11"/>
        <v>Februari</v>
      </c>
      <c r="F733">
        <v>1</v>
      </c>
      <c r="G733" t="s">
        <v>1533</v>
      </c>
      <c r="H733" t="s">
        <v>1520</v>
      </c>
      <c r="I733" t="s">
        <v>1516</v>
      </c>
      <c r="J733" t="s">
        <v>1566</v>
      </c>
      <c r="K733" t="s">
        <v>1518</v>
      </c>
      <c r="L733" s="2">
        <v>3</v>
      </c>
      <c r="M733" s="10">
        <v>468</v>
      </c>
      <c r="N733" s="7">
        <v>1404</v>
      </c>
    </row>
    <row r="734" spans="1:14" x14ac:dyDescent="0.3">
      <c r="A734">
        <v>1251</v>
      </c>
      <c r="B734" s="1">
        <v>44565</v>
      </c>
      <c r="C734">
        <v>2022</v>
      </c>
      <c r="D734">
        <v>1</v>
      </c>
      <c r="E734" t="str">
        <f t="shared" si="11"/>
        <v>Januari</v>
      </c>
      <c r="F734">
        <v>1</v>
      </c>
      <c r="G734" t="s">
        <v>1511</v>
      </c>
      <c r="H734" t="s">
        <v>1512</v>
      </c>
      <c r="I734" t="s">
        <v>1521</v>
      </c>
      <c r="J734" t="s">
        <v>1517</v>
      </c>
      <c r="K734" t="s">
        <v>1525</v>
      </c>
      <c r="L734" s="2">
        <v>2</v>
      </c>
      <c r="M734" s="10">
        <v>57310</v>
      </c>
      <c r="N734" s="7">
        <v>114620</v>
      </c>
    </row>
    <row r="735" spans="1:14" x14ac:dyDescent="0.3">
      <c r="A735">
        <v>1251</v>
      </c>
      <c r="B735" s="1">
        <v>45062</v>
      </c>
      <c r="C735">
        <v>2023</v>
      </c>
      <c r="D735">
        <v>5</v>
      </c>
      <c r="E735" t="str">
        <f t="shared" si="11"/>
        <v>Mei</v>
      </c>
      <c r="F735">
        <v>2</v>
      </c>
      <c r="G735" t="s">
        <v>1511</v>
      </c>
      <c r="H735" t="s">
        <v>1512</v>
      </c>
      <c r="I735" t="s">
        <v>1521</v>
      </c>
      <c r="J735" t="s">
        <v>1517</v>
      </c>
      <c r="K735" t="s">
        <v>1525</v>
      </c>
      <c r="L735" s="2">
        <v>2</v>
      </c>
      <c r="M735" s="10">
        <v>57310</v>
      </c>
      <c r="N735" s="7">
        <v>114620</v>
      </c>
    </row>
    <row r="736" spans="1:14" x14ac:dyDescent="0.3">
      <c r="A736">
        <v>1251</v>
      </c>
      <c r="B736" s="1">
        <v>45170</v>
      </c>
      <c r="C736">
        <v>2023</v>
      </c>
      <c r="D736">
        <v>9</v>
      </c>
      <c r="E736" t="str">
        <f t="shared" si="11"/>
        <v>September</v>
      </c>
      <c r="F736">
        <v>3</v>
      </c>
      <c r="G736" t="s">
        <v>1511</v>
      </c>
      <c r="H736" t="s">
        <v>1512</v>
      </c>
      <c r="I736" t="s">
        <v>1521</v>
      </c>
      <c r="J736" t="s">
        <v>1517</v>
      </c>
      <c r="K736" t="s">
        <v>1525</v>
      </c>
      <c r="L736" s="2">
        <v>2</v>
      </c>
      <c r="M736" s="10">
        <v>57310</v>
      </c>
      <c r="N736" s="7">
        <v>114620</v>
      </c>
    </row>
    <row r="737" spans="1:14" x14ac:dyDescent="0.3">
      <c r="A737">
        <v>1251</v>
      </c>
      <c r="B737" s="1">
        <v>45097</v>
      </c>
      <c r="C737">
        <v>2023</v>
      </c>
      <c r="D737">
        <v>6</v>
      </c>
      <c r="E737" t="str">
        <f t="shared" si="11"/>
        <v>Juni</v>
      </c>
      <c r="F737">
        <v>2</v>
      </c>
      <c r="G737" t="s">
        <v>1511</v>
      </c>
      <c r="H737" t="s">
        <v>1512</v>
      </c>
      <c r="I737" t="s">
        <v>1521</v>
      </c>
      <c r="J737" t="s">
        <v>1517</v>
      </c>
      <c r="K737" t="s">
        <v>1525</v>
      </c>
      <c r="L737" s="2">
        <v>2</v>
      </c>
      <c r="M737" s="10">
        <v>57310</v>
      </c>
      <c r="N737" s="7">
        <v>114620</v>
      </c>
    </row>
    <row r="738" spans="1:14" x14ac:dyDescent="0.3">
      <c r="A738">
        <v>1252</v>
      </c>
      <c r="B738" s="1">
        <v>45351</v>
      </c>
      <c r="C738">
        <v>2024</v>
      </c>
      <c r="D738">
        <v>2</v>
      </c>
      <c r="E738" t="str">
        <f t="shared" si="11"/>
        <v>Februari</v>
      </c>
      <c r="F738">
        <v>1</v>
      </c>
      <c r="G738" t="s">
        <v>1515</v>
      </c>
      <c r="H738" t="s">
        <v>1512</v>
      </c>
      <c r="I738" t="s">
        <v>1535</v>
      </c>
      <c r="J738" t="s">
        <v>1517</v>
      </c>
      <c r="K738" t="s">
        <v>1525</v>
      </c>
      <c r="L738" s="2">
        <v>1</v>
      </c>
      <c r="M738" s="10">
        <v>1155</v>
      </c>
      <c r="N738" s="7">
        <v>1155</v>
      </c>
    </row>
    <row r="739" spans="1:14" x14ac:dyDescent="0.3">
      <c r="A739">
        <v>1252</v>
      </c>
      <c r="B739" s="1">
        <v>45624</v>
      </c>
      <c r="C739">
        <v>2024</v>
      </c>
      <c r="D739">
        <v>11</v>
      </c>
      <c r="E739" t="str">
        <f t="shared" si="11"/>
        <v>November</v>
      </c>
      <c r="F739">
        <v>4</v>
      </c>
      <c r="G739" t="s">
        <v>1515</v>
      </c>
      <c r="H739" t="s">
        <v>1512</v>
      </c>
      <c r="I739" t="s">
        <v>1535</v>
      </c>
      <c r="J739" t="s">
        <v>1517</v>
      </c>
      <c r="K739" t="s">
        <v>1525</v>
      </c>
      <c r="L739" s="2">
        <v>1</v>
      </c>
      <c r="M739" s="10">
        <v>1155</v>
      </c>
      <c r="N739" s="7">
        <v>1155</v>
      </c>
    </row>
    <row r="740" spans="1:14" x14ac:dyDescent="0.3">
      <c r="A740">
        <v>1252</v>
      </c>
      <c r="B740" s="1">
        <v>45429</v>
      </c>
      <c r="C740">
        <v>2024</v>
      </c>
      <c r="D740">
        <v>5</v>
      </c>
      <c r="E740" t="str">
        <f t="shared" si="11"/>
        <v>Mei</v>
      </c>
      <c r="F740">
        <v>2</v>
      </c>
      <c r="G740" t="s">
        <v>1515</v>
      </c>
      <c r="H740" t="s">
        <v>1512</v>
      </c>
      <c r="I740" t="s">
        <v>1535</v>
      </c>
      <c r="J740" t="s">
        <v>1517</v>
      </c>
      <c r="K740" t="s">
        <v>1525</v>
      </c>
      <c r="L740" s="2">
        <v>1</v>
      </c>
      <c r="M740" s="10">
        <v>1155</v>
      </c>
      <c r="N740" s="7">
        <v>1155</v>
      </c>
    </row>
    <row r="741" spans="1:14" x14ac:dyDescent="0.3">
      <c r="A741">
        <v>1252</v>
      </c>
      <c r="B741" s="1">
        <v>45082</v>
      </c>
      <c r="C741">
        <v>2023</v>
      </c>
      <c r="D741">
        <v>6</v>
      </c>
      <c r="E741" t="str">
        <f t="shared" si="11"/>
        <v>Juni</v>
      </c>
      <c r="F741">
        <v>2</v>
      </c>
      <c r="G741" t="s">
        <v>1515</v>
      </c>
      <c r="H741" t="s">
        <v>1512</v>
      </c>
      <c r="I741" t="s">
        <v>1535</v>
      </c>
      <c r="J741" t="s">
        <v>1517</v>
      </c>
      <c r="K741" t="s">
        <v>1525</v>
      </c>
      <c r="L741" s="2">
        <v>1</v>
      </c>
      <c r="M741" s="10">
        <v>1155</v>
      </c>
      <c r="N741" s="7">
        <v>1155</v>
      </c>
    </row>
    <row r="742" spans="1:14" x14ac:dyDescent="0.3">
      <c r="A742">
        <v>1252</v>
      </c>
      <c r="B742" s="1">
        <v>44607</v>
      </c>
      <c r="C742">
        <v>2022</v>
      </c>
      <c r="D742">
        <v>2</v>
      </c>
      <c r="E742" t="str">
        <f t="shared" si="11"/>
        <v>Februari</v>
      </c>
      <c r="F742">
        <v>1</v>
      </c>
      <c r="G742" t="s">
        <v>1515</v>
      </c>
      <c r="H742" t="s">
        <v>1512</v>
      </c>
      <c r="I742" t="s">
        <v>1535</v>
      </c>
      <c r="J742" t="s">
        <v>1517</v>
      </c>
      <c r="K742" t="s">
        <v>1525</v>
      </c>
      <c r="L742" s="2">
        <v>1</v>
      </c>
      <c r="M742" s="10">
        <v>1155</v>
      </c>
      <c r="N742" s="7">
        <v>1155</v>
      </c>
    </row>
    <row r="743" spans="1:14" x14ac:dyDescent="0.3">
      <c r="A743">
        <v>1254</v>
      </c>
      <c r="B743" s="1">
        <v>45255</v>
      </c>
      <c r="C743">
        <v>2023</v>
      </c>
      <c r="D743">
        <v>11</v>
      </c>
      <c r="E743" t="str">
        <f t="shared" si="11"/>
        <v>November</v>
      </c>
      <c r="F743">
        <v>4</v>
      </c>
      <c r="G743" t="s">
        <v>1519</v>
      </c>
      <c r="H743" t="s">
        <v>1520</v>
      </c>
      <c r="I743" t="s">
        <v>1521</v>
      </c>
      <c r="J743" t="s">
        <v>1524</v>
      </c>
      <c r="K743" t="s">
        <v>1525</v>
      </c>
      <c r="L743" s="2">
        <v>2</v>
      </c>
      <c r="M743" s="10">
        <v>11560</v>
      </c>
      <c r="N743" s="7">
        <v>23120</v>
      </c>
    </row>
    <row r="744" spans="1:14" x14ac:dyDescent="0.3">
      <c r="A744">
        <v>1254</v>
      </c>
      <c r="B744" s="1">
        <v>44878</v>
      </c>
      <c r="C744">
        <v>2022</v>
      </c>
      <c r="D744">
        <v>11</v>
      </c>
      <c r="E744" t="str">
        <f t="shared" si="11"/>
        <v>November</v>
      </c>
      <c r="F744">
        <v>4</v>
      </c>
      <c r="G744" t="s">
        <v>1519</v>
      </c>
      <c r="H744" t="s">
        <v>1520</v>
      </c>
      <c r="I744" t="s">
        <v>1521</v>
      </c>
      <c r="J744" t="s">
        <v>1524</v>
      </c>
      <c r="K744" t="s">
        <v>1525</v>
      </c>
      <c r="L744" s="2">
        <v>2</v>
      </c>
      <c r="M744" s="10">
        <v>11560</v>
      </c>
      <c r="N744" s="7">
        <v>23120</v>
      </c>
    </row>
    <row r="745" spans="1:14" x14ac:dyDescent="0.3">
      <c r="A745">
        <v>1254</v>
      </c>
      <c r="B745" s="1">
        <v>44732</v>
      </c>
      <c r="C745">
        <v>2022</v>
      </c>
      <c r="D745">
        <v>6</v>
      </c>
      <c r="E745" t="str">
        <f t="shared" si="11"/>
        <v>Juni</v>
      </c>
      <c r="F745">
        <v>2</v>
      </c>
      <c r="G745" t="s">
        <v>1519</v>
      </c>
      <c r="H745" t="s">
        <v>1520</v>
      </c>
      <c r="I745" t="s">
        <v>1521</v>
      </c>
      <c r="J745" t="s">
        <v>1524</v>
      </c>
      <c r="K745" t="s">
        <v>1525</v>
      </c>
      <c r="L745" s="2">
        <v>2</v>
      </c>
      <c r="M745" s="10">
        <v>11560</v>
      </c>
      <c r="N745" s="7">
        <v>23120</v>
      </c>
    </row>
    <row r="746" spans="1:14" x14ac:dyDescent="0.3">
      <c r="A746">
        <v>1254</v>
      </c>
      <c r="B746" s="1">
        <v>44656</v>
      </c>
      <c r="C746">
        <v>2022</v>
      </c>
      <c r="D746">
        <v>4</v>
      </c>
      <c r="E746" t="str">
        <f t="shared" si="11"/>
        <v>April</v>
      </c>
      <c r="F746">
        <v>2</v>
      </c>
      <c r="G746" t="s">
        <v>1519</v>
      </c>
      <c r="H746" t="s">
        <v>1520</v>
      </c>
      <c r="I746" t="s">
        <v>1521</v>
      </c>
      <c r="J746" t="s">
        <v>1524</v>
      </c>
      <c r="K746" t="s">
        <v>1525</v>
      </c>
      <c r="L746" s="2">
        <v>2</v>
      </c>
      <c r="M746" s="10">
        <v>11560</v>
      </c>
      <c r="N746" s="7">
        <v>23120</v>
      </c>
    </row>
    <row r="747" spans="1:14" x14ac:dyDescent="0.3">
      <c r="A747">
        <v>1254</v>
      </c>
      <c r="B747" s="1">
        <v>44883</v>
      </c>
      <c r="C747">
        <v>2022</v>
      </c>
      <c r="D747">
        <v>11</v>
      </c>
      <c r="E747" t="str">
        <f t="shared" si="11"/>
        <v>November</v>
      </c>
      <c r="F747">
        <v>4</v>
      </c>
      <c r="G747" t="s">
        <v>1519</v>
      </c>
      <c r="H747" t="s">
        <v>1520</v>
      </c>
      <c r="I747" t="s">
        <v>1521</v>
      </c>
      <c r="J747" t="s">
        <v>1524</v>
      </c>
      <c r="K747" t="s">
        <v>1525</v>
      </c>
      <c r="L747" s="2">
        <v>2</v>
      </c>
      <c r="M747" s="10">
        <v>11560</v>
      </c>
      <c r="N747" s="7">
        <v>23120</v>
      </c>
    </row>
    <row r="748" spans="1:14" x14ac:dyDescent="0.3">
      <c r="A748">
        <v>1255</v>
      </c>
      <c r="B748" s="1">
        <v>45355</v>
      </c>
      <c r="C748">
        <v>2024</v>
      </c>
      <c r="D748">
        <v>3</v>
      </c>
      <c r="E748" t="str">
        <f t="shared" si="11"/>
        <v>Maret</v>
      </c>
      <c r="F748">
        <v>1</v>
      </c>
      <c r="G748" t="s">
        <v>1522</v>
      </c>
      <c r="H748" t="s">
        <v>1520</v>
      </c>
      <c r="I748" t="s">
        <v>1521</v>
      </c>
      <c r="J748" t="s">
        <v>1517</v>
      </c>
      <c r="K748" t="s">
        <v>1518</v>
      </c>
      <c r="L748" s="2">
        <v>3</v>
      </c>
      <c r="M748" s="10">
        <v>457</v>
      </c>
      <c r="N748" s="7">
        <v>1371</v>
      </c>
    </row>
    <row r="749" spans="1:14" x14ac:dyDescent="0.3">
      <c r="A749">
        <v>1255</v>
      </c>
      <c r="B749" s="1">
        <v>45133</v>
      </c>
      <c r="C749">
        <v>2023</v>
      </c>
      <c r="D749">
        <v>7</v>
      </c>
      <c r="E749" t="str">
        <f t="shared" si="11"/>
        <v>Juli</v>
      </c>
      <c r="F749">
        <v>3</v>
      </c>
      <c r="G749" t="s">
        <v>1522</v>
      </c>
      <c r="H749" t="s">
        <v>1520</v>
      </c>
      <c r="I749" t="s">
        <v>1521</v>
      </c>
      <c r="J749" t="s">
        <v>1517</v>
      </c>
      <c r="K749" t="s">
        <v>1518</v>
      </c>
      <c r="L749" s="2">
        <v>3</v>
      </c>
      <c r="M749" s="10">
        <v>457</v>
      </c>
      <c r="N749" s="7">
        <v>1371</v>
      </c>
    </row>
    <row r="750" spans="1:14" x14ac:dyDescent="0.3">
      <c r="A750">
        <v>1255</v>
      </c>
      <c r="B750" s="1">
        <v>45317</v>
      </c>
      <c r="C750">
        <v>2024</v>
      </c>
      <c r="D750">
        <v>1</v>
      </c>
      <c r="E750" t="str">
        <f t="shared" si="11"/>
        <v>Januari</v>
      </c>
      <c r="F750">
        <v>1</v>
      </c>
      <c r="G750" t="s">
        <v>1522</v>
      </c>
      <c r="H750" t="s">
        <v>1520</v>
      </c>
      <c r="I750" t="s">
        <v>1521</v>
      </c>
      <c r="J750" t="s">
        <v>1517</v>
      </c>
      <c r="K750" t="s">
        <v>1518</v>
      </c>
      <c r="L750" s="2">
        <v>3</v>
      </c>
      <c r="M750" s="10">
        <v>457</v>
      </c>
      <c r="N750" s="7">
        <v>1371</v>
      </c>
    </row>
    <row r="751" spans="1:14" x14ac:dyDescent="0.3">
      <c r="A751">
        <v>1256</v>
      </c>
      <c r="B751" s="1">
        <v>45166</v>
      </c>
      <c r="C751">
        <v>2023</v>
      </c>
      <c r="D751">
        <v>8</v>
      </c>
      <c r="E751" t="str">
        <f t="shared" si="11"/>
        <v>Agustus</v>
      </c>
      <c r="F751">
        <v>3</v>
      </c>
      <c r="G751" t="s">
        <v>1523</v>
      </c>
      <c r="H751" t="s">
        <v>1512</v>
      </c>
      <c r="I751" t="s">
        <v>1535</v>
      </c>
      <c r="J751" t="s">
        <v>1517</v>
      </c>
      <c r="K751" t="s">
        <v>1514</v>
      </c>
      <c r="L751" s="2">
        <v>2</v>
      </c>
      <c r="M751" s="10">
        <v>22337</v>
      </c>
      <c r="N751" s="7">
        <v>44674</v>
      </c>
    </row>
    <row r="752" spans="1:14" x14ac:dyDescent="0.3">
      <c r="A752">
        <v>1256</v>
      </c>
      <c r="B752" s="1">
        <v>44853</v>
      </c>
      <c r="C752">
        <v>2022</v>
      </c>
      <c r="D752">
        <v>10</v>
      </c>
      <c r="E752" t="str">
        <f t="shared" si="11"/>
        <v>Oktober</v>
      </c>
      <c r="F752">
        <v>4</v>
      </c>
      <c r="G752" t="s">
        <v>1523</v>
      </c>
      <c r="H752" t="s">
        <v>1512</v>
      </c>
      <c r="I752" t="s">
        <v>1535</v>
      </c>
      <c r="J752" t="s">
        <v>1517</v>
      </c>
      <c r="K752" t="s">
        <v>1514</v>
      </c>
      <c r="L752" s="2">
        <v>2</v>
      </c>
      <c r="M752" s="10">
        <v>22337</v>
      </c>
      <c r="N752" s="7">
        <v>44674</v>
      </c>
    </row>
    <row r="753" spans="1:14" x14ac:dyDescent="0.3">
      <c r="A753">
        <v>1256</v>
      </c>
      <c r="B753" s="1">
        <v>45405</v>
      </c>
      <c r="C753">
        <v>2024</v>
      </c>
      <c r="D753">
        <v>4</v>
      </c>
      <c r="E753" t="str">
        <f t="shared" si="11"/>
        <v>April</v>
      </c>
      <c r="F753">
        <v>2</v>
      </c>
      <c r="G753" t="s">
        <v>1523</v>
      </c>
      <c r="H753" t="s">
        <v>1512</v>
      </c>
      <c r="I753" t="s">
        <v>1535</v>
      </c>
      <c r="J753" t="s">
        <v>1517</v>
      </c>
      <c r="K753" t="s">
        <v>1514</v>
      </c>
      <c r="L753" s="2">
        <v>2</v>
      </c>
      <c r="M753" s="10">
        <v>22337</v>
      </c>
      <c r="N753" s="7">
        <v>44674</v>
      </c>
    </row>
    <row r="754" spans="1:14" x14ac:dyDescent="0.3">
      <c r="A754">
        <v>1257</v>
      </c>
      <c r="B754" s="1">
        <v>45188</v>
      </c>
      <c r="C754">
        <v>2023</v>
      </c>
      <c r="D754">
        <v>9</v>
      </c>
      <c r="E754" t="str">
        <f t="shared" si="11"/>
        <v>September</v>
      </c>
      <c r="F754">
        <v>3</v>
      </c>
      <c r="G754" t="s">
        <v>1526</v>
      </c>
      <c r="H754" t="s">
        <v>1527</v>
      </c>
      <c r="I754" t="s">
        <v>1535</v>
      </c>
      <c r="J754" t="s">
        <v>1524</v>
      </c>
      <c r="K754" t="s">
        <v>1525</v>
      </c>
      <c r="L754" s="2">
        <v>5</v>
      </c>
      <c r="M754" s="10">
        <v>379</v>
      </c>
      <c r="N754" s="7">
        <v>1895</v>
      </c>
    </row>
    <row r="755" spans="1:14" x14ac:dyDescent="0.3">
      <c r="A755">
        <v>1257</v>
      </c>
      <c r="B755" s="1">
        <v>44787</v>
      </c>
      <c r="C755">
        <v>2022</v>
      </c>
      <c r="D755">
        <v>8</v>
      </c>
      <c r="E755" t="str">
        <f t="shared" si="11"/>
        <v>Agustus</v>
      </c>
      <c r="F755">
        <v>3</v>
      </c>
      <c r="G755" t="s">
        <v>1526</v>
      </c>
      <c r="H755" t="s">
        <v>1527</v>
      </c>
      <c r="I755" t="s">
        <v>1535</v>
      </c>
      <c r="J755" t="s">
        <v>1524</v>
      </c>
      <c r="K755" t="s">
        <v>1525</v>
      </c>
      <c r="L755" s="2">
        <v>5</v>
      </c>
      <c r="M755" s="10">
        <v>379</v>
      </c>
      <c r="N755" s="7">
        <v>1895</v>
      </c>
    </row>
    <row r="756" spans="1:14" x14ac:dyDescent="0.3">
      <c r="A756">
        <v>1257</v>
      </c>
      <c r="B756" s="1">
        <v>45007</v>
      </c>
      <c r="C756">
        <v>2023</v>
      </c>
      <c r="D756">
        <v>3</v>
      </c>
      <c r="E756" t="str">
        <f t="shared" si="11"/>
        <v>Maret</v>
      </c>
      <c r="F756">
        <v>1</v>
      </c>
      <c r="G756" t="s">
        <v>1526</v>
      </c>
      <c r="H756" t="s">
        <v>1527</v>
      </c>
      <c r="I756" t="s">
        <v>1535</v>
      </c>
      <c r="J756" t="s">
        <v>1524</v>
      </c>
      <c r="K756" t="s">
        <v>1525</v>
      </c>
      <c r="L756" s="2">
        <v>5</v>
      </c>
      <c r="M756" s="10">
        <v>379</v>
      </c>
      <c r="N756" s="7">
        <v>1895</v>
      </c>
    </row>
    <row r="757" spans="1:14" x14ac:dyDescent="0.3">
      <c r="A757">
        <v>1259</v>
      </c>
      <c r="B757" s="1">
        <v>44822</v>
      </c>
      <c r="C757">
        <v>2022</v>
      </c>
      <c r="D757">
        <v>9</v>
      </c>
      <c r="E757" t="str">
        <f t="shared" si="11"/>
        <v>September</v>
      </c>
      <c r="F757">
        <v>3</v>
      </c>
      <c r="G757" t="s">
        <v>1532</v>
      </c>
      <c r="H757" t="s">
        <v>1512</v>
      </c>
      <c r="I757" t="s">
        <v>1528</v>
      </c>
      <c r="J757" t="s">
        <v>1517</v>
      </c>
      <c r="K757" t="s">
        <v>1518</v>
      </c>
      <c r="L757" s="2">
        <v>2</v>
      </c>
      <c r="M757" s="10">
        <v>13263</v>
      </c>
      <c r="N757" s="7">
        <v>26526</v>
      </c>
    </row>
    <row r="758" spans="1:14" x14ac:dyDescent="0.3">
      <c r="A758">
        <v>1259</v>
      </c>
      <c r="B758" s="1">
        <v>44995</v>
      </c>
      <c r="C758">
        <v>2023</v>
      </c>
      <c r="D758">
        <v>3</v>
      </c>
      <c r="E758" t="str">
        <f t="shared" si="11"/>
        <v>Maret</v>
      </c>
      <c r="F758">
        <v>1</v>
      </c>
      <c r="G758" t="s">
        <v>1532</v>
      </c>
      <c r="H758" t="s">
        <v>1512</v>
      </c>
      <c r="I758" t="s">
        <v>1528</v>
      </c>
      <c r="J758" t="s">
        <v>1517</v>
      </c>
      <c r="K758" t="s">
        <v>1518</v>
      </c>
      <c r="L758" s="2">
        <v>2</v>
      </c>
      <c r="M758" s="10">
        <v>13263</v>
      </c>
      <c r="N758" s="7">
        <v>26526</v>
      </c>
    </row>
    <row r="759" spans="1:14" x14ac:dyDescent="0.3">
      <c r="A759">
        <v>1260</v>
      </c>
      <c r="B759" s="1">
        <v>44693</v>
      </c>
      <c r="C759">
        <v>2022</v>
      </c>
      <c r="D759">
        <v>5</v>
      </c>
      <c r="E759" t="str">
        <f t="shared" si="11"/>
        <v>Mei</v>
      </c>
      <c r="F759">
        <v>2</v>
      </c>
      <c r="G759" t="s">
        <v>1533</v>
      </c>
      <c r="H759" t="s">
        <v>1520</v>
      </c>
      <c r="I759" t="s">
        <v>1521</v>
      </c>
      <c r="J759" t="s">
        <v>1566</v>
      </c>
      <c r="K759" t="s">
        <v>1518</v>
      </c>
      <c r="L759" s="2">
        <v>4</v>
      </c>
      <c r="M759" s="10">
        <v>503</v>
      </c>
      <c r="N759" s="7">
        <v>2012</v>
      </c>
    </row>
    <row r="760" spans="1:14" x14ac:dyDescent="0.3">
      <c r="A760">
        <v>1260</v>
      </c>
      <c r="B760" s="1">
        <v>45282</v>
      </c>
      <c r="C760">
        <v>2023</v>
      </c>
      <c r="D760">
        <v>12</v>
      </c>
      <c r="E760" t="str">
        <f t="shared" si="11"/>
        <v>Desember</v>
      </c>
      <c r="F760">
        <v>4</v>
      </c>
      <c r="G760" t="s">
        <v>1533</v>
      </c>
      <c r="H760" t="s">
        <v>1520</v>
      </c>
      <c r="I760" t="s">
        <v>1521</v>
      </c>
      <c r="J760" t="s">
        <v>1566</v>
      </c>
      <c r="K760" t="s">
        <v>1518</v>
      </c>
      <c r="L760" s="2">
        <v>4</v>
      </c>
      <c r="M760" s="10">
        <v>503</v>
      </c>
      <c r="N760" s="7">
        <v>2012</v>
      </c>
    </row>
    <row r="761" spans="1:14" x14ac:dyDescent="0.3">
      <c r="A761">
        <v>1260</v>
      </c>
      <c r="B761" s="1">
        <v>45035</v>
      </c>
      <c r="C761">
        <v>2023</v>
      </c>
      <c r="D761">
        <v>4</v>
      </c>
      <c r="E761" t="str">
        <f t="shared" si="11"/>
        <v>April</v>
      </c>
      <c r="F761">
        <v>2</v>
      </c>
      <c r="G761" t="s">
        <v>1533</v>
      </c>
      <c r="H761" t="s">
        <v>1520</v>
      </c>
      <c r="I761" t="s">
        <v>1521</v>
      </c>
      <c r="J761" t="s">
        <v>1566</v>
      </c>
      <c r="K761" t="s">
        <v>1518</v>
      </c>
      <c r="L761" s="2">
        <v>4</v>
      </c>
      <c r="M761" s="10">
        <v>503</v>
      </c>
      <c r="N761" s="7">
        <v>2012</v>
      </c>
    </row>
    <row r="762" spans="1:14" x14ac:dyDescent="0.3">
      <c r="A762">
        <v>1260</v>
      </c>
      <c r="B762" s="1">
        <v>44865</v>
      </c>
      <c r="C762">
        <v>2022</v>
      </c>
      <c r="D762">
        <v>10</v>
      </c>
      <c r="E762" t="str">
        <f t="shared" si="11"/>
        <v>Oktober</v>
      </c>
      <c r="F762">
        <v>4</v>
      </c>
      <c r="G762" t="s">
        <v>1533</v>
      </c>
      <c r="H762" t="s">
        <v>1520</v>
      </c>
      <c r="I762" t="s">
        <v>1521</v>
      </c>
      <c r="J762" t="s">
        <v>1566</v>
      </c>
      <c r="K762" t="s">
        <v>1518</v>
      </c>
      <c r="L762" s="2">
        <v>4</v>
      </c>
      <c r="M762" s="10">
        <v>503</v>
      </c>
      <c r="N762" s="7">
        <v>2012</v>
      </c>
    </row>
    <row r="763" spans="1:14" x14ac:dyDescent="0.3">
      <c r="A763">
        <v>1261</v>
      </c>
      <c r="B763" s="1">
        <v>45463</v>
      </c>
      <c r="C763">
        <v>2024</v>
      </c>
      <c r="D763">
        <v>6</v>
      </c>
      <c r="E763" t="str">
        <f t="shared" si="11"/>
        <v>Juni</v>
      </c>
      <c r="F763">
        <v>2</v>
      </c>
      <c r="G763" t="s">
        <v>1511</v>
      </c>
      <c r="H763" t="s">
        <v>1512</v>
      </c>
      <c r="I763" t="s">
        <v>1513</v>
      </c>
      <c r="J763" t="s">
        <v>1566</v>
      </c>
      <c r="K763" t="s">
        <v>1514</v>
      </c>
      <c r="L763" s="2">
        <v>1</v>
      </c>
      <c r="M763" s="10">
        <v>53499</v>
      </c>
      <c r="N763" s="7">
        <v>53499</v>
      </c>
    </row>
    <row r="764" spans="1:14" x14ac:dyDescent="0.3">
      <c r="A764">
        <v>1261</v>
      </c>
      <c r="B764" s="1">
        <v>45446</v>
      </c>
      <c r="C764">
        <v>2024</v>
      </c>
      <c r="D764">
        <v>6</v>
      </c>
      <c r="E764" t="str">
        <f t="shared" si="11"/>
        <v>Juni</v>
      </c>
      <c r="F764">
        <v>2</v>
      </c>
      <c r="G764" t="s">
        <v>1511</v>
      </c>
      <c r="H764" t="s">
        <v>1512</v>
      </c>
      <c r="I764" t="s">
        <v>1513</v>
      </c>
      <c r="J764" t="s">
        <v>1566</v>
      </c>
      <c r="K764" t="s">
        <v>1514</v>
      </c>
      <c r="L764" s="2">
        <v>1</v>
      </c>
      <c r="M764" s="10">
        <v>53499</v>
      </c>
      <c r="N764" s="7">
        <v>53499</v>
      </c>
    </row>
    <row r="765" spans="1:14" x14ac:dyDescent="0.3">
      <c r="A765">
        <v>1261</v>
      </c>
      <c r="B765" s="1">
        <v>45081</v>
      </c>
      <c r="C765">
        <v>2023</v>
      </c>
      <c r="D765">
        <v>6</v>
      </c>
      <c r="E765" t="str">
        <f t="shared" si="11"/>
        <v>Juni</v>
      </c>
      <c r="F765">
        <v>2</v>
      </c>
      <c r="G765" t="s">
        <v>1511</v>
      </c>
      <c r="H765" t="s">
        <v>1512</v>
      </c>
      <c r="I765" t="s">
        <v>1513</v>
      </c>
      <c r="J765" t="s">
        <v>1566</v>
      </c>
      <c r="K765" t="s">
        <v>1514</v>
      </c>
      <c r="L765" s="2">
        <v>1</v>
      </c>
      <c r="M765" s="10">
        <v>53499</v>
      </c>
      <c r="N765" s="7">
        <v>53499</v>
      </c>
    </row>
    <row r="766" spans="1:14" x14ac:dyDescent="0.3">
      <c r="A766">
        <v>1261</v>
      </c>
      <c r="B766" s="1">
        <v>44655</v>
      </c>
      <c r="C766">
        <v>2022</v>
      </c>
      <c r="D766">
        <v>4</v>
      </c>
      <c r="E766" t="str">
        <f t="shared" si="11"/>
        <v>April</v>
      </c>
      <c r="F766">
        <v>2</v>
      </c>
      <c r="G766" t="s">
        <v>1511</v>
      </c>
      <c r="H766" t="s">
        <v>1512</v>
      </c>
      <c r="I766" t="s">
        <v>1513</v>
      </c>
      <c r="J766" t="s">
        <v>1566</v>
      </c>
      <c r="K766" t="s">
        <v>1514</v>
      </c>
      <c r="L766" s="2">
        <v>1</v>
      </c>
      <c r="M766" s="10">
        <v>53499</v>
      </c>
      <c r="N766" s="7">
        <v>53499</v>
      </c>
    </row>
    <row r="767" spans="1:14" x14ac:dyDescent="0.3">
      <c r="A767">
        <v>1261</v>
      </c>
      <c r="B767" s="1">
        <v>45106</v>
      </c>
      <c r="C767">
        <v>2023</v>
      </c>
      <c r="D767">
        <v>6</v>
      </c>
      <c r="E767" t="str">
        <f t="shared" si="11"/>
        <v>Juni</v>
      </c>
      <c r="F767">
        <v>2</v>
      </c>
      <c r="G767" t="s">
        <v>1511</v>
      </c>
      <c r="H767" t="s">
        <v>1512</v>
      </c>
      <c r="I767" t="s">
        <v>1513</v>
      </c>
      <c r="J767" t="s">
        <v>1566</v>
      </c>
      <c r="K767" t="s">
        <v>1514</v>
      </c>
      <c r="L767" s="2">
        <v>1</v>
      </c>
      <c r="M767" s="10">
        <v>53499</v>
      </c>
      <c r="N767" s="7">
        <v>53499</v>
      </c>
    </row>
    <row r="768" spans="1:14" x14ac:dyDescent="0.3">
      <c r="A768">
        <v>1262</v>
      </c>
      <c r="B768" s="1">
        <v>44856</v>
      </c>
      <c r="C768">
        <v>2022</v>
      </c>
      <c r="D768">
        <v>10</v>
      </c>
      <c r="E768" t="str">
        <f t="shared" si="11"/>
        <v>Oktober</v>
      </c>
      <c r="F768">
        <v>4</v>
      </c>
      <c r="G768" t="s">
        <v>1515</v>
      </c>
      <c r="H768" t="s">
        <v>1512</v>
      </c>
      <c r="I768" t="s">
        <v>1531</v>
      </c>
      <c r="J768" t="s">
        <v>1566</v>
      </c>
      <c r="K768" t="s">
        <v>1518</v>
      </c>
      <c r="L768" s="2">
        <v>1</v>
      </c>
      <c r="M768" s="10">
        <v>3910</v>
      </c>
      <c r="N768" s="7">
        <v>3910</v>
      </c>
    </row>
    <row r="769" spans="1:14" x14ac:dyDescent="0.3">
      <c r="A769">
        <v>1262</v>
      </c>
      <c r="B769" s="1">
        <v>45331</v>
      </c>
      <c r="C769">
        <v>2024</v>
      </c>
      <c r="D769">
        <v>2</v>
      </c>
      <c r="E769" t="str">
        <f t="shared" si="11"/>
        <v>Februari</v>
      </c>
      <c r="F769">
        <v>1</v>
      </c>
      <c r="G769" t="s">
        <v>1515</v>
      </c>
      <c r="H769" t="s">
        <v>1512</v>
      </c>
      <c r="I769" t="s">
        <v>1531</v>
      </c>
      <c r="J769" t="s">
        <v>1566</v>
      </c>
      <c r="K769" t="s">
        <v>1518</v>
      </c>
      <c r="L769" s="2">
        <v>1</v>
      </c>
      <c r="M769" s="10">
        <v>3910</v>
      </c>
      <c r="N769" s="7">
        <v>3910</v>
      </c>
    </row>
    <row r="770" spans="1:14" x14ac:dyDescent="0.3">
      <c r="A770">
        <v>1262</v>
      </c>
      <c r="B770" s="1">
        <v>44773</v>
      </c>
      <c r="C770">
        <v>2022</v>
      </c>
      <c r="D770">
        <v>7</v>
      </c>
      <c r="E770" t="str">
        <f t="shared" si="11"/>
        <v>Juli</v>
      </c>
      <c r="F770">
        <v>3</v>
      </c>
      <c r="G770" t="s">
        <v>1515</v>
      </c>
      <c r="H770" t="s">
        <v>1512</v>
      </c>
      <c r="I770" t="s">
        <v>1531</v>
      </c>
      <c r="J770" t="s">
        <v>1566</v>
      </c>
      <c r="K770" t="s">
        <v>1518</v>
      </c>
      <c r="L770" s="2">
        <v>1</v>
      </c>
      <c r="M770" s="10">
        <v>3910</v>
      </c>
      <c r="N770" s="7">
        <v>3910</v>
      </c>
    </row>
    <row r="771" spans="1:14" x14ac:dyDescent="0.3">
      <c r="A771">
        <v>1262</v>
      </c>
      <c r="B771" s="1">
        <v>45275</v>
      </c>
      <c r="C771">
        <v>2023</v>
      </c>
      <c r="D771">
        <v>12</v>
      </c>
      <c r="E771" t="str">
        <f t="shared" ref="E771:E834" si="12">TEXT(DATE(2026, D771, 1), "[$-id-ID]mmmm")</f>
        <v>Desember</v>
      </c>
      <c r="F771">
        <v>4</v>
      </c>
      <c r="G771" t="s">
        <v>1515</v>
      </c>
      <c r="H771" t="s">
        <v>1512</v>
      </c>
      <c r="I771" t="s">
        <v>1531</v>
      </c>
      <c r="J771" t="s">
        <v>1566</v>
      </c>
      <c r="K771" t="s">
        <v>1518</v>
      </c>
      <c r="L771" s="2">
        <v>1</v>
      </c>
      <c r="M771" s="10">
        <v>3910</v>
      </c>
      <c r="N771" s="7">
        <v>3910</v>
      </c>
    </row>
    <row r="772" spans="1:14" x14ac:dyDescent="0.3">
      <c r="A772">
        <v>1262</v>
      </c>
      <c r="B772" s="1">
        <v>44879</v>
      </c>
      <c r="C772">
        <v>2022</v>
      </c>
      <c r="D772">
        <v>11</v>
      </c>
      <c r="E772" t="str">
        <f t="shared" si="12"/>
        <v>November</v>
      </c>
      <c r="F772">
        <v>4</v>
      </c>
      <c r="G772" t="s">
        <v>1515</v>
      </c>
      <c r="H772" t="s">
        <v>1512</v>
      </c>
      <c r="I772" t="s">
        <v>1531</v>
      </c>
      <c r="J772" t="s">
        <v>1566</v>
      </c>
      <c r="K772" t="s">
        <v>1518</v>
      </c>
      <c r="L772" s="2">
        <v>1</v>
      </c>
      <c r="M772" s="10">
        <v>3910</v>
      </c>
      <c r="N772" s="7">
        <v>3910</v>
      </c>
    </row>
    <row r="773" spans="1:14" x14ac:dyDescent="0.3">
      <c r="A773">
        <v>1263</v>
      </c>
      <c r="B773" s="1">
        <v>44565</v>
      </c>
      <c r="C773">
        <v>2022</v>
      </c>
      <c r="D773">
        <v>1</v>
      </c>
      <c r="E773" t="str">
        <f t="shared" si="12"/>
        <v>Januari</v>
      </c>
      <c r="F773">
        <v>1</v>
      </c>
      <c r="G773" t="s">
        <v>1534</v>
      </c>
      <c r="H773" t="s">
        <v>1530</v>
      </c>
      <c r="I773" t="s">
        <v>1528</v>
      </c>
      <c r="J773" t="s">
        <v>1524</v>
      </c>
      <c r="K773" t="s">
        <v>1514</v>
      </c>
      <c r="L773" s="2">
        <v>1</v>
      </c>
      <c r="M773" s="10">
        <v>3590</v>
      </c>
      <c r="N773" s="7">
        <v>3590</v>
      </c>
    </row>
    <row r="774" spans="1:14" x14ac:dyDescent="0.3">
      <c r="A774">
        <v>1263</v>
      </c>
      <c r="B774" s="1">
        <v>45479</v>
      </c>
      <c r="C774">
        <v>2024</v>
      </c>
      <c r="D774">
        <v>7</v>
      </c>
      <c r="E774" t="str">
        <f t="shared" si="12"/>
        <v>Juli</v>
      </c>
      <c r="F774">
        <v>3</v>
      </c>
      <c r="G774" t="s">
        <v>1534</v>
      </c>
      <c r="H774" t="s">
        <v>1530</v>
      </c>
      <c r="I774" t="s">
        <v>1528</v>
      </c>
      <c r="J774" t="s">
        <v>1524</v>
      </c>
      <c r="K774" t="s">
        <v>1514</v>
      </c>
      <c r="L774" s="2">
        <v>1</v>
      </c>
      <c r="M774" s="10">
        <v>3590</v>
      </c>
      <c r="N774" s="7">
        <v>3590</v>
      </c>
    </row>
    <row r="775" spans="1:14" x14ac:dyDescent="0.3">
      <c r="A775">
        <v>1263</v>
      </c>
      <c r="B775" s="1">
        <v>44936</v>
      </c>
      <c r="C775">
        <v>2023</v>
      </c>
      <c r="D775">
        <v>1</v>
      </c>
      <c r="E775" t="str">
        <f t="shared" si="12"/>
        <v>Januari</v>
      </c>
      <c r="F775">
        <v>1</v>
      </c>
      <c r="G775" t="s">
        <v>1534</v>
      </c>
      <c r="H775" t="s">
        <v>1530</v>
      </c>
      <c r="I775" t="s">
        <v>1528</v>
      </c>
      <c r="J775" t="s">
        <v>1524</v>
      </c>
      <c r="K775" t="s">
        <v>1514</v>
      </c>
      <c r="L775" s="2">
        <v>1</v>
      </c>
      <c r="M775" s="10">
        <v>3590</v>
      </c>
      <c r="N775" s="7">
        <v>3590</v>
      </c>
    </row>
    <row r="776" spans="1:14" x14ac:dyDescent="0.3">
      <c r="A776">
        <v>1263</v>
      </c>
      <c r="B776" s="1">
        <v>45348</v>
      </c>
      <c r="C776">
        <v>2024</v>
      </c>
      <c r="D776">
        <v>2</v>
      </c>
      <c r="E776" t="str">
        <f t="shared" si="12"/>
        <v>Februari</v>
      </c>
      <c r="F776">
        <v>1</v>
      </c>
      <c r="G776" t="s">
        <v>1534</v>
      </c>
      <c r="H776" t="s">
        <v>1530</v>
      </c>
      <c r="I776" t="s">
        <v>1528</v>
      </c>
      <c r="J776" t="s">
        <v>1524</v>
      </c>
      <c r="K776" t="s">
        <v>1514</v>
      </c>
      <c r="L776" s="2">
        <v>1</v>
      </c>
      <c r="M776" s="10">
        <v>3590</v>
      </c>
      <c r="N776" s="7">
        <v>3590</v>
      </c>
    </row>
    <row r="777" spans="1:14" x14ac:dyDescent="0.3">
      <c r="A777">
        <v>1264</v>
      </c>
      <c r="B777" s="1">
        <v>45575</v>
      </c>
      <c r="C777">
        <v>2024</v>
      </c>
      <c r="D777">
        <v>10</v>
      </c>
      <c r="E777" t="str">
        <f t="shared" si="12"/>
        <v>Oktober</v>
      </c>
      <c r="F777">
        <v>4</v>
      </c>
      <c r="G777" t="s">
        <v>1519</v>
      </c>
      <c r="H777" t="s">
        <v>1520</v>
      </c>
      <c r="I777" t="s">
        <v>1531</v>
      </c>
      <c r="J777" t="s">
        <v>1524</v>
      </c>
      <c r="K777" t="s">
        <v>1518</v>
      </c>
      <c r="L777" s="2">
        <v>5</v>
      </c>
      <c r="M777" s="10">
        <v>4354</v>
      </c>
      <c r="N777" s="7">
        <v>21770</v>
      </c>
    </row>
    <row r="778" spans="1:14" x14ac:dyDescent="0.3">
      <c r="A778">
        <v>1264</v>
      </c>
      <c r="B778" s="1">
        <v>44669</v>
      </c>
      <c r="C778">
        <v>2022</v>
      </c>
      <c r="D778">
        <v>4</v>
      </c>
      <c r="E778" t="str">
        <f t="shared" si="12"/>
        <v>April</v>
      </c>
      <c r="F778">
        <v>2</v>
      </c>
      <c r="G778" t="s">
        <v>1519</v>
      </c>
      <c r="H778" t="s">
        <v>1520</v>
      </c>
      <c r="I778" t="s">
        <v>1531</v>
      </c>
      <c r="J778" t="s">
        <v>1524</v>
      </c>
      <c r="K778" t="s">
        <v>1518</v>
      </c>
      <c r="L778" s="2">
        <v>5</v>
      </c>
      <c r="M778" s="10">
        <v>4354</v>
      </c>
      <c r="N778" s="7">
        <v>21770</v>
      </c>
    </row>
    <row r="779" spans="1:14" x14ac:dyDescent="0.3">
      <c r="A779">
        <v>1264</v>
      </c>
      <c r="B779" s="1">
        <v>45529</v>
      </c>
      <c r="C779">
        <v>2024</v>
      </c>
      <c r="D779">
        <v>8</v>
      </c>
      <c r="E779" t="str">
        <f t="shared" si="12"/>
        <v>Agustus</v>
      </c>
      <c r="F779">
        <v>3</v>
      </c>
      <c r="G779" t="s">
        <v>1519</v>
      </c>
      <c r="H779" t="s">
        <v>1520</v>
      </c>
      <c r="I779" t="s">
        <v>1531</v>
      </c>
      <c r="J779" t="s">
        <v>1524</v>
      </c>
      <c r="K779" t="s">
        <v>1518</v>
      </c>
      <c r="L779" s="2">
        <v>5</v>
      </c>
      <c r="M779" s="10">
        <v>4354</v>
      </c>
      <c r="N779" s="7">
        <v>21770</v>
      </c>
    </row>
    <row r="780" spans="1:14" x14ac:dyDescent="0.3">
      <c r="A780">
        <v>1265</v>
      </c>
      <c r="B780" s="1">
        <v>44869</v>
      </c>
      <c r="C780">
        <v>2022</v>
      </c>
      <c r="D780">
        <v>11</v>
      </c>
      <c r="E780" t="str">
        <f t="shared" si="12"/>
        <v>November</v>
      </c>
      <c r="F780">
        <v>4</v>
      </c>
      <c r="G780" t="s">
        <v>1522</v>
      </c>
      <c r="H780" t="s">
        <v>1520</v>
      </c>
      <c r="I780" t="s">
        <v>1513</v>
      </c>
      <c r="J780" t="s">
        <v>1566</v>
      </c>
      <c r="K780" t="s">
        <v>1514</v>
      </c>
      <c r="L780" s="2">
        <v>1</v>
      </c>
      <c r="M780" s="10">
        <v>878</v>
      </c>
      <c r="N780" s="7">
        <v>878</v>
      </c>
    </row>
    <row r="781" spans="1:14" x14ac:dyDescent="0.3">
      <c r="A781">
        <v>1265</v>
      </c>
      <c r="B781" s="1">
        <v>44783</v>
      </c>
      <c r="C781">
        <v>2022</v>
      </c>
      <c r="D781">
        <v>8</v>
      </c>
      <c r="E781" t="str">
        <f t="shared" si="12"/>
        <v>Agustus</v>
      </c>
      <c r="F781">
        <v>3</v>
      </c>
      <c r="G781" t="s">
        <v>1522</v>
      </c>
      <c r="H781" t="s">
        <v>1520</v>
      </c>
      <c r="I781" t="s">
        <v>1513</v>
      </c>
      <c r="J781" t="s">
        <v>1566</v>
      </c>
      <c r="K781" t="s">
        <v>1514</v>
      </c>
      <c r="L781" s="2">
        <v>1</v>
      </c>
      <c r="M781" s="10">
        <v>878</v>
      </c>
      <c r="N781" s="7">
        <v>878</v>
      </c>
    </row>
    <row r="782" spans="1:14" x14ac:dyDescent="0.3">
      <c r="A782">
        <v>1265</v>
      </c>
      <c r="B782" s="1">
        <v>44631</v>
      </c>
      <c r="C782">
        <v>2022</v>
      </c>
      <c r="D782">
        <v>3</v>
      </c>
      <c r="E782" t="str">
        <f t="shared" si="12"/>
        <v>Maret</v>
      </c>
      <c r="F782">
        <v>1</v>
      </c>
      <c r="G782" t="s">
        <v>1522</v>
      </c>
      <c r="H782" t="s">
        <v>1520</v>
      </c>
      <c r="I782" t="s">
        <v>1513</v>
      </c>
      <c r="J782" t="s">
        <v>1566</v>
      </c>
      <c r="K782" t="s">
        <v>1514</v>
      </c>
      <c r="L782" s="2">
        <v>1</v>
      </c>
      <c r="M782" s="10">
        <v>878</v>
      </c>
      <c r="N782" s="7">
        <v>878</v>
      </c>
    </row>
    <row r="783" spans="1:14" x14ac:dyDescent="0.3">
      <c r="A783">
        <v>1265</v>
      </c>
      <c r="B783" s="1">
        <v>45644</v>
      </c>
      <c r="C783">
        <v>2024</v>
      </c>
      <c r="D783">
        <v>12</v>
      </c>
      <c r="E783" t="str">
        <f t="shared" si="12"/>
        <v>Desember</v>
      </c>
      <c r="F783">
        <v>4</v>
      </c>
      <c r="G783" t="s">
        <v>1522</v>
      </c>
      <c r="H783" t="s">
        <v>1520</v>
      </c>
      <c r="I783" t="s">
        <v>1513</v>
      </c>
      <c r="J783" t="s">
        <v>1566</v>
      </c>
      <c r="K783" t="s">
        <v>1514</v>
      </c>
      <c r="L783" s="2">
        <v>1</v>
      </c>
      <c r="M783" s="10">
        <v>878</v>
      </c>
      <c r="N783" s="7">
        <v>878</v>
      </c>
    </row>
    <row r="784" spans="1:14" x14ac:dyDescent="0.3">
      <c r="A784">
        <v>1266</v>
      </c>
      <c r="B784" s="1">
        <v>45577</v>
      </c>
      <c r="C784">
        <v>2024</v>
      </c>
      <c r="D784">
        <v>10</v>
      </c>
      <c r="E784" t="str">
        <f t="shared" si="12"/>
        <v>Oktober</v>
      </c>
      <c r="F784">
        <v>4</v>
      </c>
      <c r="G784" t="s">
        <v>1523</v>
      </c>
      <c r="H784" t="s">
        <v>1512</v>
      </c>
      <c r="I784" t="s">
        <v>1535</v>
      </c>
      <c r="J784" t="s">
        <v>1524</v>
      </c>
      <c r="K784" t="s">
        <v>1525</v>
      </c>
      <c r="L784" s="2">
        <v>1</v>
      </c>
      <c r="M784" s="10">
        <v>28657</v>
      </c>
      <c r="N784" s="7">
        <v>28657</v>
      </c>
    </row>
    <row r="785" spans="1:14" x14ac:dyDescent="0.3">
      <c r="A785">
        <v>1266</v>
      </c>
      <c r="B785" s="1">
        <v>44914</v>
      </c>
      <c r="C785">
        <v>2022</v>
      </c>
      <c r="D785">
        <v>12</v>
      </c>
      <c r="E785" t="str">
        <f t="shared" si="12"/>
        <v>Desember</v>
      </c>
      <c r="F785">
        <v>4</v>
      </c>
      <c r="G785" t="s">
        <v>1523</v>
      </c>
      <c r="H785" t="s">
        <v>1512</v>
      </c>
      <c r="I785" t="s">
        <v>1535</v>
      </c>
      <c r="J785" t="s">
        <v>1524</v>
      </c>
      <c r="K785" t="s">
        <v>1525</v>
      </c>
      <c r="L785" s="2">
        <v>1</v>
      </c>
      <c r="M785" s="10">
        <v>28657</v>
      </c>
      <c r="N785" s="7">
        <v>28657</v>
      </c>
    </row>
    <row r="786" spans="1:14" x14ac:dyDescent="0.3">
      <c r="A786">
        <v>1267</v>
      </c>
      <c r="B786" s="1">
        <v>45637</v>
      </c>
      <c r="C786">
        <v>2024</v>
      </c>
      <c r="D786">
        <v>12</v>
      </c>
      <c r="E786" t="str">
        <f t="shared" si="12"/>
        <v>Desember</v>
      </c>
      <c r="F786">
        <v>4</v>
      </c>
      <c r="G786" t="s">
        <v>1526</v>
      </c>
      <c r="H786" t="s">
        <v>1527</v>
      </c>
      <c r="I786" t="s">
        <v>1516</v>
      </c>
      <c r="J786" t="s">
        <v>1566</v>
      </c>
      <c r="K786" t="s">
        <v>1525</v>
      </c>
      <c r="L786" s="2">
        <v>1</v>
      </c>
      <c r="M786" s="10">
        <v>394</v>
      </c>
      <c r="N786" s="7">
        <v>394</v>
      </c>
    </row>
    <row r="787" spans="1:14" x14ac:dyDescent="0.3">
      <c r="A787">
        <v>1267</v>
      </c>
      <c r="B787" s="1">
        <v>45144</v>
      </c>
      <c r="C787">
        <v>2023</v>
      </c>
      <c r="D787">
        <v>8</v>
      </c>
      <c r="E787" t="str">
        <f t="shared" si="12"/>
        <v>Agustus</v>
      </c>
      <c r="F787">
        <v>3</v>
      </c>
      <c r="G787" t="s">
        <v>1526</v>
      </c>
      <c r="H787" t="s">
        <v>1527</v>
      </c>
      <c r="I787" t="s">
        <v>1516</v>
      </c>
      <c r="J787" t="s">
        <v>1566</v>
      </c>
      <c r="K787" t="s">
        <v>1525</v>
      </c>
      <c r="L787" s="2">
        <v>1</v>
      </c>
      <c r="M787" s="10">
        <v>394</v>
      </c>
      <c r="N787" s="7">
        <v>394</v>
      </c>
    </row>
    <row r="788" spans="1:14" x14ac:dyDescent="0.3">
      <c r="A788">
        <v>1267</v>
      </c>
      <c r="B788" s="1">
        <v>44585</v>
      </c>
      <c r="C788">
        <v>2022</v>
      </c>
      <c r="D788">
        <v>1</v>
      </c>
      <c r="E788" t="str">
        <f t="shared" si="12"/>
        <v>Januari</v>
      </c>
      <c r="F788">
        <v>1</v>
      </c>
      <c r="G788" t="s">
        <v>1526</v>
      </c>
      <c r="H788" t="s">
        <v>1527</v>
      </c>
      <c r="I788" t="s">
        <v>1516</v>
      </c>
      <c r="J788" t="s">
        <v>1566</v>
      </c>
      <c r="K788" t="s">
        <v>1525</v>
      </c>
      <c r="L788" s="2">
        <v>1</v>
      </c>
      <c r="M788" s="10">
        <v>394</v>
      </c>
      <c r="N788" s="7">
        <v>394</v>
      </c>
    </row>
    <row r="789" spans="1:14" x14ac:dyDescent="0.3">
      <c r="A789">
        <v>1268</v>
      </c>
      <c r="B789" s="1">
        <v>45430</v>
      </c>
      <c r="C789">
        <v>2024</v>
      </c>
      <c r="D789">
        <v>5</v>
      </c>
      <c r="E789" t="str">
        <f t="shared" si="12"/>
        <v>Mei</v>
      </c>
      <c r="F789">
        <v>2</v>
      </c>
      <c r="G789" t="s">
        <v>1529</v>
      </c>
      <c r="H789" t="s">
        <v>1530</v>
      </c>
      <c r="I789" t="s">
        <v>1528</v>
      </c>
      <c r="J789" t="s">
        <v>1566</v>
      </c>
      <c r="K789" t="s">
        <v>1518</v>
      </c>
      <c r="L789" s="2">
        <v>3</v>
      </c>
      <c r="M789" s="10">
        <v>1554</v>
      </c>
      <c r="N789" s="7">
        <v>4662</v>
      </c>
    </row>
    <row r="790" spans="1:14" x14ac:dyDescent="0.3">
      <c r="A790">
        <v>1268</v>
      </c>
      <c r="B790" s="1">
        <v>44967</v>
      </c>
      <c r="C790">
        <v>2023</v>
      </c>
      <c r="D790">
        <v>2</v>
      </c>
      <c r="E790" t="str">
        <f t="shared" si="12"/>
        <v>Februari</v>
      </c>
      <c r="F790">
        <v>1</v>
      </c>
      <c r="G790" t="s">
        <v>1529</v>
      </c>
      <c r="H790" t="s">
        <v>1530</v>
      </c>
      <c r="I790" t="s">
        <v>1528</v>
      </c>
      <c r="J790" t="s">
        <v>1566</v>
      </c>
      <c r="K790" t="s">
        <v>1518</v>
      </c>
      <c r="L790" s="2">
        <v>3</v>
      </c>
      <c r="M790" s="10">
        <v>1554</v>
      </c>
      <c r="N790" s="7">
        <v>4662</v>
      </c>
    </row>
    <row r="791" spans="1:14" x14ac:dyDescent="0.3">
      <c r="A791">
        <v>1268</v>
      </c>
      <c r="B791" s="1">
        <v>45230</v>
      </c>
      <c r="C791">
        <v>2023</v>
      </c>
      <c r="D791">
        <v>10</v>
      </c>
      <c r="E791" t="str">
        <f t="shared" si="12"/>
        <v>Oktober</v>
      </c>
      <c r="F791">
        <v>4</v>
      </c>
      <c r="G791" t="s">
        <v>1529</v>
      </c>
      <c r="H791" t="s">
        <v>1530</v>
      </c>
      <c r="I791" t="s">
        <v>1528</v>
      </c>
      <c r="J791" t="s">
        <v>1566</v>
      </c>
      <c r="K791" t="s">
        <v>1518</v>
      </c>
      <c r="L791" s="2">
        <v>3</v>
      </c>
      <c r="M791" s="10">
        <v>1554</v>
      </c>
      <c r="N791" s="7">
        <v>4662</v>
      </c>
    </row>
    <row r="792" spans="1:14" x14ac:dyDescent="0.3">
      <c r="A792">
        <v>1269</v>
      </c>
      <c r="B792" s="1">
        <v>45469</v>
      </c>
      <c r="C792">
        <v>2024</v>
      </c>
      <c r="D792">
        <v>6</v>
      </c>
      <c r="E792" t="str">
        <f t="shared" si="12"/>
        <v>Juni</v>
      </c>
      <c r="F792">
        <v>2</v>
      </c>
      <c r="G792" t="s">
        <v>1532</v>
      </c>
      <c r="H792" t="s">
        <v>1512</v>
      </c>
      <c r="I792" t="s">
        <v>1531</v>
      </c>
      <c r="J792" t="s">
        <v>1524</v>
      </c>
      <c r="K792" t="s">
        <v>1518</v>
      </c>
      <c r="L792" s="2">
        <v>1</v>
      </c>
      <c r="M792" s="10">
        <v>4066</v>
      </c>
      <c r="N792" s="7">
        <v>4066</v>
      </c>
    </row>
    <row r="793" spans="1:14" x14ac:dyDescent="0.3">
      <c r="A793">
        <v>1269</v>
      </c>
      <c r="B793" s="1">
        <v>44618</v>
      </c>
      <c r="C793">
        <v>2022</v>
      </c>
      <c r="D793">
        <v>2</v>
      </c>
      <c r="E793" t="str">
        <f t="shared" si="12"/>
        <v>Februari</v>
      </c>
      <c r="F793">
        <v>1</v>
      </c>
      <c r="G793" t="s">
        <v>1532</v>
      </c>
      <c r="H793" t="s">
        <v>1512</v>
      </c>
      <c r="I793" t="s">
        <v>1531</v>
      </c>
      <c r="J793" t="s">
        <v>1524</v>
      </c>
      <c r="K793" t="s">
        <v>1518</v>
      </c>
      <c r="L793" s="2">
        <v>1</v>
      </c>
      <c r="M793" s="10">
        <v>4066</v>
      </c>
      <c r="N793" s="7">
        <v>4066</v>
      </c>
    </row>
    <row r="794" spans="1:14" x14ac:dyDescent="0.3">
      <c r="A794">
        <v>1269</v>
      </c>
      <c r="B794" s="1">
        <v>45029</v>
      </c>
      <c r="C794">
        <v>2023</v>
      </c>
      <c r="D794">
        <v>4</v>
      </c>
      <c r="E794" t="str">
        <f t="shared" si="12"/>
        <v>April</v>
      </c>
      <c r="F794">
        <v>2</v>
      </c>
      <c r="G794" t="s">
        <v>1532</v>
      </c>
      <c r="H794" t="s">
        <v>1512</v>
      </c>
      <c r="I794" t="s">
        <v>1531</v>
      </c>
      <c r="J794" t="s">
        <v>1524</v>
      </c>
      <c r="K794" t="s">
        <v>1518</v>
      </c>
      <c r="L794" s="2">
        <v>1</v>
      </c>
      <c r="M794" s="10">
        <v>4066</v>
      </c>
      <c r="N794" s="7">
        <v>4066</v>
      </c>
    </row>
    <row r="795" spans="1:14" x14ac:dyDescent="0.3">
      <c r="A795">
        <v>1270</v>
      </c>
      <c r="B795" s="1">
        <v>44912</v>
      </c>
      <c r="C795">
        <v>2022</v>
      </c>
      <c r="D795">
        <v>12</v>
      </c>
      <c r="E795" t="str">
        <f t="shared" si="12"/>
        <v>Desember</v>
      </c>
      <c r="F795">
        <v>4</v>
      </c>
      <c r="G795" t="s">
        <v>1533</v>
      </c>
      <c r="H795" t="s">
        <v>1520</v>
      </c>
      <c r="I795" t="s">
        <v>1516</v>
      </c>
      <c r="J795" t="s">
        <v>1517</v>
      </c>
      <c r="K795" t="s">
        <v>1518</v>
      </c>
      <c r="L795" s="2">
        <v>5</v>
      </c>
      <c r="M795" s="10">
        <v>210</v>
      </c>
      <c r="N795" s="7">
        <v>1050</v>
      </c>
    </row>
    <row r="796" spans="1:14" x14ac:dyDescent="0.3">
      <c r="A796">
        <v>1270</v>
      </c>
      <c r="B796" s="1">
        <v>45058</v>
      </c>
      <c r="C796">
        <v>2023</v>
      </c>
      <c r="D796">
        <v>5</v>
      </c>
      <c r="E796" t="str">
        <f t="shared" si="12"/>
        <v>Mei</v>
      </c>
      <c r="F796">
        <v>2</v>
      </c>
      <c r="G796" t="s">
        <v>1533</v>
      </c>
      <c r="H796" t="s">
        <v>1520</v>
      </c>
      <c r="I796" t="s">
        <v>1516</v>
      </c>
      <c r="J796" t="s">
        <v>1517</v>
      </c>
      <c r="K796" t="s">
        <v>1518</v>
      </c>
      <c r="L796" s="2">
        <v>5</v>
      </c>
      <c r="M796" s="10">
        <v>210</v>
      </c>
      <c r="N796" s="7">
        <v>1050</v>
      </c>
    </row>
    <row r="797" spans="1:14" x14ac:dyDescent="0.3">
      <c r="A797">
        <v>1270</v>
      </c>
      <c r="B797" s="1">
        <v>45187</v>
      </c>
      <c r="C797">
        <v>2023</v>
      </c>
      <c r="D797">
        <v>9</v>
      </c>
      <c r="E797" t="str">
        <f t="shared" si="12"/>
        <v>September</v>
      </c>
      <c r="F797">
        <v>3</v>
      </c>
      <c r="G797" t="s">
        <v>1533</v>
      </c>
      <c r="H797" t="s">
        <v>1520</v>
      </c>
      <c r="I797" t="s">
        <v>1516</v>
      </c>
      <c r="J797" t="s">
        <v>1517</v>
      </c>
      <c r="K797" t="s">
        <v>1518</v>
      </c>
      <c r="L797" s="2">
        <v>5</v>
      </c>
      <c r="M797" s="10">
        <v>210</v>
      </c>
      <c r="N797" s="7">
        <v>1050</v>
      </c>
    </row>
    <row r="798" spans="1:14" x14ac:dyDescent="0.3">
      <c r="A798">
        <v>1270</v>
      </c>
      <c r="B798" s="1">
        <v>44906</v>
      </c>
      <c r="C798">
        <v>2022</v>
      </c>
      <c r="D798">
        <v>12</v>
      </c>
      <c r="E798" t="str">
        <f t="shared" si="12"/>
        <v>Desember</v>
      </c>
      <c r="F798">
        <v>4</v>
      </c>
      <c r="G798" t="s">
        <v>1533</v>
      </c>
      <c r="H798" t="s">
        <v>1520</v>
      </c>
      <c r="I798" t="s">
        <v>1516</v>
      </c>
      <c r="J798" t="s">
        <v>1517</v>
      </c>
      <c r="K798" t="s">
        <v>1518</v>
      </c>
      <c r="L798" s="2">
        <v>5</v>
      </c>
      <c r="M798" s="10">
        <v>210</v>
      </c>
      <c r="N798" s="7">
        <v>1050</v>
      </c>
    </row>
    <row r="799" spans="1:14" x14ac:dyDescent="0.3">
      <c r="A799">
        <v>1270</v>
      </c>
      <c r="B799" s="1">
        <v>45225</v>
      </c>
      <c r="C799">
        <v>2023</v>
      </c>
      <c r="D799">
        <v>10</v>
      </c>
      <c r="E799" t="str">
        <f t="shared" si="12"/>
        <v>Oktober</v>
      </c>
      <c r="F799">
        <v>4</v>
      </c>
      <c r="G799" t="s">
        <v>1533</v>
      </c>
      <c r="H799" t="s">
        <v>1520</v>
      </c>
      <c r="I799" t="s">
        <v>1516</v>
      </c>
      <c r="J799" t="s">
        <v>1517</v>
      </c>
      <c r="K799" t="s">
        <v>1518</v>
      </c>
      <c r="L799" s="2">
        <v>5</v>
      </c>
      <c r="M799" s="10">
        <v>210</v>
      </c>
      <c r="N799" s="7">
        <v>1050</v>
      </c>
    </row>
    <row r="800" spans="1:14" x14ac:dyDescent="0.3">
      <c r="A800">
        <v>1270</v>
      </c>
      <c r="B800" s="1">
        <v>45200</v>
      </c>
      <c r="C800">
        <v>2023</v>
      </c>
      <c r="D800">
        <v>10</v>
      </c>
      <c r="E800" t="str">
        <f t="shared" si="12"/>
        <v>Oktober</v>
      </c>
      <c r="F800">
        <v>4</v>
      </c>
      <c r="G800" t="s">
        <v>1533</v>
      </c>
      <c r="H800" t="s">
        <v>1520</v>
      </c>
      <c r="I800" t="s">
        <v>1516</v>
      </c>
      <c r="J800" t="s">
        <v>1517</v>
      </c>
      <c r="K800" t="s">
        <v>1518</v>
      </c>
      <c r="L800" s="2">
        <v>5</v>
      </c>
      <c r="M800" s="10">
        <v>210</v>
      </c>
      <c r="N800" s="7">
        <v>1050</v>
      </c>
    </row>
    <row r="801" spans="1:14" x14ac:dyDescent="0.3">
      <c r="A801">
        <v>1271</v>
      </c>
      <c r="B801" s="1">
        <v>45078</v>
      </c>
      <c r="C801">
        <v>2023</v>
      </c>
      <c r="D801">
        <v>6</v>
      </c>
      <c r="E801" t="str">
        <f t="shared" si="12"/>
        <v>Juni</v>
      </c>
      <c r="F801">
        <v>2</v>
      </c>
      <c r="G801" t="s">
        <v>1511</v>
      </c>
      <c r="H801" t="s">
        <v>1512</v>
      </c>
      <c r="I801" t="s">
        <v>1531</v>
      </c>
      <c r="J801" t="s">
        <v>1524</v>
      </c>
      <c r="K801" t="s">
        <v>1514</v>
      </c>
      <c r="L801" s="2">
        <v>1</v>
      </c>
      <c r="M801" s="10">
        <v>40792</v>
      </c>
      <c r="N801" s="7">
        <v>40792</v>
      </c>
    </row>
    <row r="802" spans="1:14" x14ac:dyDescent="0.3">
      <c r="A802">
        <v>1272</v>
      </c>
      <c r="B802" s="1">
        <v>44593</v>
      </c>
      <c r="C802">
        <v>2022</v>
      </c>
      <c r="D802">
        <v>2</v>
      </c>
      <c r="E802" t="str">
        <f t="shared" si="12"/>
        <v>Februari</v>
      </c>
      <c r="F802">
        <v>1</v>
      </c>
      <c r="G802" t="s">
        <v>1515</v>
      </c>
      <c r="H802" t="s">
        <v>1512</v>
      </c>
      <c r="I802" t="s">
        <v>1516</v>
      </c>
      <c r="J802" t="s">
        <v>1517</v>
      </c>
      <c r="K802" t="s">
        <v>1514</v>
      </c>
      <c r="L802" s="2">
        <v>2</v>
      </c>
      <c r="M802" s="10">
        <v>3380</v>
      </c>
      <c r="N802" s="7">
        <v>6760</v>
      </c>
    </row>
    <row r="803" spans="1:14" x14ac:dyDescent="0.3">
      <c r="A803">
        <v>1272</v>
      </c>
      <c r="B803" s="1">
        <v>45654</v>
      </c>
      <c r="C803">
        <v>2024</v>
      </c>
      <c r="D803">
        <v>12</v>
      </c>
      <c r="E803" t="str">
        <f t="shared" si="12"/>
        <v>Desember</v>
      </c>
      <c r="F803">
        <v>4</v>
      </c>
      <c r="G803" t="s">
        <v>1515</v>
      </c>
      <c r="H803" t="s">
        <v>1512</v>
      </c>
      <c r="I803" t="s">
        <v>1516</v>
      </c>
      <c r="J803" t="s">
        <v>1517</v>
      </c>
      <c r="K803" t="s">
        <v>1514</v>
      </c>
      <c r="L803" s="2">
        <v>2</v>
      </c>
      <c r="M803" s="10">
        <v>3380</v>
      </c>
      <c r="N803" s="7">
        <v>6760</v>
      </c>
    </row>
    <row r="804" spans="1:14" x14ac:dyDescent="0.3">
      <c r="A804">
        <v>1273</v>
      </c>
      <c r="B804" s="1">
        <v>44707</v>
      </c>
      <c r="C804">
        <v>2022</v>
      </c>
      <c r="D804">
        <v>5</v>
      </c>
      <c r="E804" t="str">
        <f t="shared" si="12"/>
        <v>Mei</v>
      </c>
      <c r="F804">
        <v>2</v>
      </c>
      <c r="G804" t="s">
        <v>1534</v>
      </c>
      <c r="H804" t="s">
        <v>1530</v>
      </c>
      <c r="I804" t="s">
        <v>1528</v>
      </c>
      <c r="J804" t="s">
        <v>1566</v>
      </c>
      <c r="K804" t="s">
        <v>1514</v>
      </c>
      <c r="L804" s="2">
        <v>2</v>
      </c>
      <c r="M804" s="10">
        <v>1061</v>
      </c>
      <c r="N804" s="7">
        <v>2122</v>
      </c>
    </row>
    <row r="805" spans="1:14" x14ac:dyDescent="0.3">
      <c r="A805">
        <v>1273</v>
      </c>
      <c r="B805" s="1">
        <v>45025</v>
      </c>
      <c r="C805">
        <v>2023</v>
      </c>
      <c r="D805">
        <v>4</v>
      </c>
      <c r="E805" t="str">
        <f t="shared" si="12"/>
        <v>April</v>
      </c>
      <c r="F805">
        <v>2</v>
      </c>
      <c r="G805" t="s">
        <v>1534</v>
      </c>
      <c r="H805" t="s">
        <v>1530</v>
      </c>
      <c r="I805" t="s">
        <v>1528</v>
      </c>
      <c r="J805" t="s">
        <v>1566</v>
      </c>
      <c r="K805" t="s">
        <v>1514</v>
      </c>
      <c r="L805" s="2">
        <v>2</v>
      </c>
      <c r="M805" s="10">
        <v>1061</v>
      </c>
      <c r="N805" s="7">
        <v>2122</v>
      </c>
    </row>
    <row r="806" spans="1:14" x14ac:dyDescent="0.3">
      <c r="A806">
        <v>1274</v>
      </c>
      <c r="B806" s="1">
        <v>44951</v>
      </c>
      <c r="C806">
        <v>2023</v>
      </c>
      <c r="D806">
        <v>1</v>
      </c>
      <c r="E806" t="str">
        <f t="shared" si="12"/>
        <v>Januari</v>
      </c>
      <c r="F806">
        <v>1</v>
      </c>
      <c r="G806" t="s">
        <v>1519</v>
      </c>
      <c r="H806" t="s">
        <v>1520</v>
      </c>
      <c r="I806" t="s">
        <v>1528</v>
      </c>
      <c r="J806" t="s">
        <v>1524</v>
      </c>
      <c r="K806" t="s">
        <v>1518</v>
      </c>
      <c r="L806" s="2">
        <v>5</v>
      </c>
      <c r="M806" s="10">
        <v>9610</v>
      </c>
      <c r="N806" s="7">
        <v>48050</v>
      </c>
    </row>
    <row r="807" spans="1:14" x14ac:dyDescent="0.3">
      <c r="A807">
        <v>1275</v>
      </c>
      <c r="B807" s="1">
        <v>44994</v>
      </c>
      <c r="C807">
        <v>2023</v>
      </c>
      <c r="D807">
        <v>3</v>
      </c>
      <c r="E807" t="str">
        <f t="shared" si="12"/>
        <v>Maret</v>
      </c>
      <c r="F807">
        <v>1</v>
      </c>
      <c r="G807" t="s">
        <v>1522</v>
      </c>
      <c r="H807" t="s">
        <v>1520</v>
      </c>
      <c r="I807" t="s">
        <v>1516</v>
      </c>
      <c r="J807" t="s">
        <v>1524</v>
      </c>
      <c r="K807" t="s">
        <v>1518</v>
      </c>
      <c r="L807" s="2">
        <v>1</v>
      </c>
      <c r="M807" s="10">
        <v>901</v>
      </c>
      <c r="N807" s="7">
        <v>901</v>
      </c>
    </row>
    <row r="808" spans="1:14" x14ac:dyDescent="0.3">
      <c r="A808">
        <v>1275</v>
      </c>
      <c r="B808" s="1">
        <v>44701</v>
      </c>
      <c r="C808">
        <v>2022</v>
      </c>
      <c r="D808">
        <v>5</v>
      </c>
      <c r="E808" t="str">
        <f t="shared" si="12"/>
        <v>Mei</v>
      </c>
      <c r="F808">
        <v>2</v>
      </c>
      <c r="G808" t="s">
        <v>1522</v>
      </c>
      <c r="H808" t="s">
        <v>1520</v>
      </c>
      <c r="I808" t="s">
        <v>1516</v>
      </c>
      <c r="J808" t="s">
        <v>1524</v>
      </c>
      <c r="K808" t="s">
        <v>1518</v>
      </c>
      <c r="L808" s="2">
        <v>1</v>
      </c>
      <c r="M808" s="10">
        <v>901</v>
      </c>
      <c r="N808" s="7">
        <v>901</v>
      </c>
    </row>
    <row r="809" spans="1:14" x14ac:dyDescent="0.3">
      <c r="A809">
        <v>1275</v>
      </c>
      <c r="B809" s="1">
        <v>44723</v>
      </c>
      <c r="C809">
        <v>2022</v>
      </c>
      <c r="D809">
        <v>6</v>
      </c>
      <c r="E809" t="str">
        <f t="shared" si="12"/>
        <v>Juni</v>
      </c>
      <c r="F809">
        <v>2</v>
      </c>
      <c r="G809" t="s">
        <v>1522</v>
      </c>
      <c r="H809" t="s">
        <v>1520</v>
      </c>
      <c r="I809" t="s">
        <v>1516</v>
      </c>
      <c r="J809" t="s">
        <v>1524</v>
      </c>
      <c r="K809" t="s">
        <v>1518</v>
      </c>
      <c r="L809" s="2">
        <v>1</v>
      </c>
      <c r="M809" s="10">
        <v>901</v>
      </c>
      <c r="N809" s="7">
        <v>901</v>
      </c>
    </row>
    <row r="810" spans="1:14" x14ac:dyDescent="0.3">
      <c r="A810">
        <v>1276</v>
      </c>
      <c r="B810" s="1">
        <v>44736</v>
      </c>
      <c r="C810">
        <v>2022</v>
      </c>
      <c r="D810">
        <v>6</v>
      </c>
      <c r="E810" t="str">
        <f t="shared" si="12"/>
        <v>Juni</v>
      </c>
      <c r="F810">
        <v>2</v>
      </c>
      <c r="G810" t="s">
        <v>1523</v>
      </c>
      <c r="H810" t="s">
        <v>1512</v>
      </c>
      <c r="I810" t="s">
        <v>1521</v>
      </c>
      <c r="J810" t="s">
        <v>1524</v>
      </c>
      <c r="K810" t="s">
        <v>1514</v>
      </c>
      <c r="L810" s="2">
        <v>2</v>
      </c>
      <c r="M810" s="10">
        <v>18752</v>
      </c>
      <c r="N810" s="7">
        <v>37504</v>
      </c>
    </row>
    <row r="811" spans="1:14" x14ac:dyDescent="0.3">
      <c r="A811">
        <v>1276</v>
      </c>
      <c r="B811" s="1">
        <v>44775</v>
      </c>
      <c r="C811">
        <v>2022</v>
      </c>
      <c r="D811">
        <v>8</v>
      </c>
      <c r="E811" t="str">
        <f t="shared" si="12"/>
        <v>Agustus</v>
      </c>
      <c r="F811">
        <v>3</v>
      </c>
      <c r="G811" t="s">
        <v>1523</v>
      </c>
      <c r="H811" t="s">
        <v>1512</v>
      </c>
      <c r="I811" t="s">
        <v>1521</v>
      </c>
      <c r="J811" t="s">
        <v>1524</v>
      </c>
      <c r="K811" t="s">
        <v>1514</v>
      </c>
      <c r="L811" s="2">
        <v>2</v>
      </c>
      <c r="M811" s="10">
        <v>18752</v>
      </c>
      <c r="N811" s="7">
        <v>37504</v>
      </c>
    </row>
    <row r="812" spans="1:14" x14ac:dyDescent="0.3">
      <c r="A812">
        <v>1276</v>
      </c>
      <c r="B812" s="1">
        <v>45190</v>
      </c>
      <c r="C812">
        <v>2023</v>
      </c>
      <c r="D812">
        <v>9</v>
      </c>
      <c r="E812" t="str">
        <f t="shared" si="12"/>
        <v>September</v>
      </c>
      <c r="F812">
        <v>3</v>
      </c>
      <c r="G812" t="s">
        <v>1523</v>
      </c>
      <c r="H812" t="s">
        <v>1512</v>
      </c>
      <c r="I812" t="s">
        <v>1521</v>
      </c>
      <c r="J812" t="s">
        <v>1524</v>
      </c>
      <c r="K812" t="s">
        <v>1514</v>
      </c>
      <c r="L812" s="2">
        <v>2</v>
      </c>
      <c r="M812" s="10">
        <v>18752</v>
      </c>
      <c r="N812" s="7">
        <v>37504</v>
      </c>
    </row>
    <row r="813" spans="1:14" x14ac:dyDescent="0.3">
      <c r="A813">
        <v>1276</v>
      </c>
      <c r="B813" s="1">
        <v>45280</v>
      </c>
      <c r="C813">
        <v>2023</v>
      </c>
      <c r="D813">
        <v>12</v>
      </c>
      <c r="E813" t="str">
        <f t="shared" si="12"/>
        <v>Desember</v>
      </c>
      <c r="F813">
        <v>4</v>
      </c>
      <c r="G813" t="s">
        <v>1523</v>
      </c>
      <c r="H813" t="s">
        <v>1512</v>
      </c>
      <c r="I813" t="s">
        <v>1521</v>
      </c>
      <c r="J813" t="s">
        <v>1524</v>
      </c>
      <c r="K813" t="s">
        <v>1514</v>
      </c>
      <c r="L813" s="2">
        <v>2</v>
      </c>
      <c r="M813" s="10">
        <v>18752</v>
      </c>
      <c r="N813" s="7">
        <v>37504</v>
      </c>
    </row>
    <row r="814" spans="1:14" x14ac:dyDescent="0.3">
      <c r="A814">
        <v>1276</v>
      </c>
      <c r="B814" s="1">
        <v>44780</v>
      </c>
      <c r="C814">
        <v>2022</v>
      </c>
      <c r="D814">
        <v>8</v>
      </c>
      <c r="E814" t="str">
        <f t="shared" si="12"/>
        <v>Agustus</v>
      </c>
      <c r="F814">
        <v>3</v>
      </c>
      <c r="G814" t="s">
        <v>1523</v>
      </c>
      <c r="H814" t="s">
        <v>1512</v>
      </c>
      <c r="I814" t="s">
        <v>1521</v>
      </c>
      <c r="J814" t="s">
        <v>1524</v>
      </c>
      <c r="K814" t="s">
        <v>1514</v>
      </c>
      <c r="L814" s="2">
        <v>2</v>
      </c>
      <c r="M814" s="10">
        <v>18752</v>
      </c>
      <c r="N814" s="7">
        <v>37504</v>
      </c>
    </row>
    <row r="815" spans="1:14" x14ac:dyDescent="0.3">
      <c r="A815">
        <v>1276</v>
      </c>
      <c r="B815" s="1">
        <v>44849</v>
      </c>
      <c r="C815">
        <v>2022</v>
      </c>
      <c r="D815">
        <v>10</v>
      </c>
      <c r="E815" t="str">
        <f t="shared" si="12"/>
        <v>Oktober</v>
      </c>
      <c r="F815">
        <v>4</v>
      </c>
      <c r="G815" t="s">
        <v>1523</v>
      </c>
      <c r="H815" t="s">
        <v>1512</v>
      </c>
      <c r="I815" t="s">
        <v>1521</v>
      </c>
      <c r="J815" t="s">
        <v>1524</v>
      </c>
      <c r="K815" t="s">
        <v>1514</v>
      </c>
      <c r="L815" s="2">
        <v>2</v>
      </c>
      <c r="M815" s="10">
        <v>18752</v>
      </c>
      <c r="N815" s="7">
        <v>37504</v>
      </c>
    </row>
    <row r="816" spans="1:14" x14ac:dyDescent="0.3">
      <c r="A816">
        <v>1277</v>
      </c>
      <c r="B816" s="1">
        <v>45293</v>
      </c>
      <c r="C816">
        <v>2024</v>
      </c>
      <c r="D816">
        <v>1</v>
      </c>
      <c r="E816" t="str">
        <f t="shared" si="12"/>
        <v>Januari</v>
      </c>
      <c r="F816">
        <v>1</v>
      </c>
      <c r="G816" t="s">
        <v>1526</v>
      </c>
      <c r="H816" t="s">
        <v>1527</v>
      </c>
      <c r="I816" t="s">
        <v>1516</v>
      </c>
      <c r="J816" t="s">
        <v>1566</v>
      </c>
      <c r="K816" t="s">
        <v>1514</v>
      </c>
      <c r="L816" s="2">
        <v>1</v>
      </c>
      <c r="M816" s="10">
        <v>129</v>
      </c>
      <c r="N816" s="7">
        <v>129</v>
      </c>
    </row>
    <row r="817" spans="1:14" x14ac:dyDescent="0.3">
      <c r="A817">
        <v>1277</v>
      </c>
      <c r="B817" s="1">
        <v>44752</v>
      </c>
      <c r="C817">
        <v>2022</v>
      </c>
      <c r="D817">
        <v>7</v>
      </c>
      <c r="E817" t="str">
        <f t="shared" si="12"/>
        <v>Juli</v>
      </c>
      <c r="F817">
        <v>3</v>
      </c>
      <c r="G817" t="s">
        <v>1526</v>
      </c>
      <c r="H817" t="s">
        <v>1527</v>
      </c>
      <c r="I817" t="s">
        <v>1516</v>
      </c>
      <c r="J817" t="s">
        <v>1566</v>
      </c>
      <c r="K817" t="s">
        <v>1514</v>
      </c>
      <c r="L817" s="2">
        <v>1</v>
      </c>
      <c r="M817" s="10">
        <v>129</v>
      </c>
      <c r="N817" s="7">
        <v>129</v>
      </c>
    </row>
    <row r="818" spans="1:14" x14ac:dyDescent="0.3">
      <c r="A818">
        <v>1277</v>
      </c>
      <c r="B818" s="1">
        <v>44946</v>
      </c>
      <c r="C818">
        <v>2023</v>
      </c>
      <c r="D818">
        <v>1</v>
      </c>
      <c r="E818" t="str">
        <f t="shared" si="12"/>
        <v>Januari</v>
      </c>
      <c r="F818">
        <v>1</v>
      </c>
      <c r="G818" t="s">
        <v>1526</v>
      </c>
      <c r="H818" t="s">
        <v>1527</v>
      </c>
      <c r="I818" t="s">
        <v>1516</v>
      </c>
      <c r="J818" t="s">
        <v>1566</v>
      </c>
      <c r="K818" t="s">
        <v>1514</v>
      </c>
      <c r="L818" s="2">
        <v>1</v>
      </c>
      <c r="M818" s="10">
        <v>129</v>
      </c>
      <c r="N818" s="7">
        <v>129</v>
      </c>
    </row>
    <row r="819" spans="1:14" x14ac:dyDescent="0.3">
      <c r="A819">
        <v>1278</v>
      </c>
      <c r="B819" s="1">
        <v>45190</v>
      </c>
      <c r="C819">
        <v>2023</v>
      </c>
      <c r="D819">
        <v>9</v>
      </c>
      <c r="E819" t="str">
        <f t="shared" si="12"/>
        <v>September</v>
      </c>
      <c r="F819">
        <v>3</v>
      </c>
      <c r="G819" t="s">
        <v>1529</v>
      </c>
      <c r="H819" t="s">
        <v>1530</v>
      </c>
      <c r="I819" t="s">
        <v>1528</v>
      </c>
      <c r="J819" t="s">
        <v>1566</v>
      </c>
      <c r="K819" t="s">
        <v>1518</v>
      </c>
      <c r="L819" s="2">
        <v>1</v>
      </c>
      <c r="M819" s="10">
        <v>828</v>
      </c>
      <c r="N819" s="7">
        <v>828</v>
      </c>
    </row>
    <row r="820" spans="1:14" x14ac:dyDescent="0.3">
      <c r="A820">
        <v>1278</v>
      </c>
      <c r="B820" s="1">
        <v>44883</v>
      </c>
      <c r="C820">
        <v>2022</v>
      </c>
      <c r="D820">
        <v>11</v>
      </c>
      <c r="E820" t="str">
        <f t="shared" si="12"/>
        <v>November</v>
      </c>
      <c r="F820">
        <v>4</v>
      </c>
      <c r="G820" t="s">
        <v>1529</v>
      </c>
      <c r="H820" t="s">
        <v>1530</v>
      </c>
      <c r="I820" t="s">
        <v>1528</v>
      </c>
      <c r="J820" t="s">
        <v>1566</v>
      </c>
      <c r="K820" t="s">
        <v>1518</v>
      </c>
      <c r="L820" s="2">
        <v>1</v>
      </c>
      <c r="M820" s="10">
        <v>828</v>
      </c>
      <c r="N820" s="7">
        <v>828</v>
      </c>
    </row>
    <row r="821" spans="1:14" x14ac:dyDescent="0.3">
      <c r="A821">
        <v>1279</v>
      </c>
      <c r="B821" s="1">
        <v>44935</v>
      </c>
      <c r="C821">
        <v>2023</v>
      </c>
      <c r="D821">
        <v>1</v>
      </c>
      <c r="E821" t="str">
        <f t="shared" si="12"/>
        <v>Januari</v>
      </c>
      <c r="F821">
        <v>1</v>
      </c>
      <c r="G821" t="s">
        <v>1532</v>
      </c>
      <c r="H821" t="s">
        <v>1512</v>
      </c>
      <c r="I821" t="s">
        <v>1531</v>
      </c>
      <c r="J821" t="s">
        <v>1517</v>
      </c>
      <c r="K821" t="s">
        <v>1518</v>
      </c>
      <c r="L821" s="2">
        <v>2</v>
      </c>
      <c r="M821" s="10">
        <v>4999</v>
      </c>
      <c r="N821" s="7">
        <v>9998</v>
      </c>
    </row>
    <row r="822" spans="1:14" x14ac:dyDescent="0.3">
      <c r="A822">
        <v>1279</v>
      </c>
      <c r="B822" s="1">
        <v>45476</v>
      </c>
      <c r="C822">
        <v>2024</v>
      </c>
      <c r="D822">
        <v>7</v>
      </c>
      <c r="E822" t="str">
        <f t="shared" si="12"/>
        <v>Juli</v>
      </c>
      <c r="F822">
        <v>3</v>
      </c>
      <c r="G822" t="s">
        <v>1532</v>
      </c>
      <c r="H822" t="s">
        <v>1512</v>
      </c>
      <c r="I822" t="s">
        <v>1531</v>
      </c>
      <c r="J822" t="s">
        <v>1517</v>
      </c>
      <c r="K822" t="s">
        <v>1518</v>
      </c>
      <c r="L822" s="2">
        <v>2</v>
      </c>
      <c r="M822" s="10">
        <v>4999</v>
      </c>
      <c r="N822" s="7">
        <v>9998</v>
      </c>
    </row>
    <row r="823" spans="1:14" x14ac:dyDescent="0.3">
      <c r="A823">
        <v>1279</v>
      </c>
      <c r="B823" s="1">
        <v>45241</v>
      </c>
      <c r="C823">
        <v>2023</v>
      </c>
      <c r="D823">
        <v>11</v>
      </c>
      <c r="E823" t="str">
        <f t="shared" si="12"/>
        <v>November</v>
      </c>
      <c r="F823">
        <v>4</v>
      </c>
      <c r="G823" t="s">
        <v>1532</v>
      </c>
      <c r="H823" t="s">
        <v>1512</v>
      </c>
      <c r="I823" t="s">
        <v>1531</v>
      </c>
      <c r="J823" t="s">
        <v>1517</v>
      </c>
      <c r="K823" t="s">
        <v>1518</v>
      </c>
      <c r="L823" s="2">
        <v>2</v>
      </c>
      <c r="M823" s="10">
        <v>4999</v>
      </c>
      <c r="N823" s="7">
        <v>9998</v>
      </c>
    </row>
    <row r="824" spans="1:14" x14ac:dyDescent="0.3">
      <c r="A824">
        <v>1279</v>
      </c>
      <c r="B824" s="1">
        <v>45122</v>
      </c>
      <c r="C824">
        <v>2023</v>
      </c>
      <c r="D824">
        <v>7</v>
      </c>
      <c r="E824" t="str">
        <f t="shared" si="12"/>
        <v>Juli</v>
      </c>
      <c r="F824">
        <v>3</v>
      </c>
      <c r="G824" t="s">
        <v>1532</v>
      </c>
      <c r="H824" t="s">
        <v>1512</v>
      </c>
      <c r="I824" t="s">
        <v>1531</v>
      </c>
      <c r="J824" t="s">
        <v>1517</v>
      </c>
      <c r="K824" t="s">
        <v>1518</v>
      </c>
      <c r="L824" s="2">
        <v>2</v>
      </c>
      <c r="M824" s="10">
        <v>4999</v>
      </c>
      <c r="N824" s="7">
        <v>9998</v>
      </c>
    </row>
    <row r="825" spans="1:14" x14ac:dyDescent="0.3">
      <c r="A825">
        <v>1280</v>
      </c>
      <c r="B825" s="1">
        <v>45106</v>
      </c>
      <c r="C825">
        <v>2023</v>
      </c>
      <c r="D825">
        <v>6</v>
      </c>
      <c r="E825" t="str">
        <f t="shared" si="12"/>
        <v>Juni</v>
      </c>
      <c r="F825">
        <v>2</v>
      </c>
      <c r="G825" t="s">
        <v>1533</v>
      </c>
      <c r="H825" t="s">
        <v>1520</v>
      </c>
      <c r="I825" t="s">
        <v>1521</v>
      </c>
      <c r="J825" t="s">
        <v>1517</v>
      </c>
      <c r="K825" t="s">
        <v>1514</v>
      </c>
      <c r="L825" s="2">
        <v>4</v>
      </c>
      <c r="M825" s="10">
        <v>677</v>
      </c>
      <c r="N825" s="7">
        <v>2708</v>
      </c>
    </row>
    <row r="826" spans="1:14" x14ac:dyDescent="0.3">
      <c r="A826">
        <v>1280</v>
      </c>
      <c r="B826" s="1">
        <v>45148</v>
      </c>
      <c r="C826">
        <v>2023</v>
      </c>
      <c r="D826">
        <v>8</v>
      </c>
      <c r="E826" t="str">
        <f t="shared" si="12"/>
        <v>Agustus</v>
      </c>
      <c r="F826">
        <v>3</v>
      </c>
      <c r="G826" t="s">
        <v>1533</v>
      </c>
      <c r="H826" t="s">
        <v>1520</v>
      </c>
      <c r="I826" t="s">
        <v>1521</v>
      </c>
      <c r="J826" t="s">
        <v>1517</v>
      </c>
      <c r="K826" t="s">
        <v>1514</v>
      </c>
      <c r="L826" s="2">
        <v>4</v>
      </c>
      <c r="M826" s="10">
        <v>677</v>
      </c>
      <c r="N826" s="7">
        <v>2708</v>
      </c>
    </row>
    <row r="827" spans="1:14" x14ac:dyDescent="0.3">
      <c r="A827">
        <v>1280</v>
      </c>
      <c r="B827" s="1">
        <v>45332</v>
      </c>
      <c r="C827">
        <v>2024</v>
      </c>
      <c r="D827">
        <v>2</v>
      </c>
      <c r="E827" t="str">
        <f t="shared" si="12"/>
        <v>Februari</v>
      </c>
      <c r="F827">
        <v>1</v>
      </c>
      <c r="G827" t="s">
        <v>1533</v>
      </c>
      <c r="H827" t="s">
        <v>1520</v>
      </c>
      <c r="I827" t="s">
        <v>1521</v>
      </c>
      <c r="J827" t="s">
        <v>1517</v>
      </c>
      <c r="K827" t="s">
        <v>1514</v>
      </c>
      <c r="L827" s="2">
        <v>4</v>
      </c>
      <c r="M827" s="10">
        <v>677</v>
      </c>
      <c r="N827" s="7">
        <v>2708</v>
      </c>
    </row>
    <row r="828" spans="1:14" x14ac:dyDescent="0.3">
      <c r="A828">
        <v>1281</v>
      </c>
      <c r="B828" s="1">
        <v>45622</v>
      </c>
      <c r="C828">
        <v>2024</v>
      </c>
      <c r="D828">
        <v>11</v>
      </c>
      <c r="E828" t="str">
        <f t="shared" si="12"/>
        <v>November</v>
      </c>
      <c r="F828">
        <v>4</v>
      </c>
      <c r="G828" t="s">
        <v>1511</v>
      </c>
      <c r="H828" t="s">
        <v>1512</v>
      </c>
      <c r="I828" t="s">
        <v>1528</v>
      </c>
      <c r="J828" t="s">
        <v>1524</v>
      </c>
      <c r="K828" t="s">
        <v>1514</v>
      </c>
      <c r="L828" s="2">
        <v>1</v>
      </c>
      <c r="M828" s="10">
        <v>47291</v>
      </c>
      <c r="N828" s="7">
        <v>47291</v>
      </c>
    </row>
    <row r="829" spans="1:14" x14ac:dyDescent="0.3">
      <c r="A829">
        <v>1281</v>
      </c>
      <c r="B829" s="1">
        <v>45459</v>
      </c>
      <c r="C829">
        <v>2024</v>
      </c>
      <c r="D829">
        <v>6</v>
      </c>
      <c r="E829" t="str">
        <f t="shared" si="12"/>
        <v>Juni</v>
      </c>
      <c r="F829">
        <v>2</v>
      </c>
      <c r="G829" t="s">
        <v>1511</v>
      </c>
      <c r="H829" t="s">
        <v>1512</v>
      </c>
      <c r="I829" t="s">
        <v>1528</v>
      </c>
      <c r="J829" t="s">
        <v>1524</v>
      </c>
      <c r="K829" t="s">
        <v>1514</v>
      </c>
      <c r="L829" s="2">
        <v>1</v>
      </c>
      <c r="M829" s="10">
        <v>47291</v>
      </c>
      <c r="N829" s="7">
        <v>47291</v>
      </c>
    </row>
    <row r="830" spans="1:14" x14ac:dyDescent="0.3">
      <c r="A830">
        <v>1281</v>
      </c>
      <c r="B830" s="1">
        <v>44621</v>
      </c>
      <c r="C830">
        <v>2022</v>
      </c>
      <c r="D830">
        <v>3</v>
      </c>
      <c r="E830" t="str">
        <f t="shared" si="12"/>
        <v>Maret</v>
      </c>
      <c r="F830">
        <v>1</v>
      </c>
      <c r="G830" t="s">
        <v>1511</v>
      </c>
      <c r="H830" t="s">
        <v>1512</v>
      </c>
      <c r="I830" t="s">
        <v>1528</v>
      </c>
      <c r="J830" t="s">
        <v>1524</v>
      </c>
      <c r="K830" t="s">
        <v>1514</v>
      </c>
      <c r="L830" s="2">
        <v>1</v>
      </c>
      <c r="M830" s="10">
        <v>47291</v>
      </c>
      <c r="N830" s="7">
        <v>47291</v>
      </c>
    </row>
    <row r="831" spans="1:14" x14ac:dyDescent="0.3">
      <c r="A831">
        <v>1282</v>
      </c>
      <c r="B831" s="1">
        <v>45262</v>
      </c>
      <c r="C831">
        <v>2023</v>
      </c>
      <c r="D831">
        <v>12</v>
      </c>
      <c r="E831" t="str">
        <f t="shared" si="12"/>
        <v>Desember</v>
      </c>
      <c r="F831">
        <v>4</v>
      </c>
      <c r="G831" t="s">
        <v>1515</v>
      </c>
      <c r="H831" t="s">
        <v>1512</v>
      </c>
      <c r="I831" t="s">
        <v>1521</v>
      </c>
      <c r="J831" t="s">
        <v>1524</v>
      </c>
      <c r="K831" t="s">
        <v>1514</v>
      </c>
      <c r="L831" s="2">
        <v>3</v>
      </c>
      <c r="M831" s="10">
        <v>2127</v>
      </c>
      <c r="N831" s="7">
        <v>6381</v>
      </c>
    </row>
    <row r="832" spans="1:14" x14ac:dyDescent="0.3">
      <c r="A832">
        <v>1282</v>
      </c>
      <c r="B832" s="1">
        <v>45214</v>
      </c>
      <c r="C832">
        <v>2023</v>
      </c>
      <c r="D832">
        <v>10</v>
      </c>
      <c r="E832" t="str">
        <f t="shared" si="12"/>
        <v>Oktober</v>
      </c>
      <c r="F832">
        <v>4</v>
      </c>
      <c r="G832" t="s">
        <v>1515</v>
      </c>
      <c r="H832" t="s">
        <v>1512</v>
      </c>
      <c r="I832" t="s">
        <v>1521</v>
      </c>
      <c r="J832" t="s">
        <v>1524</v>
      </c>
      <c r="K832" t="s">
        <v>1514</v>
      </c>
      <c r="L832" s="2">
        <v>3</v>
      </c>
      <c r="M832" s="10">
        <v>2127</v>
      </c>
      <c r="N832" s="7">
        <v>6381</v>
      </c>
    </row>
    <row r="833" spans="1:14" x14ac:dyDescent="0.3">
      <c r="A833">
        <v>1282</v>
      </c>
      <c r="B833" s="1">
        <v>45308</v>
      </c>
      <c r="C833">
        <v>2024</v>
      </c>
      <c r="D833">
        <v>1</v>
      </c>
      <c r="E833" t="str">
        <f t="shared" si="12"/>
        <v>Januari</v>
      </c>
      <c r="F833">
        <v>1</v>
      </c>
      <c r="G833" t="s">
        <v>1515</v>
      </c>
      <c r="H833" t="s">
        <v>1512</v>
      </c>
      <c r="I833" t="s">
        <v>1521</v>
      </c>
      <c r="J833" t="s">
        <v>1524</v>
      </c>
      <c r="K833" t="s">
        <v>1514</v>
      </c>
      <c r="L833" s="2">
        <v>3</v>
      </c>
      <c r="M833" s="10">
        <v>2127</v>
      </c>
      <c r="N833" s="7">
        <v>6381</v>
      </c>
    </row>
    <row r="834" spans="1:14" x14ac:dyDescent="0.3">
      <c r="A834">
        <v>1283</v>
      </c>
      <c r="B834" s="1">
        <v>45087</v>
      </c>
      <c r="C834">
        <v>2023</v>
      </c>
      <c r="D834">
        <v>6</v>
      </c>
      <c r="E834" t="str">
        <f t="shared" si="12"/>
        <v>Juni</v>
      </c>
      <c r="F834">
        <v>2</v>
      </c>
      <c r="G834" t="s">
        <v>1534</v>
      </c>
      <c r="H834" t="s">
        <v>1530</v>
      </c>
      <c r="I834" t="s">
        <v>1516</v>
      </c>
      <c r="J834" t="s">
        <v>1517</v>
      </c>
      <c r="K834" t="s">
        <v>1514</v>
      </c>
      <c r="L834" s="2">
        <v>3</v>
      </c>
      <c r="M834" s="10">
        <v>2869</v>
      </c>
      <c r="N834" s="7">
        <v>8607</v>
      </c>
    </row>
    <row r="835" spans="1:14" x14ac:dyDescent="0.3">
      <c r="A835">
        <v>1283</v>
      </c>
      <c r="B835" s="1">
        <v>45254</v>
      </c>
      <c r="C835">
        <v>2023</v>
      </c>
      <c r="D835">
        <v>11</v>
      </c>
      <c r="E835" t="str">
        <f t="shared" ref="E835:E898" si="13">TEXT(DATE(2026, D835, 1), "[$-id-ID]mmmm")</f>
        <v>November</v>
      </c>
      <c r="F835">
        <v>4</v>
      </c>
      <c r="G835" t="s">
        <v>1534</v>
      </c>
      <c r="H835" t="s">
        <v>1530</v>
      </c>
      <c r="I835" t="s">
        <v>1516</v>
      </c>
      <c r="J835" t="s">
        <v>1517</v>
      </c>
      <c r="K835" t="s">
        <v>1514</v>
      </c>
      <c r="L835" s="2">
        <v>3</v>
      </c>
      <c r="M835" s="10">
        <v>2869</v>
      </c>
      <c r="N835" s="7">
        <v>8607</v>
      </c>
    </row>
    <row r="836" spans="1:14" x14ac:dyDescent="0.3">
      <c r="A836">
        <v>1283</v>
      </c>
      <c r="B836" s="1">
        <v>45503</v>
      </c>
      <c r="C836">
        <v>2024</v>
      </c>
      <c r="D836">
        <v>7</v>
      </c>
      <c r="E836" t="str">
        <f t="shared" si="13"/>
        <v>Juli</v>
      </c>
      <c r="F836">
        <v>3</v>
      </c>
      <c r="G836" t="s">
        <v>1534</v>
      </c>
      <c r="H836" t="s">
        <v>1530</v>
      </c>
      <c r="I836" t="s">
        <v>1516</v>
      </c>
      <c r="J836" t="s">
        <v>1517</v>
      </c>
      <c r="K836" t="s">
        <v>1514</v>
      </c>
      <c r="L836" s="2">
        <v>3</v>
      </c>
      <c r="M836" s="10">
        <v>2869</v>
      </c>
      <c r="N836" s="7">
        <v>8607</v>
      </c>
    </row>
    <row r="837" spans="1:14" x14ac:dyDescent="0.3">
      <c r="A837">
        <v>1283</v>
      </c>
      <c r="B837" s="1">
        <v>45233</v>
      </c>
      <c r="C837">
        <v>2023</v>
      </c>
      <c r="D837">
        <v>11</v>
      </c>
      <c r="E837" t="str">
        <f t="shared" si="13"/>
        <v>November</v>
      </c>
      <c r="F837">
        <v>4</v>
      </c>
      <c r="G837" t="s">
        <v>1534</v>
      </c>
      <c r="H837" t="s">
        <v>1530</v>
      </c>
      <c r="I837" t="s">
        <v>1516</v>
      </c>
      <c r="J837" t="s">
        <v>1517</v>
      </c>
      <c r="K837" t="s">
        <v>1514</v>
      </c>
      <c r="L837" s="2">
        <v>3</v>
      </c>
      <c r="M837" s="10">
        <v>2869</v>
      </c>
      <c r="N837" s="7">
        <v>8607</v>
      </c>
    </row>
    <row r="838" spans="1:14" x14ac:dyDescent="0.3">
      <c r="A838">
        <v>1283</v>
      </c>
      <c r="B838" s="1">
        <v>45648</v>
      </c>
      <c r="C838">
        <v>2024</v>
      </c>
      <c r="D838">
        <v>12</v>
      </c>
      <c r="E838" t="str">
        <f t="shared" si="13"/>
        <v>Desember</v>
      </c>
      <c r="F838">
        <v>4</v>
      </c>
      <c r="G838" t="s">
        <v>1534</v>
      </c>
      <c r="H838" t="s">
        <v>1530</v>
      </c>
      <c r="I838" t="s">
        <v>1516</v>
      </c>
      <c r="J838" t="s">
        <v>1517</v>
      </c>
      <c r="K838" t="s">
        <v>1514</v>
      </c>
      <c r="L838" s="2">
        <v>3</v>
      </c>
      <c r="M838" s="10">
        <v>2869</v>
      </c>
      <c r="N838" s="7">
        <v>8607</v>
      </c>
    </row>
    <row r="839" spans="1:14" x14ac:dyDescent="0.3">
      <c r="A839">
        <v>1284</v>
      </c>
      <c r="B839" s="1">
        <v>45508</v>
      </c>
      <c r="C839">
        <v>2024</v>
      </c>
      <c r="D839">
        <v>8</v>
      </c>
      <c r="E839" t="str">
        <f t="shared" si="13"/>
        <v>Agustus</v>
      </c>
      <c r="F839">
        <v>3</v>
      </c>
      <c r="G839" t="s">
        <v>1519</v>
      </c>
      <c r="H839" t="s">
        <v>1520</v>
      </c>
      <c r="I839" t="s">
        <v>1531</v>
      </c>
      <c r="J839" t="s">
        <v>1524</v>
      </c>
      <c r="K839" t="s">
        <v>1525</v>
      </c>
      <c r="L839" s="2">
        <v>3</v>
      </c>
      <c r="M839" s="10">
        <v>7361</v>
      </c>
      <c r="N839" s="7">
        <v>22083</v>
      </c>
    </row>
    <row r="840" spans="1:14" x14ac:dyDescent="0.3">
      <c r="A840">
        <v>1284</v>
      </c>
      <c r="B840" s="1">
        <v>45219</v>
      </c>
      <c r="C840">
        <v>2023</v>
      </c>
      <c r="D840">
        <v>10</v>
      </c>
      <c r="E840" t="str">
        <f t="shared" si="13"/>
        <v>Oktober</v>
      </c>
      <c r="F840">
        <v>4</v>
      </c>
      <c r="G840" t="s">
        <v>1519</v>
      </c>
      <c r="H840" t="s">
        <v>1520</v>
      </c>
      <c r="I840" t="s">
        <v>1531</v>
      </c>
      <c r="J840" t="s">
        <v>1524</v>
      </c>
      <c r="K840" t="s">
        <v>1525</v>
      </c>
      <c r="L840" s="2">
        <v>3</v>
      </c>
      <c r="M840" s="10">
        <v>7361</v>
      </c>
      <c r="N840" s="7">
        <v>22083</v>
      </c>
    </row>
    <row r="841" spans="1:14" x14ac:dyDescent="0.3">
      <c r="A841">
        <v>1284</v>
      </c>
      <c r="B841" s="1">
        <v>45573</v>
      </c>
      <c r="C841">
        <v>2024</v>
      </c>
      <c r="D841">
        <v>10</v>
      </c>
      <c r="E841" t="str">
        <f t="shared" si="13"/>
        <v>Oktober</v>
      </c>
      <c r="F841">
        <v>4</v>
      </c>
      <c r="G841" t="s">
        <v>1519</v>
      </c>
      <c r="H841" t="s">
        <v>1520</v>
      </c>
      <c r="I841" t="s">
        <v>1531</v>
      </c>
      <c r="J841" t="s">
        <v>1524</v>
      </c>
      <c r="K841" t="s">
        <v>1525</v>
      </c>
      <c r="L841" s="2">
        <v>3</v>
      </c>
      <c r="M841" s="10">
        <v>7361</v>
      </c>
      <c r="N841" s="7">
        <v>22083</v>
      </c>
    </row>
    <row r="842" spans="1:14" x14ac:dyDescent="0.3">
      <c r="A842">
        <v>1284</v>
      </c>
      <c r="B842" s="1">
        <v>45065</v>
      </c>
      <c r="C842">
        <v>2023</v>
      </c>
      <c r="D842">
        <v>5</v>
      </c>
      <c r="E842" t="str">
        <f t="shared" si="13"/>
        <v>Mei</v>
      </c>
      <c r="F842">
        <v>2</v>
      </c>
      <c r="G842" t="s">
        <v>1519</v>
      </c>
      <c r="H842" t="s">
        <v>1520</v>
      </c>
      <c r="I842" t="s">
        <v>1531</v>
      </c>
      <c r="J842" t="s">
        <v>1524</v>
      </c>
      <c r="K842" t="s">
        <v>1525</v>
      </c>
      <c r="L842" s="2">
        <v>3</v>
      </c>
      <c r="M842" s="10">
        <v>7361</v>
      </c>
      <c r="N842" s="7">
        <v>22083</v>
      </c>
    </row>
    <row r="843" spans="1:14" x14ac:dyDescent="0.3">
      <c r="A843">
        <v>1286</v>
      </c>
      <c r="B843" s="1">
        <v>44608</v>
      </c>
      <c r="C843">
        <v>2022</v>
      </c>
      <c r="D843">
        <v>2</v>
      </c>
      <c r="E843" t="str">
        <f t="shared" si="13"/>
        <v>Februari</v>
      </c>
      <c r="F843">
        <v>1</v>
      </c>
      <c r="G843" t="s">
        <v>1523</v>
      </c>
      <c r="H843" t="s">
        <v>1512</v>
      </c>
      <c r="I843" t="s">
        <v>1528</v>
      </c>
      <c r="J843" t="s">
        <v>1517</v>
      </c>
      <c r="K843" t="s">
        <v>1518</v>
      </c>
      <c r="L843" s="2">
        <v>1</v>
      </c>
      <c r="M843" s="10">
        <v>16337</v>
      </c>
      <c r="N843" s="7">
        <v>16337</v>
      </c>
    </row>
    <row r="844" spans="1:14" x14ac:dyDescent="0.3">
      <c r="A844">
        <v>1286</v>
      </c>
      <c r="B844" s="1">
        <v>45392</v>
      </c>
      <c r="C844">
        <v>2024</v>
      </c>
      <c r="D844">
        <v>4</v>
      </c>
      <c r="E844" t="str">
        <f t="shared" si="13"/>
        <v>April</v>
      </c>
      <c r="F844">
        <v>2</v>
      </c>
      <c r="G844" t="s">
        <v>1523</v>
      </c>
      <c r="H844" t="s">
        <v>1512</v>
      </c>
      <c r="I844" t="s">
        <v>1528</v>
      </c>
      <c r="J844" t="s">
        <v>1517</v>
      </c>
      <c r="K844" t="s">
        <v>1518</v>
      </c>
      <c r="L844" s="2">
        <v>1</v>
      </c>
      <c r="M844" s="10">
        <v>16337</v>
      </c>
      <c r="N844" s="7">
        <v>16337</v>
      </c>
    </row>
    <row r="845" spans="1:14" x14ac:dyDescent="0.3">
      <c r="A845">
        <v>1286</v>
      </c>
      <c r="B845" s="1">
        <v>45027</v>
      </c>
      <c r="C845">
        <v>2023</v>
      </c>
      <c r="D845">
        <v>4</v>
      </c>
      <c r="E845" t="str">
        <f t="shared" si="13"/>
        <v>April</v>
      </c>
      <c r="F845">
        <v>2</v>
      </c>
      <c r="G845" t="s">
        <v>1523</v>
      </c>
      <c r="H845" t="s">
        <v>1512</v>
      </c>
      <c r="I845" t="s">
        <v>1528</v>
      </c>
      <c r="J845" t="s">
        <v>1517</v>
      </c>
      <c r="K845" t="s">
        <v>1518</v>
      </c>
      <c r="L845" s="2">
        <v>1</v>
      </c>
      <c r="M845" s="10">
        <v>16337</v>
      </c>
      <c r="N845" s="7">
        <v>16337</v>
      </c>
    </row>
    <row r="846" spans="1:14" x14ac:dyDescent="0.3">
      <c r="A846">
        <v>1286</v>
      </c>
      <c r="B846" s="1">
        <v>45290</v>
      </c>
      <c r="C846">
        <v>2023</v>
      </c>
      <c r="D846">
        <v>12</v>
      </c>
      <c r="E846" t="str">
        <f t="shared" si="13"/>
        <v>Desember</v>
      </c>
      <c r="F846">
        <v>4</v>
      </c>
      <c r="G846" t="s">
        <v>1523</v>
      </c>
      <c r="H846" t="s">
        <v>1512</v>
      </c>
      <c r="I846" t="s">
        <v>1528</v>
      </c>
      <c r="J846" t="s">
        <v>1517</v>
      </c>
      <c r="K846" t="s">
        <v>1518</v>
      </c>
      <c r="L846" s="2">
        <v>1</v>
      </c>
      <c r="M846" s="10">
        <v>16337</v>
      </c>
      <c r="N846" s="7">
        <v>16337</v>
      </c>
    </row>
    <row r="847" spans="1:14" x14ac:dyDescent="0.3">
      <c r="A847">
        <v>1287</v>
      </c>
      <c r="B847" s="1">
        <v>44930</v>
      </c>
      <c r="C847">
        <v>2023</v>
      </c>
      <c r="D847">
        <v>1</v>
      </c>
      <c r="E847" t="str">
        <f t="shared" si="13"/>
        <v>Januari</v>
      </c>
      <c r="F847">
        <v>1</v>
      </c>
      <c r="G847" t="s">
        <v>1526</v>
      </c>
      <c r="H847" t="s">
        <v>1527</v>
      </c>
      <c r="I847" t="s">
        <v>1513</v>
      </c>
      <c r="J847" t="s">
        <v>1566</v>
      </c>
      <c r="K847" t="s">
        <v>1514</v>
      </c>
      <c r="L847" s="2">
        <v>3</v>
      </c>
      <c r="M847" s="10">
        <v>295</v>
      </c>
      <c r="N847" s="7">
        <v>885</v>
      </c>
    </row>
    <row r="848" spans="1:14" x14ac:dyDescent="0.3">
      <c r="A848">
        <v>1287</v>
      </c>
      <c r="B848" s="1">
        <v>45081</v>
      </c>
      <c r="C848">
        <v>2023</v>
      </c>
      <c r="D848">
        <v>6</v>
      </c>
      <c r="E848" t="str">
        <f t="shared" si="13"/>
        <v>Juni</v>
      </c>
      <c r="F848">
        <v>2</v>
      </c>
      <c r="G848" t="s">
        <v>1526</v>
      </c>
      <c r="H848" t="s">
        <v>1527</v>
      </c>
      <c r="I848" t="s">
        <v>1513</v>
      </c>
      <c r="J848" t="s">
        <v>1566</v>
      </c>
      <c r="K848" t="s">
        <v>1514</v>
      </c>
      <c r="L848" s="2">
        <v>3</v>
      </c>
      <c r="M848" s="10">
        <v>295</v>
      </c>
      <c r="N848" s="7">
        <v>885</v>
      </c>
    </row>
    <row r="849" spans="1:14" x14ac:dyDescent="0.3">
      <c r="A849">
        <v>1287</v>
      </c>
      <c r="B849" s="1">
        <v>45023</v>
      </c>
      <c r="C849">
        <v>2023</v>
      </c>
      <c r="D849">
        <v>4</v>
      </c>
      <c r="E849" t="str">
        <f t="shared" si="13"/>
        <v>April</v>
      </c>
      <c r="F849">
        <v>2</v>
      </c>
      <c r="G849" t="s">
        <v>1526</v>
      </c>
      <c r="H849" t="s">
        <v>1527</v>
      </c>
      <c r="I849" t="s">
        <v>1513</v>
      </c>
      <c r="J849" t="s">
        <v>1566</v>
      </c>
      <c r="K849" t="s">
        <v>1514</v>
      </c>
      <c r="L849" s="2">
        <v>3</v>
      </c>
      <c r="M849" s="10">
        <v>295</v>
      </c>
      <c r="N849" s="7">
        <v>885</v>
      </c>
    </row>
    <row r="850" spans="1:14" x14ac:dyDescent="0.3">
      <c r="A850">
        <v>1287</v>
      </c>
      <c r="B850" s="1">
        <v>45639</v>
      </c>
      <c r="C850">
        <v>2024</v>
      </c>
      <c r="D850">
        <v>12</v>
      </c>
      <c r="E850" t="str">
        <f t="shared" si="13"/>
        <v>Desember</v>
      </c>
      <c r="F850">
        <v>4</v>
      </c>
      <c r="G850" t="s">
        <v>1526</v>
      </c>
      <c r="H850" t="s">
        <v>1527</v>
      </c>
      <c r="I850" t="s">
        <v>1513</v>
      </c>
      <c r="J850" t="s">
        <v>1566</v>
      </c>
      <c r="K850" t="s">
        <v>1514</v>
      </c>
      <c r="L850" s="2">
        <v>3</v>
      </c>
      <c r="M850" s="10">
        <v>295</v>
      </c>
      <c r="N850" s="7">
        <v>885</v>
      </c>
    </row>
    <row r="851" spans="1:14" x14ac:dyDescent="0.3">
      <c r="A851">
        <v>1287</v>
      </c>
      <c r="B851" s="1">
        <v>45230</v>
      </c>
      <c r="C851">
        <v>2023</v>
      </c>
      <c r="D851">
        <v>10</v>
      </c>
      <c r="E851" t="str">
        <f t="shared" si="13"/>
        <v>Oktober</v>
      </c>
      <c r="F851">
        <v>4</v>
      </c>
      <c r="G851" t="s">
        <v>1526</v>
      </c>
      <c r="H851" t="s">
        <v>1527</v>
      </c>
      <c r="I851" t="s">
        <v>1513</v>
      </c>
      <c r="J851" t="s">
        <v>1566</v>
      </c>
      <c r="K851" t="s">
        <v>1514</v>
      </c>
      <c r="L851" s="2">
        <v>3</v>
      </c>
      <c r="M851" s="10">
        <v>295</v>
      </c>
      <c r="N851" s="7">
        <v>885</v>
      </c>
    </row>
    <row r="852" spans="1:14" x14ac:dyDescent="0.3">
      <c r="A852">
        <v>1288</v>
      </c>
      <c r="B852" s="1">
        <v>45646</v>
      </c>
      <c r="C852">
        <v>2024</v>
      </c>
      <c r="D852">
        <v>12</v>
      </c>
      <c r="E852" t="str">
        <f t="shared" si="13"/>
        <v>Desember</v>
      </c>
      <c r="F852">
        <v>4</v>
      </c>
      <c r="G852" t="s">
        <v>1529</v>
      </c>
      <c r="H852" t="s">
        <v>1530</v>
      </c>
      <c r="I852" t="s">
        <v>1535</v>
      </c>
      <c r="J852" t="s">
        <v>1566</v>
      </c>
      <c r="K852" t="s">
        <v>1518</v>
      </c>
      <c r="L852" s="2">
        <v>2</v>
      </c>
      <c r="M852" s="10">
        <v>1486</v>
      </c>
      <c r="N852" s="7">
        <v>2972</v>
      </c>
    </row>
    <row r="853" spans="1:14" x14ac:dyDescent="0.3">
      <c r="A853">
        <v>1289</v>
      </c>
      <c r="B853" s="1">
        <v>45253</v>
      </c>
      <c r="C853">
        <v>2023</v>
      </c>
      <c r="D853">
        <v>11</v>
      </c>
      <c r="E853" t="str">
        <f t="shared" si="13"/>
        <v>November</v>
      </c>
      <c r="F853">
        <v>4</v>
      </c>
      <c r="G853" t="s">
        <v>1532</v>
      </c>
      <c r="H853" t="s">
        <v>1512</v>
      </c>
      <c r="I853" t="s">
        <v>1535</v>
      </c>
      <c r="J853" t="s">
        <v>1566</v>
      </c>
      <c r="K853" t="s">
        <v>1525</v>
      </c>
      <c r="L853" s="2">
        <v>2</v>
      </c>
      <c r="M853" s="10">
        <v>12872</v>
      </c>
      <c r="N853" s="7">
        <v>25744</v>
      </c>
    </row>
    <row r="854" spans="1:14" x14ac:dyDescent="0.3">
      <c r="A854">
        <v>1289</v>
      </c>
      <c r="B854" s="1">
        <v>45066</v>
      </c>
      <c r="C854">
        <v>2023</v>
      </c>
      <c r="D854">
        <v>5</v>
      </c>
      <c r="E854" t="str">
        <f t="shared" si="13"/>
        <v>Mei</v>
      </c>
      <c r="F854">
        <v>2</v>
      </c>
      <c r="G854" t="s">
        <v>1532</v>
      </c>
      <c r="H854" t="s">
        <v>1512</v>
      </c>
      <c r="I854" t="s">
        <v>1535</v>
      </c>
      <c r="J854" t="s">
        <v>1566</v>
      </c>
      <c r="K854" t="s">
        <v>1525</v>
      </c>
      <c r="L854" s="2">
        <v>2</v>
      </c>
      <c r="M854" s="10">
        <v>12872</v>
      </c>
      <c r="N854" s="7">
        <v>25744</v>
      </c>
    </row>
    <row r="855" spans="1:14" x14ac:dyDescent="0.3">
      <c r="A855">
        <v>1289</v>
      </c>
      <c r="B855" s="1">
        <v>44647</v>
      </c>
      <c r="C855">
        <v>2022</v>
      </c>
      <c r="D855">
        <v>3</v>
      </c>
      <c r="E855" t="str">
        <f t="shared" si="13"/>
        <v>Maret</v>
      </c>
      <c r="F855">
        <v>1</v>
      </c>
      <c r="G855" t="s">
        <v>1532</v>
      </c>
      <c r="H855" t="s">
        <v>1512</v>
      </c>
      <c r="I855" t="s">
        <v>1535</v>
      </c>
      <c r="J855" t="s">
        <v>1566</v>
      </c>
      <c r="K855" t="s">
        <v>1525</v>
      </c>
      <c r="L855" s="2">
        <v>2</v>
      </c>
      <c r="M855" s="10">
        <v>12872</v>
      </c>
      <c r="N855" s="7">
        <v>25744</v>
      </c>
    </row>
    <row r="856" spans="1:14" x14ac:dyDescent="0.3">
      <c r="A856">
        <v>1289</v>
      </c>
      <c r="B856" s="1">
        <v>44799</v>
      </c>
      <c r="C856">
        <v>2022</v>
      </c>
      <c r="D856">
        <v>8</v>
      </c>
      <c r="E856" t="str">
        <f t="shared" si="13"/>
        <v>Agustus</v>
      </c>
      <c r="F856">
        <v>3</v>
      </c>
      <c r="G856" t="s">
        <v>1532</v>
      </c>
      <c r="H856" t="s">
        <v>1512</v>
      </c>
      <c r="I856" t="s">
        <v>1535</v>
      </c>
      <c r="J856" t="s">
        <v>1566</v>
      </c>
      <c r="K856" t="s">
        <v>1525</v>
      </c>
      <c r="L856" s="2">
        <v>2</v>
      </c>
      <c r="M856" s="10">
        <v>12872</v>
      </c>
      <c r="N856" s="7">
        <v>25744</v>
      </c>
    </row>
    <row r="857" spans="1:14" x14ac:dyDescent="0.3">
      <c r="A857">
        <v>1290</v>
      </c>
      <c r="B857" s="1">
        <v>44627</v>
      </c>
      <c r="C857">
        <v>2022</v>
      </c>
      <c r="D857">
        <v>3</v>
      </c>
      <c r="E857" t="str">
        <f t="shared" si="13"/>
        <v>Maret</v>
      </c>
      <c r="F857">
        <v>1</v>
      </c>
      <c r="G857" t="s">
        <v>1533</v>
      </c>
      <c r="H857" t="s">
        <v>1520</v>
      </c>
      <c r="I857" t="s">
        <v>1521</v>
      </c>
      <c r="J857" t="s">
        <v>1517</v>
      </c>
      <c r="K857" t="s">
        <v>1518</v>
      </c>
      <c r="L857" s="2">
        <v>3</v>
      </c>
      <c r="M857" s="10">
        <v>740</v>
      </c>
      <c r="N857" s="7">
        <v>2220</v>
      </c>
    </row>
    <row r="858" spans="1:14" x14ac:dyDescent="0.3">
      <c r="A858">
        <v>1290</v>
      </c>
      <c r="B858" s="1">
        <v>44966</v>
      </c>
      <c r="C858">
        <v>2023</v>
      </c>
      <c r="D858">
        <v>2</v>
      </c>
      <c r="E858" t="str">
        <f t="shared" si="13"/>
        <v>Februari</v>
      </c>
      <c r="F858">
        <v>1</v>
      </c>
      <c r="G858" t="s">
        <v>1533</v>
      </c>
      <c r="H858" t="s">
        <v>1520</v>
      </c>
      <c r="I858" t="s">
        <v>1521</v>
      </c>
      <c r="J858" t="s">
        <v>1517</v>
      </c>
      <c r="K858" t="s">
        <v>1518</v>
      </c>
      <c r="L858" s="2">
        <v>3</v>
      </c>
      <c r="M858" s="10">
        <v>740</v>
      </c>
      <c r="N858" s="7">
        <v>2220</v>
      </c>
    </row>
    <row r="859" spans="1:14" x14ac:dyDescent="0.3">
      <c r="A859">
        <v>1290</v>
      </c>
      <c r="B859" s="1">
        <v>45189</v>
      </c>
      <c r="C859">
        <v>2023</v>
      </c>
      <c r="D859">
        <v>9</v>
      </c>
      <c r="E859" t="str">
        <f t="shared" si="13"/>
        <v>September</v>
      </c>
      <c r="F859">
        <v>3</v>
      </c>
      <c r="G859" t="s">
        <v>1533</v>
      </c>
      <c r="H859" t="s">
        <v>1520</v>
      </c>
      <c r="I859" t="s">
        <v>1521</v>
      </c>
      <c r="J859" t="s">
        <v>1517</v>
      </c>
      <c r="K859" t="s">
        <v>1518</v>
      </c>
      <c r="L859" s="2">
        <v>3</v>
      </c>
      <c r="M859" s="10">
        <v>740</v>
      </c>
      <c r="N859" s="7">
        <v>2220</v>
      </c>
    </row>
    <row r="860" spans="1:14" x14ac:dyDescent="0.3">
      <c r="A860">
        <v>1291</v>
      </c>
      <c r="B860" s="1">
        <v>45545</v>
      </c>
      <c r="C860">
        <v>2024</v>
      </c>
      <c r="D860">
        <v>9</v>
      </c>
      <c r="E860" t="str">
        <f t="shared" si="13"/>
        <v>September</v>
      </c>
      <c r="F860">
        <v>3</v>
      </c>
      <c r="G860" t="s">
        <v>1511</v>
      </c>
      <c r="H860" t="s">
        <v>1512</v>
      </c>
      <c r="I860" t="s">
        <v>1535</v>
      </c>
      <c r="J860" t="s">
        <v>1517</v>
      </c>
      <c r="K860" t="s">
        <v>1514</v>
      </c>
      <c r="L860" s="2">
        <v>1</v>
      </c>
      <c r="M860" s="10">
        <v>69296</v>
      </c>
      <c r="N860" s="7">
        <v>69296</v>
      </c>
    </row>
    <row r="861" spans="1:14" x14ac:dyDescent="0.3">
      <c r="A861">
        <v>1291</v>
      </c>
      <c r="B861" s="1">
        <v>45293</v>
      </c>
      <c r="C861">
        <v>2024</v>
      </c>
      <c r="D861">
        <v>1</v>
      </c>
      <c r="E861" t="str">
        <f t="shared" si="13"/>
        <v>Januari</v>
      </c>
      <c r="F861">
        <v>1</v>
      </c>
      <c r="G861" t="s">
        <v>1511</v>
      </c>
      <c r="H861" t="s">
        <v>1512</v>
      </c>
      <c r="I861" t="s">
        <v>1535</v>
      </c>
      <c r="J861" t="s">
        <v>1517</v>
      </c>
      <c r="K861" t="s">
        <v>1514</v>
      </c>
      <c r="L861" s="2">
        <v>1</v>
      </c>
      <c r="M861" s="10">
        <v>69296</v>
      </c>
      <c r="N861" s="7">
        <v>69296</v>
      </c>
    </row>
    <row r="862" spans="1:14" x14ac:dyDescent="0.3">
      <c r="A862">
        <v>1291</v>
      </c>
      <c r="B862" s="1">
        <v>45429</v>
      </c>
      <c r="C862">
        <v>2024</v>
      </c>
      <c r="D862">
        <v>5</v>
      </c>
      <c r="E862" t="str">
        <f t="shared" si="13"/>
        <v>Mei</v>
      </c>
      <c r="F862">
        <v>2</v>
      </c>
      <c r="G862" t="s">
        <v>1511</v>
      </c>
      <c r="H862" t="s">
        <v>1512</v>
      </c>
      <c r="I862" t="s">
        <v>1535</v>
      </c>
      <c r="J862" t="s">
        <v>1517</v>
      </c>
      <c r="K862" t="s">
        <v>1514</v>
      </c>
      <c r="L862" s="2">
        <v>1</v>
      </c>
      <c r="M862" s="10">
        <v>69296</v>
      </c>
      <c r="N862" s="7">
        <v>69296</v>
      </c>
    </row>
    <row r="863" spans="1:14" x14ac:dyDescent="0.3">
      <c r="A863">
        <v>1291</v>
      </c>
      <c r="B863" s="1">
        <v>45475</v>
      </c>
      <c r="C863">
        <v>2024</v>
      </c>
      <c r="D863">
        <v>7</v>
      </c>
      <c r="E863" t="str">
        <f t="shared" si="13"/>
        <v>Juli</v>
      </c>
      <c r="F863">
        <v>3</v>
      </c>
      <c r="G863" t="s">
        <v>1511</v>
      </c>
      <c r="H863" t="s">
        <v>1512</v>
      </c>
      <c r="I863" t="s">
        <v>1535</v>
      </c>
      <c r="J863" t="s">
        <v>1517</v>
      </c>
      <c r="K863" t="s">
        <v>1514</v>
      </c>
      <c r="L863" s="2">
        <v>1</v>
      </c>
      <c r="M863" s="10">
        <v>69296</v>
      </c>
      <c r="N863" s="7">
        <v>69296</v>
      </c>
    </row>
    <row r="864" spans="1:14" x14ac:dyDescent="0.3">
      <c r="A864">
        <v>1292</v>
      </c>
      <c r="B864" s="1">
        <v>44942</v>
      </c>
      <c r="C864">
        <v>2023</v>
      </c>
      <c r="D864">
        <v>1</v>
      </c>
      <c r="E864" t="str">
        <f t="shared" si="13"/>
        <v>Januari</v>
      </c>
      <c r="F864">
        <v>1</v>
      </c>
      <c r="G864" t="s">
        <v>1515</v>
      </c>
      <c r="H864" t="s">
        <v>1512</v>
      </c>
      <c r="I864" t="s">
        <v>1531</v>
      </c>
      <c r="J864" t="s">
        <v>1566</v>
      </c>
      <c r="K864" t="s">
        <v>1518</v>
      </c>
      <c r="L864" s="2">
        <v>1</v>
      </c>
      <c r="M864" s="10">
        <v>3960</v>
      </c>
      <c r="N864" s="7">
        <v>3960</v>
      </c>
    </row>
    <row r="865" spans="1:14" x14ac:dyDescent="0.3">
      <c r="A865">
        <v>1292</v>
      </c>
      <c r="B865" s="1">
        <v>45071</v>
      </c>
      <c r="C865">
        <v>2023</v>
      </c>
      <c r="D865">
        <v>5</v>
      </c>
      <c r="E865" t="str">
        <f t="shared" si="13"/>
        <v>Mei</v>
      </c>
      <c r="F865">
        <v>2</v>
      </c>
      <c r="G865" t="s">
        <v>1515</v>
      </c>
      <c r="H865" t="s">
        <v>1512</v>
      </c>
      <c r="I865" t="s">
        <v>1531</v>
      </c>
      <c r="J865" t="s">
        <v>1566</v>
      </c>
      <c r="K865" t="s">
        <v>1518</v>
      </c>
      <c r="L865" s="2">
        <v>1</v>
      </c>
      <c r="M865" s="10">
        <v>3960</v>
      </c>
      <c r="N865" s="7">
        <v>3960</v>
      </c>
    </row>
    <row r="866" spans="1:14" x14ac:dyDescent="0.3">
      <c r="A866">
        <v>1292</v>
      </c>
      <c r="B866" s="1">
        <v>45325</v>
      </c>
      <c r="C866">
        <v>2024</v>
      </c>
      <c r="D866">
        <v>2</v>
      </c>
      <c r="E866" t="str">
        <f t="shared" si="13"/>
        <v>Februari</v>
      </c>
      <c r="F866">
        <v>1</v>
      </c>
      <c r="G866" t="s">
        <v>1515</v>
      </c>
      <c r="H866" t="s">
        <v>1512</v>
      </c>
      <c r="I866" t="s">
        <v>1531</v>
      </c>
      <c r="J866" t="s">
        <v>1566</v>
      </c>
      <c r="K866" t="s">
        <v>1518</v>
      </c>
      <c r="L866" s="2">
        <v>1</v>
      </c>
      <c r="M866" s="10">
        <v>3960</v>
      </c>
      <c r="N866" s="7">
        <v>3960</v>
      </c>
    </row>
    <row r="867" spans="1:14" x14ac:dyDescent="0.3">
      <c r="A867">
        <v>1292</v>
      </c>
      <c r="B867" s="1">
        <v>44660</v>
      </c>
      <c r="C867">
        <v>2022</v>
      </c>
      <c r="D867">
        <v>4</v>
      </c>
      <c r="E867" t="str">
        <f t="shared" si="13"/>
        <v>April</v>
      </c>
      <c r="F867">
        <v>2</v>
      </c>
      <c r="G867" t="s">
        <v>1515</v>
      </c>
      <c r="H867" t="s">
        <v>1512</v>
      </c>
      <c r="I867" t="s">
        <v>1531</v>
      </c>
      <c r="J867" t="s">
        <v>1566</v>
      </c>
      <c r="K867" t="s">
        <v>1518</v>
      </c>
      <c r="L867" s="2">
        <v>1</v>
      </c>
      <c r="M867" s="10">
        <v>3960</v>
      </c>
      <c r="N867" s="7">
        <v>3960</v>
      </c>
    </row>
    <row r="868" spans="1:14" x14ac:dyDescent="0.3">
      <c r="A868">
        <v>1292</v>
      </c>
      <c r="B868" s="1">
        <v>45052</v>
      </c>
      <c r="C868">
        <v>2023</v>
      </c>
      <c r="D868">
        <v>5</v>
      </c>
      <c r="E868" t="str">
        <f t="shared" si="13"/>
        <v>Mei</v>
      </c>
      <c r="F868">
        <v>2</v>
      </c>
      <c r="G868" t="s">
        <v>1515</v>
      </c>
      <c r="H868" t="s">
        <v>1512</v>
      </c>
      <c r="I868" t="s">
        <v>1531</v>
      </c>
      <c r="J868" t="s">
        <v>1566</v>
      </c>
      <c r="K868" t="s">
        <v>1518</v>
      </c>
      <c r="L868" s="2">
        <v>1</v>
      </c>
      <c r="M868" s="10">
        <v>3960</v>
      </c>
      <c r="N868" s="7">
        <v>3960</v>
      </c>
    </row>
    <row r="869" spans="1:14" x14ac:dyDescent="0.3">
      <c r="A869">
        <v>1292</v>
      </c>
      <c r="B869" s="1">
        <v>44597</v>
      </c>
      <c r="C869">
        <v>2022</v>
      </c>
      <c r="D869">
        <v>2</v>
      </c>
      <c r="E869" t="str">
        <f t="shared" si="13"/>
        <v>Februari</v>
      </c>
      <c r="F869">
        <v>1</v>
      </c>
      <c r="G869" t="s">
        <v>1515</v>
      </c>
      <c r="H869" t="s">
        <v>1512</v>
      </c>
      <c r="I869" t="s">
        <v>1531</v>
      </c>
      <c r="J869" t="s">
        <v>1566</v>
      </c>
      <c r="K869" t="s">
        <v>1518</v>
      </c>
      <c r="L869" s="2">
        <v>1</v>
      </c>
      <c r="M869" s="10">
        <v>3960</v>
      </c>
      <c r="N869" s="7">
        <v>3960</v>
      </c>
    </row>
    <row r="870" spans="1:14" x14ac:dyDescent="0.3">
      <c r="A870">
        <v>1293</v>
      </c>
      <c r="B870" s="1">
        <v>45246</v>
      </c>
      <c r="C870">
        <v>2023</v>
      </c>
      <c r="D870">
        <v>11</v>
      </c>
      <c r="E870" t="str">
        <f t="shared" si="13"/>
        <v>November</v>
      </c>
      <c r="F870">
        <v>4</v>
      </c>
      <c r="G870" t="s">
        <v>1534</v>
      </c>
      <c r="H870" t="s">
        <v>1530</v>
      </c>
      <c r="I870" t="s">
        <v>1535</v>
      </c>
      <c r="J870" t="s">
        <v>1566</v>
      </c>
      <c r="K870" t="s">
        <v>1518</v>
      </c>
      <c r="L870" s="2">
        <v>3</v>
      </c>
      <c r="M870" s="10">
        <v>4486</v>
      </c>
      <c r="N870" s="7">
        <v>13458</v>
      </c>
    </row>
    <row r="871" spans="1:14" x14ac:dyDescent="0.3">
      <c r="A871">
        <v>1293</v>
      </c>
      <c r="B871" s="1">
        <v>44645</v>
      </c>
      <c r="C871">
        <v>2022</v>
      </c>
      <c r="D871">
        <v>3</v>
      </c>
      <c r="E871" t="str">
        <f t="shared" si="13"/>
        <v>Maret</v>
      </c>
      <c r="F871">
        <v>1</v>
      </c>
      <c r="G871" t="s">
        <v>1534</v>
      </c>
      <c r="H871" t="s">
        <v>1530</v>
      </c>
      <c r="I871" t="s">
        <v>1535</v>
      </c>
      <c r="J871" t="s">
        <v>1566</v>
      </c>
      <c r="K871" t="s">
        <v>1518</v>
      </c>
      <c r="L871" s="2">
        <v>3</v>
      </c>
      <c r="M871" s="10">
        <v>4486</v>
      </c>
      <c r="N871" s="7">
        <v>13458</v>
      </c>
    </row>
    <row r="872" spans="1:14" x14ac:dyDescent="0.3">
      <c r="A872">
        <v>1294</v>
      </c>
      <c r="B872" s="1">
        <v>44887</v>
      </c>
      <c r="C872">
        <v>2022</v>
      </c>
      <c r="D872">
        <v>11</v>
      </c>
      <c r="E872" t="str">
        <f t="shared" si="13"/>
        <v>November</v>
      </c>
      <c r="F872">
        <v>4</v>
      </c>
      <c r="G872" t="s">
        <v>1519</v>
      </c>
      <c r="H872" t="s">
        <v>1520</v>
      </c>
      <c r="I872" t="s">
        <v>1535</v>
      </c>
      <c r="J872" t="s">
        <v>1566</v>
      </c>
      <c r="K872" t="s">
        <v>1518</v>
      </c>
      <c r="L872" s="2">
        <v>1</v>
      </c>
      <c r="M872" s="10">
        <v>18146</v>
      </c>
      <c r="N872" s="7">
        <v>18146</v>
      </c>
    </row>
    <row r="873" spans="1:14" x14ac:dyDescent="0.3">
      <c r="A873">
        <v>1294</v>
      </c>
      <c r="B873" s="1">
        <v>44807</v>
      </c>
      <c r="C873">
        <v>2022</v>
      </c>
      <c r="D873">
        <v>9</v>
      </c>
      <c r="E873" t="str">
        <f t="shared" si="13"/>
        <v>September</v>
      </c>
      <c r="F873">
        <v>3</v>
      </c>
      <c r="G873" t="s">
        <v>1519</v>
      </c>
      <c r="H873" t="s">
        <v>1520</v>
      </c>
      <c r="I873" t="s">
        <v>1535</v>
      </c>
      <c r="J873" t="s">
        <v>1566</v>
      </c>
      <c r="K873" t="s">
        <v>1518</v>
      </c>
      <c r="L873" s="2">
        <v>1</v>
      </c>
      <c r="M873" s="10">
        <v>18146</v>
      </c>
      <c r="N873" s="7">
        <v>18146</v>
      </c>
    </row>
    <row r="874" spans="1:14" x14ac:dyDescent="0.3">
      <c r="A874">
        <v>1294</v>
      </c>
      <c r="B874" s="1">
        <v>45003</v>
      </c>
      <c r="C874">
        <v>2023</v>
      </c>
      <c r="D874">
        <v>3</v>
      </c>
      <c r="E874" t="str">
        <f t="shared" si="13"/>
        <v>Maret</v>
      </c>
      <c r="F874">
        <v>1</v>
      </c>
      <c r="G874" t="s">
        <v>1519</v>
      </c>
      <c r="H874" t="s">
        <v>1520</v>
      </c>
      <c r="I874" t="s">
        <v>1535</v>
      </c>
      <c r="J874" t="s">
        <v>1566</v>
      </c>
      <c r="K874" t="s">
        <v>1518</v>
      </c>
      <c r="L874" s="2">
        <v>1</v>
      </c>
      <c r="M874" s="10">
        <v>18146</v>
      </c>
      <c r="N874" s="7">
        <v>18146</v>
      </c>
    </row>
    <row r="875" spans="1:14" x14ac:dyDescent="0.3">
      <c r="A875">
        <v>1294</v>
      </c>
      <c r="B875" s="1">
        <v>44779</v>
      </c>
      <c r="C875">
        <v>2022</v>
      </c>
      <c r="D875">
        <v>8</v>
      </c>
      <c r="E875" t="str">
        <f t="shared" si="13"/>
        <v>Agustus</v>
      </c>
      <c r="F875">
        <v>3</v>
      </c>
      <c r="G875" t="s">
        <v>1519</v>
      </c>
      <c r="H875" t="s">
        <v>1520</v>
      </c>
      <c r="I875" t="s">
        <v>1535</v>
      </c>
      <c r="J875" t="s">
        <v>1566</v>
      </c>
      <c r="K875" t="s">
        <v>1518</v>
      </c>
      <c r="L875" s="2">
        <v>1</v>
      </c>
      <c r="M875" s="10">
        <v>18146</v>
      </c>
      <c r="N875" s="7">
        <v>18146</v>
      </c>
    </row>
    <row r="876" spans="1:14" x14ac:dyDescent="0.3">
      <c r="A876">
        <v>1296</v>
      </c>
      <c r="B876" s="1">
        <v>44834</v>
      </c>
      <c r="C876">
        <v>2022</v>
      </c>
      <c r="D876">
        <v>9</v>
      </c>
      <c r="E876" t="str">
        <f t="shared" si="13"/>
        <v>September</v>
      </c>
      <c r="F876">
        <v>3</v>
      </c>
      <c r="G876" t="s">
        <v>1523</v>
      </c>
      <c r="H876" t="s">
        <v>1512</v>
      </c>
      <c r="I876" t="s">
        <v>1516</v>
      </c>
      <c r="J876" t="s">
        <v>1524</v>
      </c>
      <c r="K876" t="s">
        <v>1518</v>
      </c>
      <c r="L876" s="2">
        <v>1</v>
      </c>
      <c r="M876" s="10">
        <v>34548</v>
      </c>
      <c r="N876" s="7">
        <v>34548</v>
      </c>
    </row>
    <row r="877" spans="1:14" x14ac:dyDescent="0.3">
      <c r="A877">
        <v>1296</v>
      </c>
      <c r="B877" s="1">
        <v>45286</v>
      </c>
      <c r="C877">
        <v>2023</v>
      </c>
      <c r="D877">
        <v>12</v>
      </c>
      <c r="E877" t="str">
        <f t="shared" si="13"/>
        <v>Desember</v>
      </c>
      <c r="F877">
        <v>4</v>
      </c>
      <c r="G877" t="s">
        <v>1523</v>
      </c>
      <c r="H877" t="s">
        <v>1512</v>
      </c>
      <c r="I877" t="s">
        <v>1516</v>
      </c>
      <c r="J877" t="s">
        <v>1524</v>
      </c>
      <c r="K877" t="s">
        <v>1518</v>
      </c>
      <c r="L877" s="2">
        <v>1</v>
      </c>
      <c r="M877" s="10">
        <v>34548</v>
      </c>
      <c r="N877" s="7">
        <v>34548</v>
      </c>
    </row>
    <row r="878" spans="1:14" x14ac:dyDescent="0.3">
      <c r="A878">
        <v>1296</v>
      </c>
      <c r="B878" s="1">
        <v>44755</v>
      </c>
      <c r="C878">
        <v>2022</v>
      </c>
      <c r="D878">
        <v>7</v>
      </c>
      <c r="E878" t="str">
        <f t="shared" si="13"/>
        <v>Juli</v>
      </c>
      <c r="F878">
        <v>3</v>
      </c>
      <c r="G878" t="s">
        <v>1523</v>
      </c>
      <c r="H878" t="s">
        <v>1512</v>
      </c>
      <c r="I878" t="s">
        <v>1516</v>
      </c>
      <c r="J878" t="s">
        <v>1524</v>
      </c>
      <c r="K878" t="s">
        <v>1518</v>
      </c>
      <c r="L878" s="2">
        <v>1</v>
      </c>
      <c r="M878" s="10">
        <v>34548</v>
      </c>
      <c r="N878" s="7">
        <v>34548</v>
      </c>
    </row>
    <row r="879" spans="1:14" x14ac:dyDescent="0.3">
      <c r="A879">
        <v>1296</v>
      </c>
      <c r="B879" s="1">
        <v>45420</v>
      </c>
      <c r="C879">
        <v>2024</v>
      </c>
      <c r="D879">
        <v>5</v>
      </c>
      <c r="E879" t="str">
        <f t="shared" si="13"/>
        <v>Mei</v>
      </c>
      <c r="F879">
        <v>2</v>
      </c>
      <c r="G879" t="s">
        <v>1523</v>
      </c>
      <c r="H879" t="s">
        <v>1512</v>
      </c>
      <c r="I879" t="s">
        <v>1516</v>
      </c>
      <c r="J879" t="s">
        <v>1524</v>
      </c>
      <c r="K879" t="s">
        <v>1518</v>
      </c>
      <c r="L879" s="2">
        <v>1</v>
      </c>
      <c r="M879" s="10">
        <v>34548</v>
      </c>
      <c r="N879" s="7">
        <v>34548</v>
      </c>
    </row>
    <row r="880" spans="1:14" x14ac:dyDescent="0.3">
      <c r="A880">
        <v>1297</v>
      </c>
      <c r="B880" s="1">
        <v>45280</v>
      </c>
      <c r="C880">
        <v>2023</v>
      </c>
      <c r="D880">
        <v>12</v>
      </c>
      <c r="E880" t="str">
        <f t="shared" si="13"/>
        <v>Desember</v>
      </c>
      <c r="F880">
        <v>4</v>
      </c>
      <c r="G880" t="s">
        <v>1526</v>
      </c>
      <c r="H880" t="s">
        <v>1527</v>
      </c>
      <c r="I880" t="s">
        <v>1531</v>
      </c>
      <c r="J880" t="s">
        <v>1524</v>
      </c>
      <c r="K880" t="s">
        <v>1525</v>
      </c>
      <c r="L880" s="2">
        <v>1</v>
      </c>
      <c r="M880" s="10">
        <v>925</v>
      </c>
      <c r="N880" s="7">
        <v>925</v>
      </c>
    </row>
    <row r="881" spans="1:14" x14ac:dyDescent="0.3">
      <c r="A881">
        <v>1298</v>
      </c>
      <c r="B881" s="1">
        <v>44916</v>
      </c>
      <c r="C881">
        <v>2022</v>
      </c>
      <c r="D881">
        <v>12</v>
      </c>
      <c r="E881" t="str">
        <f t="shared" si="13"/>
        <v>Desember</v>
      </c>
      <c r="F881">
        <v>4</v>
      </c>
      <c r="G881" t="s">
        <v>1529</v>
      </c>
      <c r="H881" t="s">
        <v>1530</v>
      </c>
      <c r="I881" t="s">
        <v>1535</v>
      </c>
      <c r="J881" t="s">
        <v>1517</v>
      </c>
      <c r="K881" t="s">
        <v>1525</v>
      </c>
      <c r="L881" s="2">
        <v>4</v>
      </c>
      <c r="M881" s="10">
        <v>899</v>
      </c>
      <c r="N881" s="7">
        <v>3596</v>
      </c>
    </row>
    <row r="882" spans="1:14" x14ac:dyDescent="0.3">
      <c r="A882">
        <v>1299</v>
      </c>
      <c r="B882" s="1">
        <v>45076</v>
      </c>
      <c r="C882">
        <v>2023</v>
      </c>
      <c r="D882">
        <v>5</v>
      </c>
      <c r="E882" t="str">
        <f t="shared" si="13"/>
        <v>Mei</v>
      </c>
      <c r="F882">
        <v>2</v>
      </c>
      <c r="G882" t="s">
        <v>1532</v>
      </c>
      <c r="H882" t="s">
        <v>1512</v>
      </c>
      <c r="I882" t="s">
        <v>1528</v>
      </c>
      <c r="J882" t="s">
        <v>1517</v>
      </c>
      <c r="K882" t="s">
        <v>1514</v>
      </c>
      <c r="L882" s="2">
        <v>2</v>
      </c>
      <c r="M882" s="10">
        <v>11888</v>
      </c>
      <c r="N882" s="7">
        <v>23776</v>
      </c>
    </row>
    <row r="883" spans="1:14" x14ac:dyDescent="0.3">
      <c r="A883">
        <v>1299</v>
      </c>
      <c r="B883" s="1">
        <v>44714</v>
      </c>
      <c r="C883">
        <v>2022</v>
      </c>
      <c r="D883">
        <v>6</v>
      </c>
      <c r="E883" t="str">
        <f t="shared" si="13"/>
        <v>Juni</v>
      </c>
      <c r="F883">
        <v>2</v>
      </c>
      <c r="G883" t="s">
        <v>1532</v>
      </c>
      <c r="H883" t="s">
        <v>1512</v>
      </c>
      <c r="I883" t="s">
        <v>1528</v>
      </c>
      <c r="J883" t="s">
        <v>1517</v>
      </c>
      <c r="K883" t="s">
        <v>1514</v>
      </c>
      <c r="L883" s="2">
        <v>2</v>
      </c>
      <c r="M883" s="10">
        <v>11888</v>
      </c>
      <c r="N883" s="7">
        <v>23776</v>
      </c>
    </row>
    <row r="884" spans="1:14" x14ac:dyDescent="0.3">
      <c r="A884">
        <v>1299</v>
      </c>
      <c r="B884" s="1">
        <v>45072</v>
      </c>
      <c r="C884">
        <v>2023</v>
      </c>
      <c r="D884">
        <v>5</v>
      </c>
      <c r="E884" t="str">
        <f t="shared" si="13"/>
        <v>Mei</v>
      </c>
      <c r="F884">
        <v>2</v>
      </c>
      <c r="G884" t="s">
        <v>1532</v>
      </c>
      <c r="H884" t="s">
        <v>1512</v>
      </c>
      <c r="I884" t="s">
        <v>1528</v>
      </c>
      <c r="J884" t="s">
        <v>1517</v>
      </c>
      <c r="K884" t="s">
        <v>1514</v>
      </c>
      <c r="L884" s="2">
        <v>2</v>
      </c>
      <c r="M884" s="10">
        <v>11888</v>
      </c>
      <c r="N884" s="7">
        <v>23776</v>
      </c>
    </row>
    <row r="885" spans="1:14" x14ac:dyDescent="0.3">
      <c r="A885">
        <v>1301</v>
      </c>
      <c r="B885" s="1">
        <v>44624</v>
      </c>
      <c r="C885">
        <v>2022</v>
      </c>
      <c r="D885">
        <v>3</v>
      </c>
      <c r="E885" t="str">
        <f t="shared" si="13"/>
        <v>Maret</v>
      </c>
      <c r="F885">
        <v>1</v>
      </c>
      <c r="G885" t="s">
        <v>1511</v>
      </c>
      <c r="H885" t="s">
        <v>1512</v>
      </c>
      <c r="I885" t="s">
        <v>1516</v>
      </c>
      <c r="J885" t="s">
        <v>1517</v>
      </c>
      <c r="K885" t="s">
        <v>1525</v>
      </c>
      <c r="L885" s="2">
        <v>1</v>
      </c>
      <c r="M885" s="10">
        <v>57645</v>
      </c>
      <c r="N885" s="7">
        <v>57645</v>
      </c>
    </row>
    <row r="886" spans="1:14" x14ac:dyDescent="0.3">
      <c r="A886">
        <v>1302</v>
      </c>
      <c r="B886" s="1">
        <v>45093</v>
      </c>
      <c r="C886">
        <v>2023</v>
      </c>
      <c r="D886">
        <v>6</v>
      </c>
      <c r="E886" t="str">
        <f t="shared" si="13"/>
        <v>Juni</v>
      </c>
      <c r="F886">
        <v>2</v>
      </c>
      <c r="G886" t="s">
        <v>1515</v>
      </c>
      <c r="H886" t="s">
        <v>1512</v>
      </c>
      <c r="I886" t="s">
        <v>1516</v>
      </c>
      <c r="J886" t="s">
        <v>1566</v>
      </c>
      <c r="K886" t="s">
        <v>1514</v>
      </c>
      <c r="L886" s="2">
        <v>2</v>
      </c>
      <c r="M886" s="10">
        <v>3967</v>
      </c>
      <c r="N886" s="7">
        <v>7934</v>
      </c>
    </row>
    <row r="887" spans="1:14" x14ac:dyDescent="0.3">
      <c r="A887">
        <v>1302</v>
      </c>
      <c r="B887" s="1">
        <v>45062</v>
      </c>
      <c r="C887">
        <v>2023</v>
      </c>
      <c r="D887">
        <v>5</v>
      </c>
      <c r="E887" t="str">
        <f t="shared" si="13"/>
        <v>Mei</v>
      </c>
      <c r="F887">
        <v>2</v>
      </c>
      <c r="G887" t="s">
        <v>1515</v>
      </c>
      <c r="H887" t="s">
        <v>1512</v>
      </c>
      <c r="I887" t="s">
        <v>1516</v>
      </c>
      <c r="J887" t="s">
        <v>1566</v>
      </c>
      <c r="K887" t="s">
        <v>1514</v>
      </c>
      <c r="L887" s="2">
        <v>2</v>
      </c>
      <c r="M887" s="10">
        <v>3967</v>
      </c>
      <c r="N887" s="7">
        <v>7934</v>
      </c>
    </row>
    <row r="888" spans="1:14" x14ac:dyDescent="0.3">
      <c r="A888">
        <v>1303</v>
      </c>
      <c r="B888" s="1">
        <v>44893</v>
      </c>
      <c r="C888">
        <v>2022</v>
      </c>
      <c r="D888">
        <v>11</v>
      </c>
      <c r="E888" t="str">
        <f t="shared" si="13"/>
        <v>November</v>
      </c>
      <c r="F888">
        <v>4</v>
      </c>
      <c r="G888" t="s">
        <v>1534</v>
      </c>
      <c r="H888" t="s">
        <v>1530</v>
      </c>
      <c r="I888" t="s">
        <v>1516</v>
      </c>
      <c r="J888" t="s">
        <v>1566</v>
      </c>
      <c r="K888" t="s">
        <v>1518</v>
      </c>
      <c r="L888" s="2">
        <v>1</v>
      </c>
      <c r="M888" s="10">
        <v>4593</v>
      </c>
      <c r="N888" s="7">
        <v>4593</v>
      </c>
    </row>
    <row r="889" spans="1:14" x14ac:dyDescent="0.3">
      <c r="A889">
        <v>1303</v>
      </c>
      <c r="B889" s="1">
        <v>44788</v>
      </c>
      <c r="C889">
        <v>2022</v>
      </c>
      <c r="D889">
        <v>8</v>
      </c>
      <c r="E889" t="str">
        <f t="shared" si="13"/>
        <v>Agustus</v>
      </c>
      <c r="F889">
        <v>3</v>
      </c>
      <c r="G889" t="s">
        <v>1534</v>
      </c>
      <c r="H889" t="s">
        <v>1530</v>
      </c>
      <c r="I889" t="s">
        <v>1516</v>
      </c>
      <c r="J889" t="s">
        <v>1566</v>
      </c>
      <c r="K889" t="s">
        <v>1518</v>
      </c>
      <c r="L889" s="2">
        <v>1</v>
      </c>
      <c r="M889" s="10">
        <v>4593</v>
      </c>
      <c r="N889" s="7">
        <v>4593</v>
      </c>
    </row>
    <row r="890" spans="1:14" x14ac:dyDescent="0.3">
      <c r="A890">
        <v>1304</v>
      </c>
      <c r="B890" s="1">
        <v>44660</v>
      </c>
      <c r="C890">
        <v>2022</v>
      </c>
      <c r="D890">
        <v>4</v>
      </c>
      <c r="E890" t="str">
        <f t="shared" si="13"/>
        <v>April</v>
      </c>
      <c r="F890">
        <v>2</v>
      </c>
      <c r="G890" t="s">
        <v>1519</v>
      </c>
      <c r="H890" t="s">
        <v>1520</v>
      </c>
      <c r="I890" t="s">
        <v>1516</v>
      </c>
      <c r="J890" t="s">
        <v>1517</v>
      </c>
      <c r="K890" t="s">
        <v>1525</v>
      </c>
      <c r="L890" s="2">
        <v>4</v>
      </c>
      <c r="M890" s="10">
        <v>5728</v>
      </c>
      <c r="N890" s="7">
        <v>22912</v>
      </c>
    </row>
    <row r="891" spans="1:14" x14ac:dyDescent="0.3">
      <c r="A891">
        <v>1304</v>
      </c>
      <c r="B891" s="1">
        <v>44907</v>
      </c>
      <c r="C891">
        <v>2022</v>
      </c>
      <c r="D891">
        <v>12</v>
      </c>
      <c r="E891" t="str">
        <f t="shared" si="13"/>
        <v>Desember</v>
      </c>
      <c r="F891">
        <v>4</v>
      </c>
      <c r="G891" t="s">
        <v>1519</v>
      </c>
      <c r="H891" t="s">
        <v>1520</v>
      </c>
      <c r="I891" t="s">
        <v>1516</v>
      </c>
      <c r="J891" t="s">
        <v>1517</v>
      </c>
      <c r="K891" t="s">
        <v>1525</v>
      </c>
      <c r="L891" s="2">
        <v>4</v>
      </c>
      <c r="M891" s="10">
        <v>5728</v>
      </c>
      <c r="N891" s="7">
        <v>22912</v>
      </c>
    </row>
    <row r="892" spans="1:14" x14ac:dyDescent="0.3">
      <c r="A892">
        <v>1304</v>
      </c>
      <c r="B892" s="1">
        <v>45256</v>
      </c>
      <c r="C892">
        <v>2023</v>
      </c>
      <c r="D892">
        <v>11</v>
      </c>
      <c r="E892" t="str">
        <f t="shared" si="13"/>
        <v>November</v>
      </c>
      <c r="F892">
        <v>4</v>
      </c>
      <c r="G892" t="s">
        <v>1519</v>
      </c>
      <c r="H892" t="s">
        <v>1520</v>
      </c>
      <c r="I892" t="s">
        <v>1516</v>
      </c>
      <c r="J892" t="s">
        <v>1517</v>
      </c>
      <c r="K892" t="s">
        <v>1525</v>
      </c>
      <c r="L892" s="2">
        <v>4</v>
      </c>
      <c r="M892" s="10">
        <v>5728</v>
      </c>
      <c r="N892" s="7">
        <v>22912</v>
      </c>
    </row>
    <row r="893" spans="1:14" x14ac:dyDescent="0.3">
      <c r="A893">
        <v>1304</v>
      </c>
      <c r="B893" s="1">
        <v>45028</v>
      </c>
      <c r="C893">
        <v>2023</v>
      </c>
      <c r="D893">
        <v>4</v>
      </c>
      <c r="E893" t="str">
        <f t="shared" si="13"/>
        <v>April</v>
      </c>
      <c r="F893">
        <v>2</v>
      </c>
      <c r="G893" t="s">
        <v>1519</v>
      </c>
      <c r="H893" t="s">
        <v>1520</v>
      </c>
      <c r="I893" t="s">
        <v>1516</v>
      </c>
      <c r="J893" t="s">
        <v>1517</v>
      </c>
      <c r="K893" t="s">
        <v>1525</v>
      </c>
      <c r="L893" s="2">
        <v>4</v>
      </c>
      <c r="M893" s="10">
        <v>5728</v>
      </c>
      <c r="N893" s="7">
        <v>22912</v>
      </c>
    </row>
    <row r="894" spans="1:14" x14ac:dyDescent="0.3">
      <c r="A894">
        <v>1305</v>
      </c>
      <c r="B894" s="1">
        <v>45071</v>
      </c>
      <c r="C894">
        <v>2023</v>
      </c>
      <c r="D894">
        <v>5</v>
      </c>
      <c r="E894" t="str">
        <f t="shared" si="13"/>
        <v>Mei</v>
      </c>
      <c r="F894">
        <v>2</v>
      </c>
      <c r="G894" t="s">
        <v>1522</v>
      </c>
      <c r="H894" t="s">
        <v>1520</v>
      </c>
      <c r="I894" t="s">
        <v>1535</v>
      </c>
      <c r="J894" t="s">
        <v>1517</v>
      </c>
      <c r="K894" t="s">
        <v>1525</v>
      </c>
      <c r="L894" s="2">
        <v>2</v>
      </c>
      <c r="M894" s="10">
        <v>498</v>
      </c>
      <c r="N894" s="7">
        <v>996</v>
      </c>
    </row>
    <row r="895" spans="1:14" x14ac:dyDescent="0.3">
      <c r="A895">
        <v>1305</v>
      </c>
      <c r="B895" s="1">
        <v>45246</v>
      </c>
      <c r="C895">
        <v>2023</v>
      </c>
      <c r="D895">
        <v>11</v>
      </c>
      <c r="E895" t="str">
        <f t="shared" si="13"/>
        <v>November</v>
      </c>
      <c r="F895">
        <v>4</v>
      </c>
      <c r="G895" t="s">
        <v>1522</v>
      </c>
      <c r="H895" t="s">
        <v>1520</v>
      </c>
      <c r="I895" t="s">
        <v>1535</v>
      </c>
      <c r="J895" t="s">
        <v>1517</v>
      </c>
      <c r="K895" t="s">
        <v>1525</v>
      </c>
      <c r="L895" s="2">
        <v>2</v>
      </c>
      <c r="M895" s="10">
        <v>498</v>
      </c>
      <c r="N895" s="7">
        <v>996</v>
      </c>
    </row>
    <row r="896" spans="1:14" x14ac:dyDescent="0.3">
      <c r="A896">
        <v>1305</v>
      </c>
      <c r="B896" s="1">
        <v>44931</v>
      </c>
      <c r="C896">
        <v>2023</v>
      </c>
      <c r="D896">
        <v>1</v>
      </c>
      <c r="E896" t="str">
        <f t="shared" si="13"/>
        <v>Januari</v>
      </c>
      <c r="F896">
        <v>1</v>
      </c>
      <c r="G896" t="s">
        <v>1522</v>
      </c>
      <c r="H896" t="s">
        <v>1520</v>
      </c>
      <c r="I896" t="s">
        <v>1535</v>
      </c>
      <c r="J896" t="s">
        <v>1517</v>
      </c>
      <c r="K896" t="s">
        <v>1525</v>
      </c>
      <c r="L896" s="2">
        <v>2</v>
      </c>
      <c r="M896" s="10">
        <v>498</v>
      </c>
      <c r="N896" s="7">
        <v>996</v>
      </c>
    </row>
    <row r="897" spans="1:14" x14ac:dyDescent="0.3">
      <c r="A897">
        <v>1306</v>
      </c>
      <c r="B897" s="1">
        <v>45016</v>
      </c>
      <c r="C897">
        <v>2023</v>
      </c>
      <c r="D897">
        <v>3</v>
      </c>
      <c r="E897" t="str">
        <f t="shared" si="13"/>
        <v>Maret</v>
      </c>
      <c r="F897">
        <v>1</v>
      </c>
      <c r="G897" t="s">
        <v>1523</v>
      </c>
      <c r="H897" t="s">
        <v>1512</v>
      </c>
      <c r="I897" t="s">
        <v>1531</v>
      </c>
      <c r="J897" t="s">
        <v>1517</v>
      </c>
      <c r="K897" t="s">
        <v>1518</v>
      </c>
      <c r="L897" s="2">
        <v>2</v>
      </c>
      <c r="M897" s="10">
        <v>39710</v>
      </c>
      <c r="N897" s="7">
        <v>79420</v>
      </c>
    </row>
    <row r="898" spans="1:14" x14ac:dyDescent="0.3">
      <c r="A898">
        <v>1307</v>
      </c>
      <c r="B898" s="1">
        <v>44604</v>
      </c>
      <c r="C898">
        <v>2022</v>
      </c>
      <c r="D898">
        <v>2</v>
      </c>
      <c r="E898" t="str">
        <f t="shared" si="13"/>
        <v>Februari</v>
      </c>
      <c r="F898">
        <v>1</v>
      </c>
      <c r="G898" t="s">
        <v>1526</v>
      </c>
      <c r="H898" t="s">
        <v>1527</v>
      </c>
      <c r="I898" t="s">
        <v>1516</v>
      </c>
      <c r="J898" t="s">
        <v>1566</v>
      </c>
      <c r="K898" t="s">
        <v>1514</v>
      </c>
      <c r="L898" s="2">
        <v>3</v>
      </c>
      <c r="M898" s="10">
        <v>197</v>
      </c>
      <c r="N898" s="7">
        <v>591</v>
      </c>
    </row>
    <row r="899" spans="1:14" x14ac:dyDescent="0.3">
      <c r="A899">
        <v>1307</v>
      </c>
      <c r="B899" s="1">
        <v>44954</v>
      </c>
      <c r="C899">
        <v>2023</v>
      </c>
      <c r="D899">
        <v>1</v>
      </c>
      <c r="E899" t="str">
        <f t="shared" ref="E899:E962" si="14">TEXT(DATE(2026, D899, 1), "[$-id-ID]mmmm")</f>
        <v>Januari</v>
      </c>
      <c r="F899">
        <v>1</v>
      </c>
      <c r="G899" t="s">
        <v>1526</v>
      </c>
      <c r="H899" t="s">
        <v>1527</v>
      </c>
      <c r="I899" t="s">
        <v>1516</v>
      </c>
      <c r="J899" t="s">
        <v>1566</v>
      </c>
      <c r="K899" t="s">
        <v>1514</v>
      </c>
      <c r="L899" s="2">
        <v>3</v>
      </c>
      <c r="M899" s="10">
        <v>197</v>
      </c>
      <c r="N899" s="7">
        <v>591</v>
      </c>
    </row>
    <row r="900" spans="1:14" x14ac:dyDescent="0.3">
      <c r="A900">
        <v>1307</v>
      </c>
      <c r="B900" s="1">
        <v>45569</v>
      </c>
      <c r="C900">
        <v>2024</v>
      </c>
      <c r="D900">
        <v>10</v>
      </c>
      <c r="E900" t="str">
        <f t="shared" si="14"/>
        <v>Oktober</v>
      </c>
      <c r="F900">
        <v>4</v>
      </c>
      <c r="G900" t="s">
        <v>1526</v>
      </c>
      <c r="H900" t="s">
        <v>1527</v>
      </c>
      <c r="I900" t="s">
        <v>1516</v>
      </c>
      <c r="J900" t="s">
        <v>1566</v>
      </c>
      <c r="K900" t="s">
        <v>1514</v>
      </c>
      <c r="L900" s="2">
        <v>3</v>
      </c>
      <c r="M900" s="10">
        <v>197</v>
      </c>
      <c r="N900" s="7">
        <v>591</v>
      </c>
    </row>
    <row r="901" spans="1:14" x14ac:dyDescent="0.3">
      <c r="A901">
        <v>1307</v>
      </c>
      <c r="B901" s="1">
        <v>45114</v>
      </c>
      <c r="C901">
        <v>2023</v>
      </c>
      <c r="D901">
        <v>7</v>
      </c>
      <c r="E901" t="str">
        <f t="shared" si="14"/>
        <v>Juli</v>
      </c>
      <c r="F901">
        <v>3</v>
      </c>
      <c r="G901" t="s">
        <v>1526</v>
      </c>
      <c r="H901" t="s">
        <v>1527</v>
      </c>
      <c r="I901" t="s">
        <v>1516</v>
      </c>
      <c r="J901" t="s">
        <v>1566</v>
      </c>
      <c r="K901" t="s">
        <v>1514</v>
      </c>
      <c r="L901" s="2">
        <v>3</v>
      </c>
      <c r="M901" s="10">
        <v>197</v>
      </c>
      <c r="N901" s="7">
        <v>591</v>
      </c>
    </row>
    <row r="902" spans="1:14" x14ac:dyDescent="0.3">
      <c r="A902">
        <v>1308</v>
      </c>
      <c r="B902" s="1">
        <v>45124</v>
      </c>
      <c r="C902">
        <v>2023</v>
      </c>
      <c r="D902">
        <v>7</v>
      </c>
      <c r="E902" t="str">
        <f t="shared" si="14"/>
        <v>Juli</v>
      </c>
      <c r="F902">
        <v>3</v>
      </c>
      <c r="G902" t="s">
        <v>1529</v>
      </c>
      <c r="H902" t="s">
        <v>1530</v>
      </c>
      <c r="I902" t="s">
        <v>1528</v>
      </c>
      <c r="J902" t="s">
        <v>1517</v>
      </c>
      <c r="K902" t="s">
        <v>1518</v>
      </c>
      <c r="L902" s="2">
        <v>2</v>
      </c>
      <c r="M902" s="10">
        <v>1815</v>
      </c>
      <c r="N902" s="7">
        <v>3630</v>
      </c>
    </row>
    <row r="903" spans="1:14" x14ac:dyDescent="0.3">
      <c r="A903">
        <v>1309</v>
      </c>
      <c r="B903" s="1">
        <v>45528</v>
      </c>
      <c r="C903">
        <v>2024</v>
      </c>
      <c r="D903">
        <v>8</v>
      </c>
      <c r="E903" t="str">
        <f t="shared" si="14"/>
        <v>Agustus</v>
      </c>
      <c r="F903">
        <v>3</v>
      </c>
      <c r="G903" t="s">
        <v>1532</v>
      </c>
      <c r="H903" t="s">
        <v>1512</v>
      </c>
      <c r="I903" t="s">
        <v>1513</v>
      </c>
      <c r="J903" t="s">
        <v>1566</v>
      </c>
      <c r="K903" t="s">
        <v>1518</v>
      </c>
      <c r="L903" s="2">
        <v>2</v>
      </c>
      <c r="M903" s="10">
        <v>3949</v>
      </c>
      <c r="N903" s="7">
        <v>7898</v>
      </c>
    </row>
    <row r="904" spans="1:14" x14ac:dyDescent="0.3">
      <c r="A904">
        <v>1310</v>
      </c>
      <c r="B904" s="1">
        <v>44699</v>
      </c>
      <c r="C904">
        <v>2022</v>
      </c>
      <c r="D904">
        <v>5</v>
      </c>
      <c r="E904" t="str">
        <f t="shared" si="14"/>
        <v>Mei</v>
      </c>
      <c r="F904">
        <v>2</v>
      </c>
      <c r="G904" t="s">
        <v>1533</v>
      </c>
      <c r="H904" t="s">
        <v>1520</v>
      </c>
      <c r="I904" t="s">
        <v>1531</v>
      </c>
      <c r="J904" t="s">
        <v>1517</v>
      </c>
      <c r="K904" t="s">
        <v>1525</v>
      </c>
      <c r="L904" s="2">
        <v>1</v>
      </c>
      <c r="M904" s="10">
        <v>208</v>
      </c>
      <c r="N904" s="7">
        <v>208</v>
      </c>
    </row>
    <row r="905" spans="1:14" x14ac:dyDescent="0.3">
      <c r="A905">
        <v>1310</v>
      </c>
      <c r="B905" s="1">
        <v>45204</v>
      </c>
      <c r="C905">
        <v>2023</v>
      </c>
      <c r="D905">
        <v>10</v>
      </c>
      <c r="E905" t="str">
        <f t="shared" si="14"/>
        <v>Oktober</v>
      </c>
      <c r="F905">
        <v>4</v>
      </c>
      <c r="G905" t="s">
        <v>1533</v>
      </c>
      <c r="H905" t="s">
        <v>1520</v>
      </c>
      <c r="I905" t="s">
        <v>1531</v>
      </c>
      <c r="J905" t="s">
        <v>1517</v>
      </c>
      <c r="K905" t="s">
        <v>1525</v>
      </c>
      <c r="L905" s="2">
        <v>1</v>
      </c>
      <c r="M905" s="10">
        <v>208</v>
      </c>
      <c r="N905" s="7">
        <v>208</v>
      </c>
    </row>
    <row r="906" spans="1:14" x14ac:dyDescent="0.3">
      <c r="A906">
        <v>1311</v>
      </c>
      <c r="B906" s="1">
        <v>45638</v>
      </c>
      <c r="C906">
        <v>2024</v>
      </c>
      <c r="D906">
        <v>12</v>
      </c>
      <c r="E906" t="str">
        <f t="shared" si="14"/>
        <v>Desember</v>
      </c>
      <c r="F906">
        <v>4</v>
      </c>
      <c r="G906" t="s">
        <v>1511</v>
      </c>
      <c r="H906" t="s">
        <v>1512</v>
      </c>
      <c r="I906" t="s">
        <v>1531</v>
      </c>
      <c r="J906" t="s">
        <v>1517</v>
      </c>
      <c r="K906" t="s">
        <v>1525</v>
      </c>
      <c r="L906" s="2">
        <v>1</v>
      </c>
      <c r="M906" s="10">
        <v>50605</v>
      </c>
      <c r="N906" s="7">
        <v>50605</v>
      </c>
    </row>
    <row r="907" spans="1:14" x14ac:dyDescent="0.3">
      <c r="A907">
        <v>1312</v>
      </c>
      <c r="B907" s="1">
        <v>45604</v>
      </c>
      <c r="C907">
        <v>2024</v>
      </c>
      <c r="D907">
        <v>11</v>
      </c>
      <c r="E907" t="str">
        <f t="shared" si="14"/>
        <v>November</v>
      </c>
      <c r="F907">
        <v>4</v>
      </c>
      <c r="G907" t="s">
        <v>1515</v>
      </c>
      <c r="H907" t="s">
        <v>1512</v>
      </c>
      <c r="I907" t="s">
        <v>1528</v>
      </c>
      <c r="J907" t="s">
        <v>1517</v>
      </c>
      <c r="K907" t="s">
        <v>1525</v>
      </c>
      <c r="L907" s="2">
        <v>3</v>
      </c>
      <c r="M907" s="10">
        <v>4319</v>
      </c>
      <c r="N907" s="7">
        <v>12957</v>
      </c>
    </row>
    <row r="908" spans="1:14" x14ac:dyDescent="0.3">
      <c r="A908">
        <v>1312</v>
      </c>
      <c r="B908" s="1">
        <v>45487</v>
      </c>
      <c r="C908">
        <v>2024</v>
      </c>
      <c r="D908">
        <v>7</v>
      </c>
      <c r="E908" t="str">
        <f t="shared" si="14"/>
        <v>Juli</v>
      </c>
      <c r="F908">
        <v>3</v>
      </c>
      <c r="G908" t="s">
        <v>1515</v>
      </c>
      <c r="H908" t="s">
        <v>1512</v>
      </c>
      <c r="I908" t="s">
        <v>1528</v>
      </c>
      <c r="J908" t="s">
        <v>1517</v>
      </c>
      <c r="K908" t="s">
        <v>1525</v>
      </c>
      <c r="L908" s="2">
        <v>3</v>
      </c>
      <c r="M908" s="10">
        <v>4319</v>
      </c>
      <c r="N908" s="7">
        <v>12957</v>
      </c>
    </row>
    <row r="909" spans="1:14" x14ac:dyDescent="0.3">
      <c r="A909">
        <v>1312</v>
      </c>
      <c r="B909" s="1">
        <v>45111</v>
      </c>
      <c r="C909">
        <v>2023</v>
      </c>
      <c r="D909">
        <v>7</v>
      </c>
      <c r="E909" t="str">
        <f t="shared" si="14"/>
        <v>Juli</v>
      </c>
      <c r="F909">
        <v>3</v>
      </c>
      <c r="G909" t="s">
        <v>1515</v>
      </c>
      <c r="H909" t="s">
        <v>1512</v>
      </c>
      <c r="I909" t="s">
        <v>1528</v>
      </c>
      <c r="J909" t="s">
        <v>1517</v>
      </c>
      <c r="K909" t="s">
        <v>1525</v>
      </c>
      <c r="L909" s="2">
        <v>3</v>
      </c>
      <c r="M909" s="10">
        <v>4319</v>
      </c>
      <c r="N909" s="7">
        <v>12957</v>
      </c>
    </row>
    <row r="910" spans="1:14" x14ac:dyDescent="0.3">
      <c r="A910">
        <v>1312</v>
      </c>
      <c r="B910" s="1">
        <v>45056</v>
      </c>
      <c r="C910">
        <v>2023</v>
      </c>
      <c r="D910">
        <v>5</v>
      </c>
      <c r="E910" t="str">
        <f t="shared" si="14"/>
        <v>Mei</v>
      </c>
      <c r="F910">
        <v>2</v>
      </c>
      <c r="G910" t="s">
        <v>1515</v>
      </c>
      <c r="H910" t="s">
        <v>1512</v>
      </c>
      <c r="I910" t="s">
        <v>1528</v>
      </c>
      <c r="J910" t="s">
        <v>1517</v>
      </c>
      <c r="K910" t="s">
        <v>1525</v>
      </c>
      <c r="L910" s="2">
        <v>3</v>
      </c>
      <c r="M910" s="10">
        <v>4319</v>
      </c>
      <c r="N910" s="7">
        <v>12957</v>
      </c>
    </row>
    <row r="911" spans="1:14" x14ac:dyDescent="0.3">
      <c r="A911">
        <v>1312</v>
      </c>
      <c r="B911" s="1">
        <v>45167</v>
      </c>
      <c r="C911">
        <v>2023</v>
      </c>
      <c r="D911">
        <v>8</v>
      </c>
      <c r="E911" t="str">
        <f t="shared" si="14"/>
        <v>Agustus</v>
      </c>
      <c r="F911">
        <v>3</v>
      </c>
      <c r="G911" t="s">
        <v>1515</v>
      </c>
      <c r="H911" t="s">
        <v>1512</v>
      </c>
      <c r="I911" t="s">
        <v>1528</v>
      </c>
      <c r="J911" t="s">
        <v>1517</v>
      </c>
      <c r="K911" t="s">
        <v>1525</v>
      </c>
      <c r="L911" s="2">
        <v>3</v>
      </c>
      <c r="M911" s="10">
        <v>4319</v>
      </c>
      <c r="N911" s="7">
        <v>12957</v>
      </c>
    </row>
    <row r="912" spans="1:14" x14ac:dyDescent="0.3">
      <c r="A912">
        <v>1312</v>
      </c>
      <c r="B912" s="1">
        <v>45551</v>
      </c>
      <c r="C912">
        <v>2024</v>
      </c>
      <c r="D912">
        <v>9</v>
      </c>
      <c r="E912" t="str">
        <f t="shared" si="14"/>
        <v>September</v>
      </c>
      <c r="F912">
        <v>3</v>
      </c>
      <c r="G912" t="s">
        <v>1515</v>
      </c>
      <c r="H912" t="s">
        <v>1512</v>
      </c>
      <c r="I912" t="s">
        <v>1528</v>
      </c>
      <c r="J912" t="s">
        <v>1517</v>
      </c>
      <c r="K912" t="s">
        <v>1525</v>
      </c>
      <c r="L912" s="2">
        <v>3</v>
      </c>
      <c r="M912" s="10">
        <v>4319</v>
      </c>
      <c r="N912" s="7">
        <v>12957</v>
      </c>
    </row>
    <row r="913" spans="1:14" x14ac:dyDescent="0.3">
      <c r="A913">
        <v>1312</v>
      </c>
      <c r="B913" s="1">
        <v>44877</v>
      </c>
      <c r="C913">
        <v>2022</v>
      </c>
      <c r="D913">
        <v>11</v>
      </c>
      <c r="E913" t="str">
        <f t="shared" si="14"/>
        <v>November</v>
      </c>
      <c r="F913">
        <v>4</v>
      </c>
      <c r="G913" t="s">
        <v>1515</v>
      </c>
      <c r="H913" t="s">
        <v>1512</v>
      </c>
      <c r="I913" t="s">
        <v>1528</v>
      </c>
      <c r="J913" t="s">
        <v>1517</v>
      </c>
      <c r="K913" t="s">
        <v>1525</v>
      </c>
      <c r="L913" s="2">
        <v>3</v>
      </c>
      <c r="M913" s="10">
        <v>4319</v>
      </c>
      <c r="N913" s="7">
        <v>12957</v>
      </c>
    </row>
    <row r="914" spans="1:14" x14ac:dyDescent="0.3">
      <c r="A914">
        <v>1312</v>
      </c>
      <c r="B914" s="1">
        <v>44999</v>
      </c>
      <c r="C914">
        <v>2023</v>
      </c>
      <c r="D914">
        <v>3</v>
      </c>
      <c r="E914" t="str">
        <f t="shared" si="14"/>
        <v>Maret</v>
      </c>
      <c r="F914">
        <v>1</v>
      </c>
      <c r="G914" t="s">
        <v>1515</v>
      </c>
      <c r="H914" t="s">
        <v>1512</v>
      </c>
      <c r="I914" t="s">
        <v>1528</v>
      </c>
      <c r="J914" t="s">
        <v>1517</v>
      </c>
      <c r="K914" t="s">
        <v>1525</v>
      </c>
      <c r="L914" s="2">
        <v>3</v>
      </c>
      <c r="M914" s="10">
        <v>4319</v>
      </c>
      <c r="N914" s="7">
        <v>12957</v>
      </c>
    </row>
    <row r="915" spans="1:14" x14ac:dyDescent="0.3">
      <c r="A915">
        <v>1312</v>
      </c>
      <c r="B915" s="1">
        <v>44937</v>
      </c>
      <c r="C915">
        <v>2023</v>
      </c>
      <c r="D915">
        <v>1</v>
      </c>
      <c r="E915" t="str">
        <f t="shared" si="14"/>
        <v>Januari</v>
      </c>
      <c r="F915">
        <v>1</v>
      </c>
      <c r="G915" t="s">
        <v>1515</v>
      </c>
      <c r="H915" t="s">
        <v>1512</v>
      </c>
      <c r="I915" t="s">
        <v>1528</v>
      </c>
      <c r="J915" t="s">
        <v>1517</v>
      </c>
      <c r="K915" t="s">
        <v>1525</v>
      </c>
      <c r="L915" s="2">
        <v>3</v>
      </c>
      <c r="M915" s="10">
        <v>4319</v>
      </c>
      <c r="N915" s="7">
        <v>12957</v>
      </c>
    </row>
    <row r="916" spans="1:14" x14ac:dyDescent="0.3">
      <c r="A916">
        <v>1313</v>
      </c>
      <c r="B916" s="1">
        <v>45318</v>
      </c>
      <c r="C916">
        <v>2024</v>
      </c>
      <c r="D916">
        <v>1</v>
      </c>
      <c r="E916" t="str">
        <f t="shared" si="14"/>
        <v>Januari</v>
      </c>
      <c r="F916">
        <v>1</v>
      </c>
      <c r="G916" t="s">
        <v>1534</v>
      </c>
      <c r="H916" t="s">
        <v>1530</v>
      </c>
      <c r="I916" t="s">
        <v>1516</v>
      </c>
      <c r="J916" t="s">
        <v>1517</v>
      </c>
      <c r="K916" t="s">
        <v>1514</v>
      </c>
      <c r="L916" s="2">
        <v>1</v>
      </c>
      <c r="M916" s="10">
        <v>3721</v>
      </c>
      <c r="N916" s="7">
        <v>3721</v>
      </c>
    </row>
    <row r="917" spans="1:14" x14ac:dyDescent="0.3">
      <c r="A917">
        <v>1313</v>
      </c>
      <c r="B917" s="1">
        <v>45181</v>
      </c>
      <c r="C917">
        <v>2023</v>
      </c>
      <c r="D917">
        <v>9</v>
      </c>
      <c r="E917" t="str">
        <f t="shared" si="14"/>
        <v>September</v>
      </c>
      <c r="F917">
        <v>3</v>
      </c>
      <c r="G917" t="s">
        <v>1534</v>
      </c>
      <c r="H917" t="s">
        <v>1530</v>
      </c>
      <c r="I917" t="s">
        <v>1516</v>
      </c>
      <c r="J917" t="s">
        <v>1517</v>
      </c>
      <c r="K917" t="s">
        <v>1514</v>
      </c>
      <c r="L917" s="2">
        <v>1</v>
      </c>
      <c r="M917" s="10">
        <v>3721</v>
      </c>
      <c r="N917" s="7">
        <v>3721</v>
      </c>
    </row>
    <row r="918" spans="1:14" x14ac:dyDescent="0.3">
      <c r="A918">
        <v>1314</v>
      </c>
      <c r="B918" s="1">
        <v>45585</v>
      </c>
      <c r="C918">
        <v>2024</v>
      </c>
      <c r="D918">
        <v>10</v>
      </c>
      <c r="E918" t="str">
        <f t="shared" si="14"/>
        <v>Oktober</v>
      </c>
      <c r="F918">
        <v>4</v>
      </c>
      <c r="G918" t="s">
        <v>1519</v>
      </c>
      <c r="H918" t="s">
        <v>1520</v>
      </c>
      <c r="I918" t="s">
        <v>1521</v>
      </c>
      <c r="J918" t="s">
        <v>1566</v>
      </c>
      <c r="K918" t="s">
        <v>1518</v>
      </c>
      <c r="L918" s="2">
        <v>2</v>
      </c>
      <c r="M918" s="10">
        <v>12930</v>
      </c>
      <c r="N918" s="7">
        <v>25860</v>
      </c>
    </row>
    <row r="919" spans="1:14" x14ac:dyDescent="0.3">
      <c r="A919">
        <v>1314</v>
      </c>
      <c r="B919" s="1">
        <v>45561</v>
      </c>
      <c r="C919">
        <v>2024</v>
      </c>
      <c r="D919">
        <v>9</v>
      </c>
      <c r="E919" t="str">
        <f t="shared" si="14"/>
        <v>September</v>
      </c>
      <c r="F919">
        <v>3</v>
      </c>
      <c r="G919" t="s">
        <v>1519</v>
      </c>
      <c r="H919" t="s">
        <v>1520</v>
      </c>
      <c r="I919" t="s">
        <v>1521</v>
      </c>
      <c r="J919" t="s">
        <v>1566</v>
      </c>
      <c r="K919" t="s">
        <v>1518</v>
      </c>
      <c r="L919" s="2">
        <v>2</v>
      </c>
      <c r="M919" s="10">
        <v>12930</v>
      </c>
      <c r="N919" s="7">
        <v>25860</v>
      </c>
    </row>
    <row r="920" spans="1:14" x14ac:dyDescent="0.3">
      <c r="A920">
        <v>1314</v>
      </c>
      <c r="B920" s="1">
        <v>44684</v>
      </c>
      <c r="C920">
        <v>2022</v>
      </c>
      <c r="D920">
        <v>5</v>
      </c>
      <c r="E920" t="str">
        <f t="shared" si="14"/>
        <v>Mei</v>
      </c>
      <c r="F920">
        <v>2</v>
      </c>
      <c r="G920" t="s">
        <v>1519</v>
      </c>
      <c r="H920" t="s">
        <v>1520</v>
      </c>
      <c r="I920" t="s">
        <v>1521</v>
      </c>
      <c r="J920" t="s">
        <v>1566</v>
      </c>
      <c r="K920" t="s">
        <v>1518</v>
      </c>
      <c r="L920" s="2">
        <v>2</v>
      </c>
      <c r="M920" s="10">
        <v>12930</v>
      </c>
      <c r="N920" s="7">
        <v>25860</v>
      </c>
    </row>
    <row r="921" spans="1:14" x14ac:dyDescent="0.3">
      <c r="A921">
        <v>1314</v>
      </c>
      <c r="B921" s="1">
        <v>44797</v>
      </c>
      <c r="C921">
        <v>2022</v>
      </c>
      <c r="D921">
        <v>8</v>
      </c>
      <c r="E921" t="str">
        <f t="shared" si="14"/>
        <v>Agustus</v>
      </c>
      <c r="F921">
        <v>3</v>
      </c>
      <c r="G921" t="s">
        <v>1519</v>
      </c>
      <c r="H921" t="s">
        <v>1520</v>
      </c>
      <c r="I921" t="s">
        <v>1521</v>
      </c>
      <c r="J921" t="s">
        <v>1566</v>
      </c>
      <c r="K921" t="s">
        <v>1518</v>
      </c>
      <c r="L921" s="2">
        <v>2</v>
      </c>
      <c r="M921" s="10">
        <v>12930</v>
      </c>
      <c r="N921" s="7">
        <v>25860</v>
      </c>
    </row>
    <row r="922" spans="1:14" x14ac:dyDescent="0.3">
      <c r="A922">
        <v>1314</v>
      </c>
      <c r="B922" s="1">
        <v>44669</v>
      </c>
      <c r="C922">
        <v>2022</v>
      </c>
      <c r="D922">
        <v>4</v>
      </c>
      <c r="E922" t="str">
        <f t="shared" si="14"/>
        <v>April</v>
      </c>
      <c r="F922">
        <v>2</v>
      </c>
      <c r="G922" t="s">
        <v>1519</v>
      </c>
      <c r="H922" t="s">
        <v>1520</v>
      </c>
      <c r="I922" t="s">
        <v>1521</v>
      </c>
      <c r="J922" t="s">
        <v>1566</v>
      </c>
      <c r="K922" t="s">
        <v>1518</v>
      </c>
      <c r="L922" s="2">
        <v>2</v>
      </c>
      <c r="M922" s="10">
        <v>12930</v>
      </c>
      <c r="N922" s="7">
        <v>25860</v>
      </c>
    </row>
    <row r="923" spans="1:14" x14ac:dyDescent="0.3">
      <c r="A923">
        <v>1314</v>
      </c>
      <c r="B923" s="1">
        <v>45528</v>
      </c>
      <c r="C923">
        <v>2024</v>
      </c>
      <c r="D923">
        <v>8</v>
      </c>
      <c r="E923" t="str">
        <f t="shared" si="14"/>
        <v>Agustus</v>
      </c>
      <c r="F923">
        <v>3</v>
      </c>
      <c r="G923" t="s">
        <v>1519</v>
      </c>
      <c r="H923" t="s">
        <v>1520</v>
      </c>
      <c r="I923" t="s">
        <v>1521</v>
      </c>
      <c r="J923" t="s">
        <v>1566</v>
      </c>
      <c r="K923" t="s">
        <v>1518</v>
      </c>
      <c r="L923" s="2">
        <v>2</v>
      </c>
      <c r="M923" s="10">
        <v>12930</v>
      </c>
      <c r="N923" s="7">
        <v>25860</v>
      </c>
    </row>
    <row r="924" spans="1:14" x14ac:dyDescent="0.3">
      <c r="A924">
        <v>1314</v>
      </c>
      <c r="B924" s="1">
        <v>45420</v>
      </c>
      <c r="C924">
        <v>2024</v>
      </c>
      <c r="D924">
        <v>5</v>
      </c>
      <c r="E924" t="str">
        <f t="shared" si="14"/>
        <v>Mei</v>
      </c>
      <c r="F924">
        <v>2</v>
      </c>
      <c r="G924" t="s">
        <v>1519</v>
      </c>
      <c r="H924" t="s">
        <v>1520</v>
      </c>
      <c r="I924" t="s">
        <v>1521</v>
      </c>
      <c r="J924" t="s">
        <v>1566</v>
      </c>
      <c r="K924" t="s">
        <v>1518</v>
      </c>
      <c r="L924" s="2">
        <v>2</v>
      </c>
      <c r="M924" s="10">
        <v>12930</v>
      </c>
      <c r="N924" s="7">
        <v>25860</v>
      </c>
    </row>
    <row r="925" spans="1:14" x14ac:dyDescent="0.3">
      <c r="A925">
        <v>1315</v>
      </c>
      <c r="B925" s="1">
        <v>45054</v>
      </c>
      <c r="C925">
        <v>2023</v>
      </c>
      <c r="D925">
        <v>5</v>
      </c>
      <c r="E925" t="str">
        <f t="shared" si="14"/>
        <v>Mei</v>
      </c>
      <c r="F925">
        <v>2</v>
      </c>
      <c r="G925" t="s">
        <v>1522</v>
      </c>
      <c r="H925" t="s">
        <v>1520</v>
      </c>
      <c r="I925" t="s">
        <v>1521</v>
      </c>
      <c r="J925" t="s">
        <v>1524</v>
      </c>
      <c r="K925" t="s">
        <v>1514</v>
      </c>
      <c r="L925" s="2">
        <v>4</v>
      </c>
      <c r="M925" s="10">
        <v>707</v>
      </c>
      <c r="N925" s="7">
        <v>2828</v>
      </c>
    </row>
    <row r="926" spans="1:14" x14ac:dyDescent="0.3">
      <c r="A926">
        <v>1315</v>
      </c>
      <c r="B926" s="1">
        <v>45193</v>
      </c>
      <c r="C926">
        <v>2023</v>
      </c>
      <c r="D926">
        <v>9</v>
      </c>
      <c r="E926" t="str">
        <f t="shared" si="14"/>
        <v>September</v>
      </c>
      <c r="F926">
        <v>3</v>
      </c>
      <c r="G926" t="s">
        <v>1522</v>
      </c>
      <c r="H926" t="s">
        <v>1520</v>
      </c>
      <c r="I926" t="s">
        <v>1521</v>
      </c>
      <c r="J926" t="s">
        <v>1524</v>
      </c>
      <c r="K926" t="s">
        <v>1514</v>
      </c>
      <c r="L926" s="2">
        <v>4</v>
      </c>
      <c r="M926" s="10">
        <v>707</v>
      </c>
      <c r="N926" s="7">
        <v>2828</v>
      </c>
    </row>
    <row r="927" spans="1:14" x14ac:dyDescent="0.3">
      <c r="A927">
        <v>1316</v>
      </c>
      <c r="B927" s="1">
        <v>44651</v>
      </c>
      <c r="C927">
        <v>2022</v>
      </c>
      <c r="D927">
        <v>3</v>
      </c>
      <c r="E927" t="str">
        <f t="shared" si="14"/>
        <v>Maret</v>
      </c>
      <c r="F927">
        <v>1</v>
      </c>
      <c r="G927" t="s">
        <v>1523</v>
      </c>
      <c r="H927" t="s">
        <v>1512</v>
      </c>
      <c r="I927" t="s">
        <v>1528</v>
      </c>
      <c r="J927" t="s">
        <v>1524</v>
      </c>
      <c r="K927" t="s">
        <v>1514</v>
      </c>
      <c r="L927" s="2">
        <v>2</v>
      </c>
      <c r="M927" s="10">
        <v>36907</v>
      </c>
      <c r="N927" s="7">
        <v>73814</v>
      </c>
    </row>
    <row r="928" spans="1:14" x14ac:dyDescent="0.3">
      <c r="A928">
        <v>1316</v>
      </c>
      <c r="B928" s="1">
        <v>44970</v>
      </c>
      <c r="C928">
        <v>2023</v>
      </c>
      <c r="D928">
        <v>2</v>
      </c>
      <c r="E928" t="str">
        <f t="shared" si="14"/>
        <v>Februari</v>
      </c>
      <c r="F928">
        <v>1</v>
      </c>
      <c r="G928" t="s">
        <v>1523</v>
      </c>
      <c r="H928" t="s">
        <v>1512</v>
      </c>
      <c r="I928" t="s">
        <v>1528</v>
      </c>
      <c r="J928" t="s">
        <v>1524</v>
      </c>
      <c r="K928" t="s">
        <v>1514</v>
      </c>
      <c r="L928" s="2">
        <v>2</v>
      </c>
      <c r="M928" s="10">
        <v>36907</v>
      </c>
      <c r="N928" s="7">
        <v>73814</v>
      </c>
    </row>
    <row r="929" spans="1:14" x14ac:dyDescent="0.3">
      <c r="A929">
        <v>1316</v>
      </c>
      <c r="B929" s="1">
        <v>45404</v>
      </c>
      <c r="C929">
        <v>2024</v>
      </c>
      <c r="D929">
        <v>4</v>
      </c>
      <c r="E929" t="str">
        <f t="shared" si="14"/>
        <v>April</v>
      </c>
      <c r="F929">
        <v>2</v>
      </c>
      <c r="G929" t="s">
        <v>1523</v>
      </c>
      <c r="H929" t="s">
        <v>1512</v>
      </c>
      <c r="I929" t="s">
        <v>1528</v>
      </c>
      <c r="J929" t="s">
        <v>1524</v>
      </c>
      <c r="K929" t="s">
        <v>1514</v>
      </c>
      <c r="L929" s="2">
        <v>2</v>
      </c>
      <c r="M929" s="10">
        <v>36907</v>
      </c>
      <c r="N929" s="7">
        <v>73814</v>
      </c>
    </row>
    <row r="930" spans="1:14" x14ac:dyDescent="0.3">
      <c r="A930">
        <v>1316</v>
      </c>
      <c r="B930" s="1">
        <v>45458</v>
      </c>
      <c r="C930">
        <v>2024</v>
      </c>
      <c r="D930">
        <v>6</v>
      </c>
      <c r="E930" t="str">
        <f t="shared" si="14"/>
        <v>Juni</v>
      </c>
      <c r="F930">
        <v>2</v>
      </c>
      <c r="G930" t="s">
        <v>1523</v>
      </c>
      <c r="H930" t="s">
        <v>1512</v>
      </c>
      <c r="I930" t="s">
        <v>1528</v>
      </c>
      <c r="J930" t="s">
        <v>1524</v>
      </c>
      <c r="K930" t="s">
        <v>1514</v>
      </c>
      <c r="L930" s="2">
        <v>2</v>
      </c>
      <c r="M930" s="10">
        <v>36907</v>
      </c>
      <c r="N930" s="7">
        <v>73814</v>
      </c>
    </row>
    <row r="931" spans="1:14" x14ac:dyDescent="0.3">
      <c r="A931">
        <v>1316</v>
      </c>
      <c r="B931" s="1">
        <v>45385</v>
      </c>
      <c r="C931">
        <v>2024</v>
      </c>
      <c r="D931">
        <v>4</v>
      </c>
      <c r="E931" t="str">
        <f t="shared" si="14"/>
        <v>April</v>
      </c>
      <c r="F931">
        <v>2</v>
      </c>
      <c r="G931" t="s">
        <v>1523</v>
      </c>
      <c r="H931" t="s">
        <v>1512</v>
      </c>
      <c r="I931" t="s">
        <v>1528</v>
      </c>
      <c r="J931" t="s">
        <v>1524</v>
      </c>
      <c r="K931" t="s">
        <v>1514</v>
      </c>
      <c r="L931" s="2">
        <v>2</v>
      </c>
      <c r="M931" s="10">
        <v>36907</v>
      </c>
      <c r="N931" s="7">
        <v>73814</v>
      </c>
    </row>
    <row r="932" spans="1:14" x14ac:dyDescent="0.3">
      <c r="A932">
        <v>1317</v>
      </c>
      <c r="B932" s="1">
        <v>45626</v>
      </c>
      <c r="C932">
        <v>2024</v>
      </c>
      <c r="D932">
        <v>11</v>
      </c>
      <c r="E932" t="str">
        <f t="shared" si="14"/>
        <v>November</v>
      </c>
      <c r="F932">
        <v>4</v>
      </c>
      <c r="G932" t="s">
        <v>1526</v>
      </c>
      <c r="H932" t="s">
        <v>1527</v>
      </c>
      <c r="I932" t="s">
        <v>1516</v>
      </c>
      <c r="J932" t="s">
        <v>1517</v>
      </c>
      <c r="K932" t="s">
        <v>1525</v>
      </c>
      <c r="L932" s="2">
        <v>1</v>
      </c>
      <c r="M932" s="10">
        <v>942</v>
      </c>
      <c r="N932" s="7">
        <v>942</v>
      </c>
    </row>
    <row r="933" spans="1:14" x14ac:dyDescent="0.3">
      <c r="A933">
        <v>1317</v>
      </c>
      <c r="B933" s="1">
        <v>44580</v>
      </c>
      <c r="C933">
        <v>2022</v>
      </c>
      <c r="D933">
        <v>1</v>
      </c>
      <c r="E933" t="str">
        <f t="shared" si="14"/>
        <v>Januari</v>
      </c>
      <c r="F933">
        <v>1</v>
      </c>
      <c r="G933" t="s">
        <v>1526</v>
      </c>
      <c r="H933" t="s">
        <v>1527</v>
      </c>
      <c r="I933" t="s">
        <v>1516</v>
      </c>
      <c r="J933" t="s">
        <v>1517</v>
      </c>
      <c r="K933" t="s">
        <v>1525</v>
      </c>
      <c r="L933" s="2">
        <v>1</v>
      </c>
      <c r="M933" s="10">
        <v>942</v>
      </c>
      <c r="N933" s="7">
        <v>942</v>
      </c>
    </row>
    <row r="934" spans="1:14" x14ac:dyDescent="0.3">
      <c r="A934">
        <v>1318</v>
      </c>
      <c r="B934" s="1">
        <v>44779</v>
      </c>
      <c r="C934">
        <v>2022</v>
      </c>
      <c r="D934">
        <v>8</v>
      </c>
      <c r="E934" t="str">
        <f t="shared" si="14"/>
        <v>Agustus</v>
      </c>
      <c r="F934">
        <v>3</v>
      </c>
      <c r="G934" t="s">
        <v>1529</v>
      </c>
      <c r="H934" t="s">
        <v>1530</v>
      </c>
      <c r="I934" t="s">
        <v>1531</v>
      </c>
      <c r="J934" t="s">
        <v>1566</v>
      </c>
      <c r="K934" t="s">
        <v>1518</v>
      </c>
      <c r="L934" s="2">
        <v>3</v>
      </c>
      <c r="M934" s="10">
        <v>826</v>
      </c>
      <c r="N934" s="7">
        <v>2478</v>
      </c>
    </row>
    <row r="935" spans="1:14" x14ac:dyDescent="0.3">
      <c r="A935">
        <v>1318</v>
      </c>
      <c r="B935" s="1">
        <v>45496</v>
      </c>
      <c r="C935">
        <v>2024</v>
      </c>
      <c r="D935">
        <v>7</v>
      </c>
      <c r="E935" t="str">
        <f t="shared" si="14"/>
        <v>Juli</v>
      </c>
      <c r="F935">
        <v>3</v>
      </c>
      <c r="G935" t="s">
        <v>1529</v>
      </c>
      <c r="H935" t="s">
        <v>1530</v>
      </c>
      <c r="I935" t="s">
        <v>1531</v>
      </c>
      <c r="J935" t="s">
        <v>1566</v>
      </c>
      <c r="K935" t="s">
        <v>1518</v>
      </c>
      <c r="L935" s="2">
        <v>3</v>
      </c>
      <c r="M935" s="10">
        <v>826</v>
      </c>
      <c r="N935" s="7">
        <v>2478</v>
      </c>
    </row>
    <row r="936" spans="1:14" x14ac:dyDescent="0.3">
      <c r="A936">
        <v>1319</v>
      </c>
      <c r="B936" s="1">
        <v>45223</v>
      </c>
      <c r="C936">
        <v>2023</v>
      </c>
      <c r="D936">
        <v>10</v>
      </c>
      <c r="E936" t="str">
        <f t="shared" si="14"/>
        <v>Oktober</v>
      </c>
      <c r="F936">
        <v>4</v>
      </c>
      <c r="G936" t="s">
        <v>1532</v>
      </c>
      <c r="H936" t="s">
        <v>1512</v>
      </c>
      <c r="I936" t="s">
        <v>1528</v>
      </c>
      <c r="J936" t="s">
        <v>1524</v>
      </c>
      <c r="K936" t="s">
        <v>1514</v>
      </c>
      <c r="L936" s="2">
        <v>1</v>
      </c>
      <c r="M936" s="10">
        <v>3941</v>
      </c>
      <c r="N936" s="7">
        <v>3941</v>
      </c>
    </row>
    <row r="937" spans="1:14" x14ac:dyDescent="0.3">
      <c r="A937">
        <v>1319</v>
      </c>
      <c r="B937" s="1">
        <v>45431</v>
      </c>
      <c r="C937">
        <v>2024</v>
      </c>
      <c r="D937">
        <v>5</v>
      </c>
      <c r="E937" t="str">
        <f t="shared" si="14"/>
        <v>Mei</v>
      </c>
      <c r="F937">
        <v>2</v>
      </c>
      <c r="G937" t="s">
        <v>1532</v>
      </c>
      <c r="H937" t="s">
        <v>1512</v>
      </c>
      <c r="I937" t="s">
        <v>1528</v>
      </c>
      <c r="J937" t="s">
        <v>1524</v>
      </c>
      <c r="K937" t="s">
        <v>1514</v>
      </c>
      <c r="L937" s="2">
        <v>1</v>
      </c>
      <c r="M937" s="10">
        <v>3941</v>
      </c>
      <c r="N937" s="7">
        <v>3941</v>
      </c>
    </row>
    <row r="938" spans="1:14" x14ac:dyDescent="0.3">
      <c r="A938">
        <v>1319</v>
      </c>
      <c r="B938" s="1">
        <v>44871</v>
      </c>
      <c r="C938">
        <v>2022</v>
      </c>
      <c r="D938">
        <v>11</v>
      </c>
      <c r="E938" t="str">
        <f t="shared" si="14"/>
        <v>November</v>
      </c>
      <c r="F938">
        <v>4</v>
      </c>
      <c r="G938" t="s">
        <v>1532</v>
      </c>
      <c r="H938" t="s">
        <v>1512</v>
      </c>
      <c r="I938" t="s">
        <v>1528</v>
      </c>
      <c r="J938" t="s">
        <v>1524</v>
      </c>
      <c r="K938" t="s">
        <v>1514</v>
      </c>
      <c r="L938" s="2">
        <v>1</v>
      </c>
      <c r="M938" s="10">
        <v>3941</v>
      </c>
      <c r="N938" s="7">
        <v>3941</v>
      </c>
    </row>
    <row r="939" spans="1:14" x14ac:dyDescent="0.3">
      <c r="A939">
        <v>1319</v>
      </c>
      <c r="B939" s="1">
        <v>44782</v>
      </c>
      <c r="C939">
        <v>2022</v>
      </c>
      <c r="D939">
        <v>8</v>
      </c>
      <c r="E939" t="str">
        <f t="shared" si="14"/>
        <v>Agustus</v>
      </c>
      <c r="F939">
        <v>3</v>
      </c>
      <c r="G939" t="s">
        <v>1532</v>
      </c>
      <c r="H939" t="s">
        <v>1512</v>
      </c>
      <c r="I939" t="s">
        <v>1528</v>
      </c>
      <c r="J939" t="s">
        <v>1524</v>
      </c>
      <c r="K939" t="s">
        <v>1514</v>
      </c>
      <c r="L939" s="2">
        <v>1</v>
      </c>
      <c r="M939" s="10">
        <v>3941</v>
      </c>
      <c r="N939" s="7">
        <v>3941</v>
      </c>
    </row>
    <row r="940" spans="1:14" x14ac:dyDescent="0.3">
      <c r="A940">
        <v>1320</v>
      </c>
      <c r="B940" s="1">
        <v>44877</v>
      </c>
      <c r="C940">
        <v>2022</v>
      </c>
      <c r="D940">
        <v>11</v>
      </c>
      <c r="E940" t="str">
        <f t="shared" si="14"/>
        <v>November</v>
      </c>
      <c r="F940">
        <v>4</v>
      </c>
      <c r="G940" t="s">
        <v>1533</v>
      </c>
      <c r="H940" t="s">
        <v>1520</v>
      </c>
      <c r="I940" t="s">
        <v>1513</v>
      </c>
      <c r="J940" t="s">
        <v>1517</v>
      </c>
      <c r="K940" t="s">
        <v>1514</v>
      </c>
      <c r="L940" s="2">
        <v>2</v>
      </c>
      <c r="M940" s="10">
        <v>476</v>
      </c>
      <c r="N940" s="7">
        <v>952</v>
      </c>
    </row>
    <row r="941" spans="1:14" x14ac:dyDescent="0.3">
      <c r="A941">
        <v>1320</v>
      </c>
      <c r="B941" s="1">
        <v>44786</v>
      </c>
      <c r="C941">
        <v>2022</v>
      </c>
      <c r="D941">
        <v>8</v>
      </c>
      <c r="E941" t="str">
        <f t="shared" si="14"/>
        <v>Agustus</v>
      </c>
      <c r="F941">
        <v>3</v>
      </c>
      <c r="G941" t="s">
        <v>1533</v>
      </c>
      <c r="H941" t="s">
        <v>1520</v>
      </c>
      <c r="I941" t="s">
        <v>1513</v>
      </c>
      <c r="J941" t="s">
        <v>1517</v>
      </c>
      <c r="K941" t="s">
        <v>1514</v>
      </c>
      <c r="L941" s="2">
        <v>2</v>
      </c>
      <c r="M941" s="10">
        <v>476</v>
      </c>
      <c r="N941" s="7">
        <v>952</v>
      </c>
    </row>
    <row r="942" spans="1:14" x14ac:dyDescent="0.3">
      <c r="A942">
        <v>1320</v>
      </c>
      <c r="B942" s="1">
        <v>45227</v>
      </c>
      <c r="C942">
        <v>2023</v>
      </c>
      <c r="D942">
        <v>10</v>
      </c>
      <c r="E942" t="str">
        <f t="shared" si="14"/>
        <v>Oktober</v>
      </c>
      <c r="F942">
        <v>4</v>
      </c>
      <c r="G942" t="s">
        <v>1533</v>
      </c>
      <c r="H942" t="s">
        <v>1520</v>
      </c>
      <c r="I942" t="s">
        <v>1513</v>
      </c>
      <c r="J942" t="s">
        <v>1517</v>
      </c>
      <c r="K942" t="s">
        <v>1514</v>
      </c>
      <c r="L942" s="2">
        <v>2</v>
      </c>
      <c r="M942" s="10">
        <v>476</v>
      </c>
      <c r="N942" s="7">
        <v>952</v>
      </c>
    </row>
    <row r="943" spans="1:14" x14ac:dyDescent="0.3">
      <c r="A943">
        <v>1322</v>
      </c>
      <c r="B943" s="1">
        <v>44668</v>
      </c>
      <c r="C943">
        <v>2022</v>
      </c>
      <c r="D943">
        <v>4</v>
      </c>
      <c r="E943" t="str">
        <f t="shared" si="14"/>
        <v>April</v>
      </c>
      <c r="F943">
        <v>2</v>
      </c>
      <c r="G943" t="s">
        <v>1515</v>
      </c>
      <c r="H943" t="s">
        <v>1512</v>
      </c>
      <c r="I943" t="s">
        <v>1535</v>
      </c>
      <c r="J943" t="s">
        <v>1524</v>
      </c>
      <c r="K943" t="s">
        <v>1518</v>
      </c>
      <c r="L943" s="2">
        <v>1</v>
      </c>
      <c r="M943" s="10">
        <v>4084</v>
      </c>
      <c r="N943" s="7">
        <v>4084</v>
      </c>
    </row>
    <row r="944" spans="1:14" x14ac:dyDescent="0.3">
      <c r="A944">
        <v>1322</v>
      </c>
      <c r="B944" s="1">
        <v>45464</v>
      </c>
      <c r="C944">
        <v>2024</v>
      </c>
      <c r="D944">
        <v>6</v>
      </c>
      <c r="E944" t="str">
        <f t="shared" si="14"/>
        <v>Juni</v>
      </c>
      <c r="F944">
        <v>2</v>
      </c>
      <c r="G944" t="s">
        <v>1515</v>
      </c>
      <c r="H944" t="s">
        <v>1512</v>
      </c>
      <c r="I944" t="s">
        <v>1535</v>
      </c>
      <c r="J944" t="s">
        <v>1524</v>
      </c>
      <c r="K944" t="s">
        <v>1518</v>
      </c>
      <c r="L944" s="2">
        <v>1</v>
      </c>
      <c r="M944" s="10">
        <v>4084</v>
      </c>
      <c r="N944" s="7">
        <v>4084</v>
      </c>
    </row>
    <row r="945" spans="1:14" x14ac:dyDescent="0.3">
      <c r="A945">
        <v>1322</v>
      </c>
      <c r="B945" s="1">
        <v>44945</v>
      </c>
      <c r="C945">
        <v>2023</v>
      </c>
      <c r="D945">
        <v>1</v>
      </c>
      <c r="E945" t="str">
        <f t="shared" si="14"/>
        <v>Januari</v>
      </c>
      <c r="F945">
        <v>1</v>
      </c>
      <c r="G945" t="s">
        <v>1515</v>
      </c>
      <c r="H945" t="s">
        <v>1512</v>
      </c>
      <c r="I945" t="s">
        <v>1535</v>
      </c>
      <c r="J945" t="s">
        <v>1524</v>
      </c>
      <c r="K945" t="s">
        <v>1518</v>
      </c>
      <c r="L945" s="2">
        <v>1</v>
      </c>
      <c r="M945" s="10">
        <v>4084</v>
      </c>
      <c r="N945" s="7">
        <v>4084</v>
      </c>
    </row>
    <row r="946" spans="1:14" x14ac:dyDescent="0.3">
      <c r="A946">
        <v>1323</v>
      </c>
      <c r="B946" s="1">
        <v>44833</v>
      </c>
      <c r="C946">
        <v>2022</v>
      </c>
      <c r="D946">
        <v>9</v>
      </c>
      <c r="E946" t="str">
        <f t="shared" si="14"/>
        <v>September</v>
      </c>
      <c r="F946">
        <v>3</v>
      </c>
      <c r="G946" t="s">
        <v>1534</v>
      </c>
      <c r="H946" t="s">
        <v>1530</v>
      </c>
      <c r="I946" t="s">
        <v>1521</v>
      </c>
      <c r="J946" t="s">
        <v>1524</v>
      </c>
      <c r="K946" t="s">
        <v>1518</v>
      </c>
      <c r="L946" s="2">
        <v>3</v>
      </c>
      <c r="M946" s="10">
        <v>3098</v>
      </c>
      <c r="N946" s="7">
        <v>9294</v>
      </c>
    </row>
    <row r="947" spans="1:14" x14ac:dyDescent="0.3">
      <c r="A947">
        <v>1324</v>
      </c>
      <c r="B947" s="1">
        <v>44748</v>
      </c>
      <c r="C947">
        <v>2022</v>
      </c>
      <c r="D947">
        <v>7</v>
      </c>
      <c r="E947" t="str">
        <f t="shared" si="14"/>
        <v>Juli</v>
      </c>
      <c r="F947">
        <v>3</v>
      </c>
      <c r="G947" t="s">
        <v>1519</v>
      </c>
      <c r="H947" t="s">
        <v>1520</v>
      </c>
      <c r="I947" t="s">
        <v>1531</v>
      </c>
      <c r="J947" t="s">
        <v>1566</v>
      </c>
      <c r="K947" t="s">
        <v>1525</v>
      </c>
      <c r="L947" s="2">
        <v>5</v>
      </c>
      <c r="M947" s="10">
        <v>18226</v>
      </c>
      <c r="N947" s="7">
        <v>91130</v>
      </c>
    </row>
    <row r="948" spans="1:14" x14ac:dyDescent="0.3">
      <c r="A948">
        <v>1324</v>
      </c>
      <c r="B948" s="1">
        <v>44691</v>
      </c>
      <c r="C948">
        <v>2022</v>
      </c>
      <c r="D948">
        <v>5</v>
      </c>
      <c r="E948" t="str">
        <f t="shared" si="14"/>
        <v>Mei</v>
      </c>
      <c r="F948">
        <v>2</v>
      </c>
      <c r="G948" t="s">
        <v>1519</v>
      </c>
      <c r="H948" t="s">
        <v>1520</v>
      </c>
      <c r="I948" t="s">
        <v>1531</v>
      </c>
      <c r="J948" t="s">
        <v>1566</v>
      </c>
      <c r="K948" t="s">
        <v>1525</v>
      </c>
      <c r="L948" s="2">
        <v>5</v>
      </c>
      <c r="M948" s="10">
        <v>18226</v>
      </c>
      <c r="N948" s="7">
        <v>91130</v>
      </c>
    </row>
    <row r="949" spans="1:14" x14ac:dyDescent="0.3">
      <c r="A949">
        <v>1324</v>
      </c>
      <c r="B949" s="1">
        <v>45169</v>
      </c>
      <c r="C949">
        <v>2023</v>
      </c>
      <c r="D949">
        <v>8</v>
      </c>
      <c r="E949" t="str">
        <f t="shared" si="14"/>
        <v>Agustus</v>
      </c>
      <c r="F949">
        <v>3</v>
      </c>
      <c r="G949" t="s">
        <v>1519</v>
      </c>
      <c r="H949" t="s">
        <v>1520</v>
      </c>
      <c r="I949" t="s">
        <v>1531</v>
      </c>
      <c r="J949" t="s">
        <v>1566</v>
      </c>
      <c r="K949" t="s">
        <v>1525</v>
      </c>
      <c r="L949" s="2">
        <v>5</v>
      </c>
      <c r="M949" s="10">
        <v>18226</v>
      </c>
      <c r="N949" s="7">
        <v>91130</v>
      </c>
    </row>
    <row r="950" spans="1:14" x14ac:dyDescent="0.3">
      <c r="A950">
        <v>1324</v>
      </c>
      <c r="B950" s="1">
        <v>45028</v>
      </c>
      <c r="C950">
        <v>2023</v>
      </c>
      <c r="D950">
        <v>4</v>
      </c>
      <c r="E950" t="str">
        <f t="shared" si="14"/>
        <v>April</v>
      </c>
      <c r="F950">
        <v>2</v>
      </c>
      <c r="G950" t="s">
        <v>1519</v>
      </c>
      <c r="H950" t="s">
        <v>1520</v>
      </c>
      <c r="I950" t="s">
        <v>1531</v>
      </c>
      <c r="J950" t="s">
        <v>1566</v>
      </c>
      <c r="K950" t="s">
        <v>1525</v>
      </c>
      <c r="L950" s="2">
        <v>5</v>
      </c>
      <c r="M950" s="10">
        <v>18226</v>
      </c>
      <c r="N950" s="7">
        <v>91130</v>
      </c>
    </row>
    <row r="951" spans="1:14" x14ac:dyDescent="0.3">
      <c r="A951">
        <v>1325</v>
      </c>
      <c r="B951" s="1">
        <v>45321</v>
      </c>
      <c r="C951">
        <v>2024</v>
      </c>
      <c r="D951">
        <v>1</v>
      </c>
      <c r="E951" t="str">
        <f t="shared" si="14"/>
        <v>Januari</v>
      </c>
      <c r="F951">
        <v>1</v>
      </c>
      <c r="G951" t="s">
        <v>1522</v>
      </c>
      <c r="H951" t="s">
        <v>1520</v>
      </c>
      <c r="I951" t="s">
        <v>1513</v>
      </c>
      <c r="J951" t="s">
        <v>1524</v>
      </c>
      <c r="K951" t="s">
        <v>1525</v>
      </c>
      <c r="L951" s="2">
        <v>5</v>
      </c>
      <c r="M951" s="10">
        <v>298</v>
      </c>
      <c r="N951" s="7">
        <v>1490</v>
      </c>
    </row>
    <row r="952" spans="1:14" x14ac:dyDescent="0.3">
      <c r="A952">
        <v>1325</v>
      </c>
      <c r="B952" s="1">
        <v>45582</v>
      </c>
      <c r="C952">
        <v>2024</v>
      </c>
      <c r="D952">
        <v>10</v>
      </c>
      <c r="E952" t="str">
        <f t="shared" si="14"/>
        <v>Oktober</v>
      </c>
      <c r="F952">
        <v>4</v>
      </c>
      <c r="G952" t="s">
        <v>1522</v>
      </c>
      <c r="H952" t="s">
        <v>1520</v>
      </c>
      <c r="I952" t="s">
        <v>1513</v>
      </c>
      <c r="J952" t="s">
        <v>1524</v>
      </c>
      <c r="K952" t="s">
        <v>1525</v>
      </c>
      <c r="L952" s="2">
        <v>5</v>
      </c>
      <c r="M952" s="10">
        <v>298</v>
      </c>
      <c r="N952" s="7">
        <v>1490</v>
      </c>
    </row>
    <row r="953" spans="1:14" x14ac:dyDescent="0.3">
      <c r="A953">
        <v>1325</v>
      </c>
      <c r="B953" s="1">
        <v>45068</v>
      </c>
      <c r="C953">
        <v>2023</v>
      </c>
      <c r="D953">
        <v>5</v>
      </c>
      <c r="E953" t="str">
        <f t="shared" si="14"/>
        <v>Mei</v>
      </c>
      <c r="F953">
        <v>2</v>
      </c>
      <c r="G953" t="s">
        <v>1522</v>
      </c>
      <c r="H953" t="s">
        <v>1520</v>
      </c>
      <c r="I953" t="s">
        <v>1513</v>
      </c>
      <c r="J953" t="s">
        <v>1524</v>
      </c>
      <c r="K953" t="s">
        <v>1525</v>
      </c>
      <c r="L953" s="2">
        <v>5</v>
      </c>
      <c r="M953" s="10">
        <v>298</v>
      </c>
      <c r="N953" s="7">
        <v>1490</v>
      </c>
    </row>
    <row r="954" spans="1:14" x14ac:dyDescent="0.3">
      <c r="A954">
        <v>1325</v>
      </c>
      <c r="B954" s="1">
        <v>45500</v>
      </c>
      <c r="C954">
        <v>2024</v>
      </c>
      <c r="D954">
        <v>7</v>
      </c>
      <c r="E954" t="str">
        <f t="shared" si="14"/>
        <v>Juli</v>
      </c>
      <c r="F954">
        <v>3</v>
      </c>
      <c r="G954" t="s">
        <v>1522</v>
      </c>
      <c r="H954" t="s">
        <v>1520</v>
      </c>
      <c r="I954" t="s">
        <v>1513</v>
      </c>
      <c r="J954" t="s">
        <v>1524</v>
      </c>
      <c r="K954" t="s">
        <v>1525</v>
      </c>
      <c r="L954" s="2">
        <v>5</v>
      </c>
      <c r="M954" s="10">
        <v>298</v>
      </c>
      <c r="N954" s="7">
        <v>1490</v>
      </c>
    </row>
    <row r="955" spans="1:14" x14ac:dyDescent="0.3">
      <c r="A955">
        <v>1326</v>
      </c>
      <c r="B955" s="1">
        <v>45070</v>
      </c>
      <c r="C955">
        <v>2023</v>
      </c>
      <c r="D955">
        <v>5</v>
      </c>
      <c r="E955" t="str">
        <f t="shared" si="14"/>
        <v>Mei</v>
      </c>
      <c r="F955">
        <v>2</v>
      </c>
      <c r="G955" t="s">
        <v>1523</v>
      </c>
      <c r="H955" t="s">
        <v>1512</v>
      </c>
      <c r="I955" t="s">
        <v>1528</v>
      </c>
      <c r="J955" t="s">
        <v>1517</v>
      </c>
      <c r="K955" t="s">
        <v>1525</v>
      </c>
      <c r="L955" s="2">
        <v>2</v>
      </c>
      <c r="M955" s="10">
        <v>12992</v>
      </c>
      <c r="N955" s="7">
        <v>25984</v>
      </c>
    </row>
    <row r="956" spans="1:14" x14ac:dyDescent="0.3">
      <c r="A956">
        <v>1326</v>
      </c>
      <c r="B956" s="1">
        <v>44785</v>
      </c>
      <c r="C956">
        <v>2022</v>
      </c>
      <c r="D956">
        <v>8</v>
      </c>
      <c r="E956" t="str">
        <f t="shared" si="14"/>
        <v>Agustus</v>
      </c>
      <c r="F956">
        <v>3</v>
      </c>
      <c r="G956" t="s">
        <v>1523</v>
      </c>
      <c r="H956" t="s">
        <v>1512</v>
      </c>
      <c r="I956" t="s">
        <v>1528</v>
      </c>
      <c r="J956" t="s">
        <v>1517</v>
      </c>
      <c r="K956" t="s">
        <v>1525</v>
      </c>
      <c r="L956" s="2">
        <v>2</v>
      </c>
      <c r="M956" s="10">
        <v>12992</v>
      </c>
      <c r="N956" s="7">
        <v>25984</v>
      </c>
    </row>
    <row r="957" spans="1:14" x14ac:dyDescent="0.3">
      <c r="A957">
        <v>1327</v>
      </c>
      <c r="B957" s="1">
        <v>45081</v>
      </c>
      <c r="C957">
        <v>2023</v>
      </c>
      <c r="D957">
        <v>6</v>
      </c>
      <c r="E957" t="str">
        <f t="shared" si="14"/>
        <v>Juni</v>
      </c>
      <c r="F957">
        <v>2</v>
      </c>
      <c r="G957" t="s">
        <v>1526</v>
      </c>
      <c r="H957" t="s">
        <v>1527</v>
      </c>
      <c r="I957" t="s">
        <v>1516</v>
      </c>
      <c r="J957" t="s">
        <v>1517</v>
      </c>
      <c r="K957" t="s">
        <v>1525</v>
      </c>
      <c r="L957" s="2">
        <v>5</v>
      </c>
      <c r="M957" s="10">
        <v>984</v>
      </c>
      <c r="N957" s="7">
        <v>4920</v>
      </c>
    </row>
    <row r="958" spans="1:14" x14ac:dyDescent="0.3">
      <c r="A958">
        <v>1327</v>
      </c>
      <c r="B958" s="1">
        <v>44601</v>
      </c>
      <c r="C958">
        <v>2022</v>
      </c>
      <c r="D958">
        <v>2</v>
      </c>
      <c r="E958" t="str">
        <f t="shared" si="14"/>
        <v>Februari</v>
      </c>
      <c r="F958">
        <v>1</v>
      </c>
      <c r="G958" t="s">
        <v>1526</v>
      </c>
      <c r="H958" t="s">
        <v>1527</v>
      </c>
      <c r="I958" t="s">
        <v>1516</v>
      </c>
      <c r="J958" t="s">
        <v>1517</v>
      </c>
      <c r="K958" t="s">
        <v>1525</v>
      </c>
      <c r="L958" s="2">
        <v>5</v>
      </c>
      <c r="M958" s="10">
        <v>984</v>
      </c>
      <c r="N958" s="7">
        <v>4920</v>
      </c>
    </row>
    <row r="959" spans="1:14" x14ac:dyDescent="0.3">
      <c r="A959">
        <v>1327</v>
      </c>
      <c r="B959" s="1">
        <v>45569</v>
      </c>
      <c r="C959">
        <v>2024</v>
      </c>
      <c r="D959">
        <v>10</v>
      </c>
      <c r="E959" t="str">
        <f t="shared" si="14"/>
        <v>Oktober</v>
      </c>
      <c r="F959">
        <v>4</v>
      </c>
      <c r="G959" t="s">
        <v>1526</v>
      </c>
      <c r="H959" t="s">
        <v>1527</v>
      </c>
      <c r="I959" t="s">
        <v>1516</v>
      </c>
      <c r="J959" t="s">
        <v>1517</v>
      </c>
      <c r="K959" t="s">
        <v>1525</v>
      </c>
      <c r="L959" s="2">
        <v>5</v>
      </c>
      <c r="M959" s="10">
        <v>984</v>
      </c>
      <c r="N959" s="7">
        <v>4920</v>
      </c>
    </row>
    <row r="960" spans="1:14" x14ac:dyDescent="0.3">
      <c r="A960">
        <v>1327</v>
      </c>
      <c r="B960" s="1">
        <v>45229</v>
      </c>
      <c r="C960">
        <v>2023</v>
      </c>
      <c r="D960">
        <v>10</v>
      </c>
      <c r="E960" t="str">
        <f t="shared" si="14"/>
        <v>Oktober</v>
      </c>
      <c r="F960">
        <v>4</v>
      </c>
      <c r="G960" t="s">
        <v>1526</v>
      </c>
      <c r="H960" t="s">
        <v>1527</v>
      </c>
      <c r="I960" t="s">
        <v>1516</v>
      </c>
      <c r="J960" t="s">
        <v>1517</v>
      </c>
      <c r="K960" t="s">
        <v>1525</v>
      </c>
      <c r="L960" s="2">
        <v>5</v>
      </c>
      <c r="M960" s="10">
        <v>984</v>
      </c>
      <c r="N960" s="7">
        <v>4920</v>
      </c>
    </row>
    <row r="961" spans="1:14" x14ac:dyDescent="0.3">
      <c r="A961">
        <v>1327</v>
      </c>
      <c r="B961" s="1">
        <v>44639</v>
      </c>
      <c r="C961">
        <v>2022</v>
      </c>
      <c r="D961">
        <v>3</v>
      </c>
      <c r="E961" t="str">
        <f t="shared" si="14"/>
        <v>Maret</v>
      </c>
      <c r="F961">
        <v>1</v>
      </c>
      <c r="G961" t="s">
        <v>1526</v>
      </c>
      <c r="H961" t="s">
        <v>1527</v>
      </c>
      <c r="I961" t="s">
        <v>1516</v>
      </c>
      <c r="J961" t="s">
        <v>1517</v>
      </c>
      <c r="K961" t="s">
        <v>1525</v>
      </c>
      <c r="L961" s="2">
        <v>5</v>
      </c>
      <c r="M961" s="10">
        <v>984</v>
      </c>
      <c r="N961" s="7">
        <v>4920</v>
      </c>
    </row>
    <row r="962" spans="1:14" x14ac:dyDescent="0.3">
      <c r="A962">
        <v>1327</v>
      </c>
      <c r="B962" s="1">
        <v>45337</v>
      </c>
      <c r="C962">
        <v>2024</v>
      </c>
      <c r="D962">
        <v>2</v>
      </c>
      <c r="E962" t="str">
        <f t="shared" si="14"/>
        <v>Februari</v>
      </c>
      <c r="F962">
        <v>1</v>
      </c>
      <c r="G962" t="s">
        <v>1526</v>
      </c>
      <c r="H962" t="s">
        <v>1527</v>
      </c>
      <c r="I962" t="s">
        <v>1516</v>
      </c>
      <c r="J962" t="s">
        <v>1517</v>
      </c>
      <c r="K962" t="s">
        <v>1525</v>
      </c>
      <c r="L962" s="2">
        <v>5</v>
      </c>
      <c r="M962" s="10">
        <v>984</v>
      </c>
      <c r="N962" s="7">
        <v>4920</v>
      </c>
    </row>
    <row r="963" spans="1:14" x14ac:dyDescent="0.3">
      <c r="A963">
        <v>1328</v>
      </c>
      <c r="B963" s="1">
        <v>45521</v>
      </c>
      <c r="C963">
        <v>2024</v>
      </c>
      <c r="D963">
        <v>8</v>
      </c>
      <c r="E963" t="str">
        <f t="shared" ref="E963:E1026" si="15">TEXT(DATE(2026, D963, 1), "[$-id-ID]mmmm")</f>
        <v>Agustus</v>
      </c>
      <c r="F963">
        <v>3</v>
      </c>
      <c r="G963" t="s">
        <v>1529</v>
      </c>
      <c r="H963" t="s">
        <v>1530</v>
      </c>
      <c r="I963" t="s">
        <v>1513</v>
      </c>
      <c r="J963" t="s">
        <v>1566</v>
      </c>
      <c r="K963" t="s">
        <v>1514</v>
      </c>
      <c r="L963" s="2">
        <v>5</v>
      </c>
      <c r="M963" s="10">
        <v>1432</v>
      </c>
      <c r="N963" s="7">
        <v>7160</v>
      </c>
    </row>
    <row r="964" spans="1:14" x14ac:dyDescent="0.3">
      <c r="A964">
        <v>1328</v>
      </c>
      <c r="B964" s="1">
        <v>44827</v>
      </c>
      <c r="C964">
        <v>2022</v>
      </c>
      <c r="D964">
        <v>9</v>
      </c>
      <c r="E964" t="str">
        <f t="shared" si="15"/>
        <v>September</v>
      </c>
      <c r="F964">
        <v>3</v>
      </c>
      <c r="G964" t="s">
        <v>1529</v>
      </c>
      <c r="H964" t="s">
        <v>1530</v>
      </c>
      <c r="I964" t="s">
        <v>1513</v>
      </c>
      <c r="J964" t="s">
        <v>1566</v>
      </c>
      <c r="K964" t="s">
        <v>1514</v>
      </c>
      <c r="L964" s="2">
        <v>5</v>
      </c>
      <c r="M964" s="10">
        <v>1432</v>
      </c>
      <c r="N964" s="7">
        <v>7160</v>
      </c>
    </row>
    <row r="965" spans="1:14" x14ac:dyDescent="0.3">
      <c r="A965">
        <v>1328</v>
      </c>
      <c r="B965" s="1">
        <v>45220</v>
      </c>
      <c r="C965">
        <v>2023</v>
      </c>
      <c r="D965">
        <v>10</v>
      </c>
      <c r="E965" t="str">
        <f t="shared" si="15"/>
        <v>Oktober</v>
      </c>
      <c r="F965">
        <v>4</v>
      </c>
      <c r="G965" t="s">
        <v>1529</v>
      </c>
      <c r="H965" t="s">
        <v>1530</v>
      </c>
      <c r="I965" t="s">
        <v>1513</v>
      </c>
      <c r="J965" t="s">
        <v>1566</v>
      </c>
      <c r="K965" t="s">
        <v>1514</v>
      </c>
      <c r="L965" s="2">
        <v>5</v>
      </c>
      <c r="M965" s="10">
        <v>1432</v>
      </c>
      <c r="N965" s="7">
        <v>7160</v>
      </c>
    </row>
    <row r="966" spans="1:14" x14ac:dyDescent="0.3">
      <c r="A966">
        <v>1328</v>
      </c>
      <c r="B966" s="1">
        <v>45294</v>
      </c>
      <c r="C966">
        <v>2024</v>
      </c>
      <c r="D966">
        <v>1</v>
      </c>
      <c r="E966" t="str">
        <f t="shared" si="15"/>
        <v>Januari</v>
      </c>
      <c r="F966">
        <v>1</v>
      </c>
      <c r="G966" t="s">
        <v>1529</v>
      </c>
      <c r="H966" t="s">
        <v>1530</v>
      </c>
      <c r="I966" t="s">
        <v>1513</v>
      </c>
      <c r="J966" t="s">
        <v>1566</v>
      </c>
      <c r="K966" t="s">
        <v>1514</v>
      </c>
      <c r="L966" s="2">
        <v>5</v>
      </c>
      <c r="M966" s="10">
        <v>1432</v>
      </c>
      <c r="N966" s="7">
        <v>7160</v>
      </c>
    </row>
    <row r="967" spans="1:14" x14ac:dyDescent="0.3">
      <c r="A967">
        <v>1328</v>
      </c>
      <c r="B967" s="1">
        <v>45480</v>
      </c>
      <c r="C967">
        <v>2024</v>
      </c>
      <c r="D967">
        <v>7</v>
      </c>
      <c r="E967" t="str">
        <f t="shared" si="15"/>
        <v>Juli</v>
      </c>
      <c r="F967">
        <v>3</v>
      </c>
      <c r="G967" t="s">
        <v>1529</v>
      </c>
      <c r="H967" t="s">
        <v>1530</v>
      </c>
      <c r="I967" t="s">
        <v>1513</v>
      </c>
      <c r="J967" t="s">
        <v>1566</v>
      </c>
      <c r="K967" t="s">
        <v>1514</v>
      </c>
      <c r="L967" s="2">
        <v>5</v>
      </c>
      <c r="M967" s="10">
        <v>1432</v>
      </c>
      <c r="N967" s="7">
        <v>7160</v>
      </c>
    </row>
    <row r="968" spans="1:14" x14ac:dyDescent="0.3">
      <c r="A968">
        <v>1329</v>
      </c>
      <c r="B968" s="1">
        <v>45052</v>
      </c>
      <c r="C968">
        <v>2023</v>
      </c>
      <c r="D968">
        <v>5</v>
      </c>
      <c r="E968" t="str">
        <f t="shared" si="15"/>
        <v>Mei</v>
      </c>
      <c r="F968">
        <v>2</v>
      </c>
      <c r="G968" t="s">
        <v>1532</v>
      </c>
      <c r="H968" t="s">
        <v>1512</v>
      </c>
      <c r="I968" t="s">
        <v>1528</v>
      </c>
      <c r="J968" t="s">
        <v>1517</v>
      </c>
      <c r="K968" t="s">
        <v>1525</v>
      </c>
      <c r="L968" s="2">
        <v>2</v>
      </c>
      <c r="M968" s="10">
        <v>12324</v>
      </c>
      <c r="N968" s="7">
        <v>24648</v>
      </c>
    </row>
    <row r="969" spans="1:14" x14ac:dyDescent="0.3">
      <c r="A969">
        <v>1329</v>
      </c>
      <c r="B969" s="1">
        <v>45214</v>
      </c>
      <c r="C969">
        <v>2023</v>
      </c>
      <c r="D969">
        <v>10</v>
      </c>
      <c r="E969" t="str">
        <f t="shared" si="15"/>
        <v>Oktober</v>
      </c>
      <c r="F969">
        <v>4</v>
      </c>
      <c r="G969" t="s">
        <v>1532</v>
      </c>
      <c r="H969" t="s">
        <v>1512</v>
      </c>
      <c r="I969" t="s">
        <v>1528</v>
      </c>
      <c r="J969" t="s">
        <v>1517</v>
      </c>
      <c r="K969" t="s">
        <v>1525</v>
      </c>
      <c r="L969" s="2">
        <v>2</v>
      </c>
      <c r="M969" s="10">
        <v>12324</v>
      </c>
      <c r="N969" s="7">
        <v>24648</v>
      </c>
    </row>
    <row r="970" spans="1:14" x14ac:dyDescent="0.3">
      <c r="A970">
        <v>1330</v>
      </c>
      <c r="B970" s="1">
        <v>45459</v>
      </c>
      <c r="C970">
        <v>2024</v>
      </c>
      <c r="D970">
        <v>6</v>
      </c>
      <c r="E970" t="str">
        <f t="shared" si="15"/>
        <v>Juni</v>
      </c>
      <c r="F970">
        <v>2</v>
      </c>
      <c r="G970" t="s">
        <v>1533</v>
      </c>
      <c r="H970" t="s">
        <v>1520</v>
      </c>
      <c r="I970" t="s">
        <v>1535</v>
      </c>
      <c r="J970" t="s">
        <v>1524</v>
      </c>
      <c r="K970" t="s">
        <v>1525</v>
      </c>
      <c r="L970" s="2">
        <v>4</v>
      </c>
      <c r="M970" s="10">
        <v>705</v>
      </c>
      <c r="N970" s="7">
        <v>2820</v>
      </c>
    </row>
    <row r="971" spans="1:14" x14ac:dyDescent="0.3">
      <c r="A971">
        <v>1330</v>
      </c>
      <c r="B971" s="1">
        <v>45222</v>
      </c>
      <c r="C971">
        <v>2023</v>
      </c>
      <c r="D971">
        <v>10</v>
      </c>
      <c r="E971" t="str">
        <f t="shared" si="15"/>
        <v>Oktober</v>
      </c>
      <c r="F971">
        <v>4</v>
      </c>
      <c r="G971" t="s">
        <v>1533</v>
      </c>
      <c r="H971" t="s">
        <v>1520</v>
      </c>
      <c r="I971" t="s">
        <v>1535</v>
      </c>
      <c r="J971" t="s">
        <v>1524</v>
      </c>
      <c r="K971" t="s">
        <v>1525</v>
      </c>
      <c r="L971" s="2">
        <v>4</v>
      </c>
      <c r="M971" s="10">
        <v>705</v>
      </c>
      <c r="N971" s="7">
        <v>2820</v>
      </c>
    </row>
    <row r="972" spans="1:14" x14ac:dyDescent="0.3">
      <c r="A972">
        <v>1330</v>
      </c>
      <c r="B972" s="1">
        <v>44762</v>
      </c>
      <c r="C972">
        <v>2022</v>
      </c>
      <c r="D972">
        <v>7</v>
      </c>
      <c r="E972" t="str">
        <f t="shared" si="15"/>
        <v>Juli</v>
      </c>
      <c r="F972">
        <v>3</v>
      </c>
      <c r="G972" t="s">
        <v>1533</v>
      </c>
      <c r="H972" t="s">
        <v>1520</v>
      </c>
      <c r="I972" t="s">
        <v>1535</v>
      </c>
      <c r="J972" t="s">
        <v>1524</v>
      </c>
      <c r="K972" t="s">
        <v>1525</v>
      </c>
      <c r="L972" s="2">
        <v>4</v>
      </c>
      <c r="M972" s="10">
        <v>705</v>
      </c>
      <c r="N972" s="7">
        <v>2820</v>
      </c>
    </row>
    <row r="973" spans="1:14" x14ac:dyDescent="0.3">
      <c r="A973">
        <v>1330</v>
      </c>
      <c r="B973" s="1">
        <v>45338</v>
      </c>
      <c r="C973">
        <v>2024</v>
      </c>
      <c r="D973">
        <v>2</v>
      </c>
      <c r="E973" t="str">
        <f t="shared" si="15"/>
        <v>Februari</v>
      </c>
      <c r="F973">
        <v>1</v>
      </c>
      <c r="G973" t="s">
        <v>1533</v>
      </c>
      <c r="H973" t="s">
        <v>1520</v>
      </c>
      <c r="I973" t="s">
        <v>1535</v>
      </c>
      <c r="J973" t="s">
        <v>1524</v>
      </c>
      <c r="K973" t="s">
        <v>1525</v>
      </c>
      <c r="L973" s="2">
        <v>4</v>
      </c>
      <c r="M973" s="10">
        <v>705</v>
      </c>
      <c r="N973" s="7">
        <v>2820</v>
      </c>
    </row>
    <row r="974" spans="1:14" x14ac:dyDescent="0.3">
      <c r="A974">
        <v>1330</v>
      </c>
      <c r="B974" s="1">
        <v>45018</v>
      </c>
      <c r="C974">
        <v>2023</v>
      </c>
      <c r="D974">
        <v>4</v>
      </c>
      <c r="E974" t="str">
        <f t="shared" si="15"/>
        <v>April</v>
      </c>
      <c r="F974">
        <v>2</v>
      </c>
      <c r="G974" t="s">
        <v>1533</v>
      </c>
      <c r="H974" t="s">
        <v>1520</v>
      </c>
      <c r="I974" t="s">
        <v>1535</v>
      </c>
      <c r="J974" t="s">
        <v>1524</v>
      </c>
      <c r="K974" t="s">
        <v>1525</v>
      </c>
      <c r="L974" s="2">
        <v>4</v>
      </c>
      <c r="M974" s="10">
        <v>705</v>
      </c>
      <c r="N974" s="7">
        <v>2820</v>
      </c>
    </row>
    <row r="975" spans="1:14" x14ac:dyDescent="0.3">
      <c r="A975">
        <v>1331</v>
      </c>
      <c r="B975" s="1">
        <v>45321</v>
      </c>
      <c r="C975">
        <v>2024</v>
      </c>
      <c r="D975">
        <v>1</v>
      </c>
      <c r="E975" t="str">
        <f t="shared" si="15"/>
        <v>Januari</v>
      </c>
      <c r="F975">
        <v>1</v>
      </c>
      <c r="G975" t="s">
        <v>1511</v>
      </c>
      <c r="H975" t="s">
        <v>1512</v>
      </c>
      <c r="I975" t="s">
        <v>1531</v>
      </c>
      <c r="J975" t="s">
        <v>1517</v>
      </c>
      <c r="K975" t="s">
        <v>1525</v>
      </c>
      <c r="L975" s="2">
        <v>2</v>
      </c>
      <c r="M975" s="10">
        <v>66703</v>
      </c>
      <c r="N975" s="7">
        <v>133406</v>
      </c>
    </row>
    <row r="976" spans="1:14" x14ac:dyDescent="0.3">
      <c r="A976">
        <v>1331</v>
      </c>
      <c r="B976" s="1">
        <v>45113</v>
      </c>
      <c r="C976">
        <v>2023</v>
      </c>
      <c r="D976">
        <v>7</v>
      </c>
      <c r="E976" t="str">
        <f t="shared" si="15"/>
        <v>Juli</v>
      </c>
      <c r="F976">
        <v>3</v>
      </c>
      <c r="G976" t="s">
        <v>1511</v>
      </c>
      <c r="H976" t="s">
        <v>1512</v>
      </c>
      <c r="I976" t="s">
        <v>1531</v>
      </c>
      <c r="J976" t="s">
        <v>1517</v>
      </c>
      <c r="K976" t="s">
        <v>1525</v>
      </c>
      <c r="L976" s="2">
        <v>2</v>
      </c>
      <c r="M976" s="10">
        <v>66703</v>
      </c>
      <c r="N976" s="7">
        <v>133406</v>
      </c>
    </row>
    <row r="977" spans="1:14" x14ac:dyDescent="0.3">
      <c r="A977">
        <v>1331</v>
      </c>
      <c r="B977" s="1">
        <v>44841</v>
      </c>
      <c r="C977">
        <v>2022</v>
      </c>
      <c r="D977">
        <v>10</v>
      </c>
      <c r="E977" t="str">
        <f t="shared" si="15"/>
        <v>Oktober</v>
      </c>
      <c r="F977">
        <v>4</v>
      </c>
      <c r="G977" t="s">
        <v>1511</v>
      </c>
      <c r="H977" t="s">
        <v>1512</v>
      </c>
      <c r="I977" t="s">
        <v>1531</v>
      </c>
      <c r="J977" t="s">
        <v>1517</v>
      </c>
      <c r="K977" t="s">
        <v>1525</v>
      </c>
      <c r="L977" s="2">
        <v>2</v>
      </c>
      <c r="M977" s="10">
        <v>66703</v>
      </c>
      <c r="N977" s="7">
        <v>133406</v>
      </c>
    </row>
    <row r="978" spans="1:14" x14ac:dyDescent="0.3">
      <c r="A978">
        <v>1332</v>
      </c>
      <c r="B978" s="1">
        <v>44706</v>
      </c>
      <c r="C978">
        <v>2022</v>
      </c>
      <c r="D978">
        <v>5</v>
      </c>
      <c r="E978" t="str">
        <f t="shared" si="15"/>
        <v>Mei</v>
      </c>
      <c r="F978">
        <v>2</v>
      </c>
      <c r="G978" t="s">
        <v>1515</v>
      </c>
      <c r="H978" t="s">
        <v>1512</v>
      </c>
      <c r="I978" t="s">
        <v>1535</v>
      </c>
      <c r="J978" t="s">
        <v>1524</v>
      </c>
      <c r="K978" t="s">
        <v>1518</v>
      </c>
      <c r="L978" s="2">
        <v>1</v>
      </c>
      <c r="M978" s="10">
        <v>2242</v>
      </c>
      <c r="N978" s="7">
        <v>2242</v>
      </c>
    </row>
    <row r="979" spans="1:14" x14ac:dyDescent="0.3">
      <c r="A979">
        <v>1332</v>
      </c>
      <c r="B979" s="1">
        <v>45297</v>
      </c>
      <c r="C979">
        <v>2024</v>
      </c>
      <c r="D979">
        <v>1</v>
      </c>
      <c r="E979" t="str">
        <f t="shared" si="15"/>
        <v>Januari</v>
      </c>
      <c r="F979">
        <v>1</v>
      </c>
      <c r="G979" t="s">
        <v>1515</v>
      </c>
      <c r="H979" t="s">
        <v>1512</v>
      </c>
      <c r="I979" t="s">
        <v>1535</v>
      </c>
      <c r="J979" t="s">
        <v>1524</v>
      </c>
      <c r="K979" t="s">
        <v>1518</v>
      </c>
      <c r="L979" s="2">
        <v>1</v>
      </c>
      <c r="M979" s="10">
        <v>2242</v>
      </c>
      <c r="N979" s="7">
        <v>2242</v>
      </c>
    </row>
    <row r="980" spans="1:14" x14ac:dyDescent="0.3">
      <c r="A980">
        <v>1333</v>
      </c>
      <c r="B980" s="1">
        <v>44996</v>
      </c>
      <c r="C980">
        <v>2023</v>
      </c>
      <c r="D980">
        <v>3</v>
      </c>
      <c r="E980" t="str">
        <f t="shared" si="15"/>
        <v>Maret</v>
      </c>
      <c r="F980">
        <v>1</v>
      </c>
      <c r="G980" t="s">
        <v>1534</v>
      </c>
      <c r="H980" t="s">
        <v>1530</v>
      </c>
      <c r="I980" t="s">
        <v>1521</v>
      </c>
      <c r="J980" t="s">
        <v>1524</v>
      </c>
      <c r="K980" t="s">
        <v>1514</v>
      </c>
      <c r="L980" s="2">
        <v>3</v>
      </c>
      <c r="M980" s="10">
        <v>3095</v>
      </c>
      <c r="N980" s="7">
        <v>9285</v>
      </c>
    </row>
    <row r="981" spans="1:14" x14ac:dyDescent="0.3">
      <c r="A981">
        <v>1333</v>
      </c>
      <c r="B981" s="1">
        <v>45572</v>
      </c>
      <c r="C981">
        <v>2024</v>
      </c>
      <c r="D981">
        <v>10</v>
      </c>
      <c r="E981" t="str">
        <f t="shared" si="15"/>
        <v>Oktober</v>
      </c>
      <c r="F981">
        <v>4</v>
      </c>
      <c r="G981" t="s">
        <v>1534</v>
      </c>
      <c r="H981" t="s">
        <v>1530</v>
      </c>
      <c r="I981" t="s">
        <v>1521</v>
      </c>
      <c r="J981" t="s">
        <v>1524</v>
      </c>
      <c r="K981" t="s">
        <v>1514</v>
      </c>
      <c r="L981" s="2">
        <v>3</v>
      </c>
      <c r="M981" s="10">
        <v>3095</v>
      </c>
      <c r="N981" s="7">
        <v>9285</v>
      </c>
    </row>
    <row r="982" spans="1:14" x14ac:dyDescent="0.3">
      <c r="A982">
        <v>1334</v>
      </c>
      <c r="B982" s="1">
        <v>44914</v>
      </c>
      <c r="C982">
        <v>2022</v>
      </c>
      <c r="D982">
        <v>12</v>
      </c>
      <c r="E982" t="str">
        <f t="shared" si="15"/>
        <v>Desember</v>
      </c>
      <c r="F982">
        <v>4</v>
      </c>
      <c r="G982" t="s">
        <v>1519</v>
      </c>
      <c r="H982" t="s">
        <v>1520</v>
      </c>
      <c r="I982" t="s">
        <v>1516</v>
      </c>
      <c r="J982" t="s">
        <v>1524</v>
      </c>
      <c r="K982" t="s">
        <v>1514</v>
      </c>
      <c r="L982" s="2">
        <v>3</v>
      </c>
      <c r="M982" s="10">
        <v>4016</v>
      </c>
      <c r="N982" s="7">
        <v>12048</v>
      </c>
    </row>
    <row r="983" spans="1:14" x14ac:dyDescent="0.3">
      <c r="A983">
        <v>1335</v>
      </c>
      <c r="B983" s="1">
        <v>45000</v>
      </c>
      <c r="C983">
        <v>2023</v>
      </c>
      <c r="D983">
        <v>3</v>
      </c>
      <c r="E983" t="str">
        <f t="shared" si="15"/>
        <v>Maret</v>
      </c>
      <c r="F983">
        <v>1</v>
      </c>
      <c r="G983" t="s">
        <v>1522</v>
      </c>
      <c r="H983" t="s">
        <v>1520</v>
      </c>
      <c r="I983" t="s">
        <v>1516</v>
      </c>
      <c r="J983" t="s">
        <v>1517</v>
      </c>
      <c r="K983" t="s">
        <v>1514</v>
      </c>
      <c r="L983" s="2">
        <v>4</v>
      </c>
      <c r="M983" s="10">
        <v>258</v>
      </c>
      <c r="N983" s="7">
        <v>1032</v>
      </c>
    </row>
    <row r="984" spans="1:14" x14ac:dyDescent="0.3">
      <c r="A984">
        <v>1335</v>
      </c>
      <c r="B984" s="1">
        <v>45365</v>
      </c>
      <c r="C984">
        <v>2024</v>
      </c>
      <c r="D984">
        <v>3</v>
      </c>
      <c r="E984" t="str">
        <f t="shared" si="15"/>
        <v>Maret</v>
      </c>
      <c r="F984">
        <v>1</v>
      </c>
      <c r="G984" t="s">
        <v>1522</v>
      </c>
      <c r="H984" t="s">
        <v>1520</v>
      </c>
      <c r="I984" t="s">
        <v>1516</v>
      </c>
      <c r="J984" t="s">
        <v>1517</v>
      </c>
      <c r="K984" t="s">
        <v>1514</v>
      </c>
      <c r="L984" s="2">
        <v>4</v>
      </c>
      <c r="M984" s="10">
        <v>258</v>
      </c>
      <c r="N984" s="7">
        <v>1032</v>
      </c>
    </row>
    <row r="985" spans="1:14" x14ac:dyDescent="0.3">
      <c r="A985">
        <v>1335</v>
      </c>
      <c r="B985" s="1">
        <v>44896</v>
      </c>
      <c r="C985">
        <v>2022</v>
      </c>
      <c r="D985">
        <v>12</v>
      </c>
      <c r="E985" t="str">
        <f t="shared" si="15"/>
        <v>Desember</v>
      </c>
      <c r="F985">
        <v>4</v>
      </c>
      <c r="G985" t="s">
        <v>1522</v>
      </c>
      <c r="H985" t="s">
        <v>1520</v>
      </c>
      <c r="I985" t="s">
        <v>1516</v>
      </c>
      <c r="J985" t="s">
        <v>1517</v>
      </c>
      <c r="K985" t="s">
        <v>1514</v>
      </c>
      <c r="L985" s="2">
        <v>4</v>
      </c>
      <c r="M985" s="10">
        <v>258</v>
      </c>
      <c r="N985" s="7">
        <v>1032</v>
      </c>
    </row>
    <row r="986" spans="1:14" x14ac:dyDescent="0.3">
      <c r="A986">
        <v>1335</v>
      </c>
      <c r="B986" s="1">
        <v>44846</v>
      </c>
      <c r="C986">
        <v>2022</v>
      </c>
      <c r="D986">
        <v>10</v>
      </c>
      <c r="E986" t="str">
        <f t="shared" si="15"/>
        <v>Oktober</v>
      </c>
      <c r="F986">
        <v>4</v>
      </c>
      <c r="G986" t="s">
        <v>1522</v>
      </c>
      <c r="H986" t="s">
        <v>1520</v>
      </c>
      <c r="I986" t="s">
        <v>1516</v>
      </c>
      <c r="J986" t="s">
        <v>1517</v>
      </c>
      <c r="K986" t="s">
        <v>1514</v>
      </c>
      <c r="L986" s="2">
        <v>4</v>
      </c>
      <c r="M986" s="10">
        <v>258</v>
      </c>
      <c r="N986" s="7">
        <v>1032</v>
      </c>
    </row>
    <row r="987" spans="1:14" x14ac:dyDescent="0.3">
      <c r="A987">
        <v>1335</v>
      </c>
      <c r="B987" s="1">
        <v>45135</v>
      </c>
      <c r="C987">
        <v>2023</v>
      </c>
      <c r="D987">
        <v>7</v>
      </c>
      <c r="E987" t="str">
        <f t="shared" si="15"/>
        <v>Juli</v>
      </c>
      <c r="F987">
        <v>3</v>
      </c>
      <c r="G987" t="s">
        <v>1522</v>
      </c>
      <c r="H987" t="s">
        <v>1520</v>
      </c>
      <c r="I987" t="s">
        <v>1516</v>
      </c>
      <c r="J987" t="s">
        <v>1517</v>
      </c>
      <c r="K987" t="s">
        <v>1514</v>
      </c>
      <c r="L987" s="2">
        <v>4</v>
      </c>
      <c r="M987" s="10">
        <v>258</v>
      </c>
      <c r="N987" s="7">
        <v>1032</v>
      </c>
    </row>
    <row r="988" spans="1:14" x14ac:dyDescent="0.3">
      <c r="A988">
        <v>1336</v>
      </c>
      <c r="B988" s="1">
        <v>45095</v>
      </c>
      <c r="C988">
        <v>2023</v>
      </c>
      <c r="D988">
        <v>6</v>
      </c>
      <c r="E988" t="str">
        <f t="shared" si="15"/>
        <v>Juni</v>
      </c>
      <c r="F988">
        <v>2</v>
      </c>
      <c r="G988" t="s">
        <v>1523</v>
      </c>
      <c r="H988" t="s">
        <v>1512</v>
      </c>
      <c r="I988" t="s">
        <v>1535</v>
      </c>
      <c r="J988" t="s">
        <v>1517</v>
      </c>
      <c r="K988" t="s">
        <v>1525</v>
      </c>
      <c r="L988" s="2">
        <v>1</v>
      </c>
      <c r="M988" s="10">
        <v>38061</v>
      </c>
      <c r="N988" s="7">
        <v>38061</v>
      </c>
    </row>
    <row r="989" spans="1:14" x14ac:dyDescent="0.3">
      <c r="A989">
        <v>1336</v>
      </c>
      <c r="B989" s="1">
        <v>44890</v>
      </c>
      <c r="C989">
        <v>2022</v>
      </c>
      <c r="D989">
        <v>11</v>
      </c>
      <c r="E989" t="str">
        <f t="shared" si="15"/>
        <v>November</v>
      </c>
      <c r="F989">
        <v>4</v>
      </c>
      <c r="G989" t="s">
        <v>1523</v>
      </c>
      <c r="H989" t="s">
        <v>1512</v>
      </c>
      <c r="I989" t="s">
        <v>1535</v>
      </c>
      <c r="J989" t="s">
        <v>1517</v>
      </c>
      <c r="K989" t="s">
        <v>1525</v>
      </c>
      <c r="L989" s="2">
        <v>1</v>
      </c>
      <c r="M989" s="10">
        <v>38061</v>
      </c>
      <c r="N989" s="7">
        <v>38061</v>
      </c>
    </row>
    <row r="990" spans="1:14" x14ac:dyDescent="0.3">
      <c r="A990">
        <v>1336</v>
      </c>
      <c r="B990" s="1">
        <v>44661</v>
      </c>
      <c r="C990">
        <v>2022</v>
      </c>
      <c r="D990">
        <v>4</v>
      </c>
      <c r="E990" t="str">
        <f t="shared" si="15"/>
        <v>April</v>
      </c>
      <c r="F990">
        <v>2</v>
      </c>
      <c r="G990" t="s">
        <v>1523</v>
      </c>
      <c r="H990" t="s">
        <v>1512</v>
      </c>
      <c r="I990" t="s">
        <v>1535</v>
      </c>
      <c r="J990" t="s">
        <v>1517</v>
      </c>
      <c r="K990" t="s">
        <v>1525</v>
      </c>
      <c r="L990" s="2">
        <v>1</v>
      </c>
      <c r="M990" s="10">
        <v>38061</v>
      </c>
      <c r="N990" s="7">
        <v>38061</v>
      </c>
    </row>
    <row r="991" spans="1:14" x14ac:dyDescent="0.3">
      <c r="A991">
        <v>1337</v>
      </c>
      <c r="B991" s="1">
        <v>45172</v>
      </c>
      <c r="C991">
        <v>2023</v>
      </c>
      <c r="D991">
        <v>9</v>
      </c>
      <c r="E991" t="str">
        <f t="shared" si="15"/>
        <v>September</v>
      </c>
      <c r="F991">
        <v>3</v>
      </c>
      <c r="G991" t="s">
        <v>1526</v>
      </c>
      <c r="H991" t="s">
        <v>1527</v>
      </c>
      <c r="I991" t="s">
        <v>1516</v>
      </c>
      <c r="J991" t="s">
        <v>1517</v>
      </c>
      <c r="K991" t="s">
        <v>1518</v>
      </c>
      <c r="L991" s="2">
        <v>2</v>
      </c>
      <c r="M991" s="10">
        <v>366</v>
      </c>
      <c r="N991" s="7">
        <v>732</v>
      </c>
    </row>
    <row r="992" spans="1:14" x14ac:dyDescent="0.3">
      <c r="A992">
        <v>1337</v>
      </c>
      <c r="B992" s="1">
        <v>44681</v>
      </c>
      <c r="C992">
        <v>2022</v>
      </c>
      <c r="D992">
        <v>4</v>
      </c>
      <c r="E992" t="str">
        <f t="shared" si="15"/>
        <v>April</v>
      </c>
      <c r="F992">
        <v>2</v>
      </c>
      <c r="G992" t="s">
        <v>1526</v>
      </c>
      <c r="H992" t="s">
        <v>1527</v>
      </c>
      <c r="I992" t="s">
        <v>1516</v>
      </c>
      <c r="J992" t="s">
        <v>1517</v>
      </c>
      <c r="K992" t="s">
        <v>1518</v>
      </c>
      <c r="L992" s="2">
        <v>2</v>
      </c>
      <c r="M992" s="10">
        <v>366</v>
      </c>
      <c r="N992" s="7">
        <v>732</v>
      </c>
    </row>
    <row r="993" spans="1:14" x14ac:dyDescent="0.3">
      <c r="A993">
        <v>1337</v>
      </c>
      <c r="B993" s="1">
        <v>45309</v>
      </c>
      <c r="C993">
        <v>2024</v>
      </c>
      <c r="D993">
        <v>1</v>
      </c>
      <c r="E993" t="str">
        <f t="shared" si="15"/>
        <v>Januari</v>
      </c>
      <c r="F993">
        <v>1</v>
      </c>
      <c r="G993" t="s">
        <v>1526</v>
      </c>
      <c r="H993" t="s">
        <v>1527</v>
      </c>
      <c r="I993" t="s">
        <v>1516</v>
      </c>
      <c r="J993" t="s">
        <v>1517</v>
      </c>
      <c r="K993" t="s">
        <v>1518</v>
      </c>
      <c r="L993" s="2">
        <v>2</v>
      </c>
      <c r="M993" s="10">
        <v>366</v>
      </c>
      <c r="N993" s="7">
        <v>732</v>
      </c>
    </row>
    <row r="994" spans="1:14" x14ac:dyDescent="0.3">
      <c r="A994">
        <v>1337</v>
      </c>
      <c r="B994" s="1">
        <v>45232</v>
      </c>
      <c r="C994">
        <v>2023</v>
      </c>
      <c r="D994">
        <v>11</v>
      </c>
      <c r="E994" t="str">
        <f t="shared" si="15"/>
        <v>November</v>
      </c>
      <c r="F994">
        <v>4</v>
      </c>
      <c r="G994" t="s">
        <v>1526</v>
      </c>
      <c r="H994" t="s">
        <v>1527</v>
      </c>
      <c r="I994" t="s">
        <v>1516</v>
      </c>
      <c r="J994" t="s">
        <v>1517</v>
      </c>
      <c r="K994" t="s">
        <v>1518</v>
      </c>
      <c r="L994" s="2">
        <v>2</v>
      </c>
      <c r="M994" s="10">
        <v>366</v>
      </c>
      <c r="N994" s="7">
        <v>732</v>
      </c>
    </row>
    <row r="995" spans="1:14" x14ac:dyDescent="0.3">
      <c r="A995">
        <v>1338</v>
      </c>
      <c r="B995" s="1">
        <v>45213</v>
      </c>
      <c r="C995">
        <v>2023</v>
      </c>
      <c r="D995">
        <v>10</v>
      </c>
      <c r="E995" t="str">
        <f t="shared" si="15"/>
        <v>Oktober</v>
      </c>
      <c r="F995">
        <v>4</v>
      </c>
      <c r="G995" t="s">
        <v>1529</v>
      </c>
      <c r="H995" t="s">
        <v>1530</v>
      </c>
      <c r="I995" t="s">
        <v>1516</v>
      </c>
      <c r="J995" t="s">
        <v>1524</v>
      </c>
      <c r="K995" t="s">
        <v>1514</v>
      </c>
      <c r="L995" s="2">
        <v>1</v>
      </c>
      <c r="M995" s="10">
        <v>1827</v>
      </c>
      <c r="N995" s="7">
        <v>1827</v>
      </c>
    </row>
    <row r="996" spans="1:14" x14ac:dyDescent="0.3">
      <c r="A996">
        <v>1338</v>
      </c>
      <c r="B996" s="1">
        <v>44967</v>
      </c>
      <c r="C996">
        <v>2023</v>
      </c>
      <c r="D996">
        <v>2</v>
      </c>
      <c r="E996" t="str">
        <f t="shared" si="15"/>
        <v>Februari</v>
      </c>
      <c r="F996">
        <v>1</v>
      </c>
      <c r="G996" t="s">
        <v>1529</v>
      </c>
      <c r="H996" t="s">
        <v>1530</v>
      </c>
      <c r="I996" t="s">
        <v>1516</v>
      </c>
      <c r="J996" t="s">
        <v>1524</v>
      </c>
      <c r="K996" t="s">
        <v>1514</v>
      </c>
      <c r="L996" s="2">
        <v>1</v>
      </c>
      <c r="M996" s="10">
        <v>1827</v>
      </c>
      <c r="N996" s="7">
        <v>1827</v>
      </c>
    </row>
    <row r="997" spans="1:14" x14ac:dyDescent="0.3">
      <c r="A997">
        <v>1338</v>
      </c>
      <c r="B997" s="1">
        <v>44970</v>
      </c>
      <c r="C997">
        <v>2023</v>
      </c>
      <c r="D997">
        <v>2</v>
      </c>
      <c r="E997" t="str">
        <f t="shared" si="15"/>
        <v>Februari</v>
      </c>
      <c r="F997">
        <v>1</v>
      </c>
      <c r="G997" t="s">
        <v>1529</v>
      </c>
      <c r="H997" t="s">
        <v>1530</v>
      </c>
      <c r="I997" t="s">
        <v>1516</v>
      </c>
      <c r="J997" t="s">
        <v>1524</v>
      </c>
      <c r="K997" t="s">
        <v>1514</v>
      </c>
      <c r="L997" s="2">
        <v>1</v>
      </c>
      <c r="M997" s="10">
        <v>1827</v>
      </c>
      <c r="N997" s="7">
        <v>1827</v>
      </c>
    </row>
    <row r="998" spans="1:14" x14ac:dyDescent="0.3">
      <c r="A998">
        <v>1339</v>
      </c>
      <c r="B998" s="1">
        <v>44801</v>
      </c>
      <c r="C998">
        <v>2022</v>
      </c>
      <c r="D998">
        <v>8</v>
      </c>
      <c r="E998" t="str">
        <f t="shared" si="15"/>
        <v>Agustus</v>
      </c>
      <c r="F998">
        <v>3</v>
      </c>
      <c r="G998" t="s">
        <v>1532</v>
      </c>
      <c r="H998" t="s">
        <v>1512</v>
      </c>
      <c r="I998" t="s">
        <v>1528</v>
      </c>
      <c r="J998" t="s">
        <v>1566</v>
      </c>
      <c r="K998" t="s">
        <v>1518</v>
      </c>
      <c r="L998" s="2">
        <v>1</v>
      </c>
      <c r="M998" s="10">
        <v>6196</v>
      </c>
      <c r="N998" s="7">
        <v>6196</v>
      </c>
    </row>
    <row r="999" spans="1:14" x14ac:dyDescent="0.3">
      <c r="A999">
        <v>1339</v>
      </c>
      <c r="B999" s="1">
        <v>45575</v>
      </c>
      <c r="C999">
        <v>2024</v>
      </c>
      <c r="D999">
        <v>10</v>
      </c>
      <c r="E999" t="str">
        <f t="shared" si="15"/>
        <v>Oktober</v>
      </c>
      <c r="F999">
        <v>4</v>
      </c>
      <c r="G999" t="s">
        <v>1532</v>
      </c>
      <c r="H999" t="s">
        <v>1512</v>
      </c>
      <c r="I999" t="s">
        <v>1528</v>
      </c>
      <c r="J999" t="s">
        <v>1566</v>
      </c>
      <c r="K999" t="s">
        <v>1518</v>
      </c>
      <c r="L999" s="2">
        <v>1</v>
      </c>
      <c r="M999" s="10">
        <v>6196</v>
      </c>
      <c r="N999" s="7">
        <v>6196</v>
      </c>
    </row>
    <row r="1000" spans="1:14" x14ac:dyDescent="0.3">
      <c r="A1000">
        <v>1341</v>
      </c>
      <c r="B1000" s="1">
        <v>45253</v>
      </c>
      <c r="C1000">
        <v>2023</v>
      </c>
      <c r="D1000">
        <v>11</v>
      </c>
      <c r="E1000" t="str">
        <f t="shared" si="15"/>
        <v>November</v>
      </c>
      <c r="F1000">
        <v>4</v>
      </c>
      <c r="G1000" t="s">
        <v>1511</v>
      </c>
      <c r="H1000" t="s">
        <v>1512</v>
      </c>
      <c r="I1000" t="s">
        <v>1535</v>
      </c>
      <c r="J1000" t="s">
        <v>1524</v>
      </c>
      <c r="K1000" t="s">
        <v>1518</v>
      </c>
      <c r="L1000" s="2">
        <v>2</v>
      </c>
      <c r="M1000" s="10">
        <v>57783</v>
      </c>
      <c r="N1000" s="7">
        <v>115566</v>
      </c>
    </row>
    <row r="1001" spans="1:14" x14ac:dyDescent="0.3">
      <c r="A1001">
        <v>1341</v>
      </c>
      <c r="B1001" s="1">
        <v>44809</v>
      </c>
      <c r="C1001">
        <v>2022</v>
      </c>
      <c r="D1001">
        <v>9</v>
      </c>
      <c r="E1001" t="str">
        <f t="shared" si="15"/>
        <v>September</v>
      </c>
      <c r="F1001">
        <v>3</v>
      </c>
      <c r="G1001" t="s">
        <v>1511</v>
      </c>
      <c r="H1001" t="s">
        <v>1512</v>
      </c>
      <c r="I1001" t="s">
        <v>1535</v>
      </c>
      <c r="J1001" t="s">
        <v>1524</v>
      </c>
      <c r="K1001" t="s">
        <v>1518</v>
      </c>
      <c r="L1001" s="2">
        <v>2</v>
      </c>
      <c r="M1001" s="10">
        <v>57783</v>
      </c>
      <c r="N1001" s="7">
        <v>115566</v>
      </c>
    </row>
    <row r="1002" spans="1:14" x14ac:dyDescent="0.3">
      <c r="A1002">
        <v>1341</v>
      </c>
      <c r="B1002" s="1">
        <v>45566</v>
      </c>
      <c r="C1002">
        <v>2024</v>
      </c>
      <c r="D1002">
        <v>10</v>
      </c>
      <c r="E1002" t="str">
        <f t="shared" si="15"/>
        <v>Oktober</v>
      </c>
      <c r="F1002">
        <v>4</v>
      </c>
      <c r="G1002" t="s">
        <v>1511</v>
      </c>
      <c r="H1002" t="s">
        <v>1512</v>
      </c>
      <c r="I1002" t="s">
        <v>1535</v>
      </c>
      <c r="J1002" t="s">
        <v>1524</v>
      </c>
      <c r="K1002" t="s">
        <v>1518</v>
      </c>
      <c r="L1002" s="2">
        <v>2</v>
      </c>
      <c r="M1002" s="10">
        <v>57783</v>
      </c>
      <c r="N1002" s="7">
        <v>115566</v>
      </c>
    </row>
    <row r="1003" spans="1:14" x14ac:dyDescent="0.3">
      <c r="A1003">
        <v>1001</v>
      </c>
      <c r="B1003" s="1">
        <v>45659</v>
      </c>
      <c r="C1003">
        <v>2025</v>
      </c>
      <c r="D1003">
        <v>1</v>
      </c>
      <c r="E1003" t="str">
        <f t="shared" si="15"/>
        <v>Januari</v>
      </c>
      <c r="F1003">
        <v>1</v>
      </c>
      <c r="G1003" t="s">
        <v>1511</v>
      </c>
      <c r="H1003" t="s">
        <v>1512</v>
      </c>
      <c r="I1003" t="s">
        <v>1513</v>
      </c>
      <c r="J1003" t="s">
        <v>1566</v>
      </c>
      <c r="K1003" t="s">
        <v>1514</v>
      </c>
      <c r="L1003" s="2">
        <v>2</v>
      </c>
      <c r="M1003" s="10">
        <v>50353</v>
      </c>
      <c r="N1003" s="7">
        <v>100706</v>
      </c>
    </row>
    <row r="1004" spans="1:14" x14ac:dyDescent="0.3">
      <c r="A1004">
        <v>1002</v>
      </c>
      <c r="B1004" s="1">
        <v>45660</v>
      </c>
      <c r="C1004">
        <v>2025</v>
      </c>
      <c r="D1004">
        <v>1</v>
      </c>
      <c r="E1004" t="str">
        <f t="shared" si="15"/>
        <v>Januari</v>
      </c>
      <c r="F1004">
        <v>1</v>
      </c>
      <c r="G1004" t="s">
        <v>1515</v>
      </c>
      <c r="H1004" t="s">
        <v>1512</v>
      </c>
      <c r="I1004" t="s">
        <v>1516</v>
      </c>
      <c r="J1004" t="s">
        <v>1517</v>
      </c>
      <c r="K1004" t="s">
        <v>1518</v>
      </c>
      <c r="L1004" s="2">
        <v>2</v>
      </c>
      <c r="M1004" s="10">
        <v>2008</v>
      </c>
      <c r="N1004" s="7">
        <v>4016</v>
      </c>
    </row>
    <row r="1005" spans="1:14" x14ac:dyDescent="0.3">
      <c r="A1005">
        <v>1003</v>
      </c>
      <c r="B1005" s="1">
        <v>45661</v>
      </c>
      <c r="C1005">
        <v>2025</v>
      </c>
      <c r="D1005">
        <v>1</v>
      </c>
      <c r="E1005" t="str">
        <f t="shared" si="15"/>
        <v>Januari</v>
      </c>
      <c r="F1005">
        <v>1</v>
      </c>
      <c r="G1005" t="s">
        <v>1534</v>
      </c>
      <c r="H1005" t="s">
        <v>1530</v>
      </c>
      <c r="I1005" t="s">
        <v>1513</v>
      </c>
      <c r="J1005" t="s">
        <v>1517</v>
      </c>
      <c r="K1005" t="s">
        <v>1518</v>
      </c>
      <c r="L1005" s="2">
        <v>1</v>
      </c>
      <c r="M1005" s="10">
        <v>4736</v>
      </c>
      <c r="N1005" s="7">
        <v>4736</v>
      </c>
    </row>
    <row r="1006" spans="1:14" x14ac:dyDescent="0.3">
      <c r="A1006">
        <v>1004</v>
      </c>
      <c r="B1006" s="1">
        <v>45662</v>
      </c>
      <c r="C1006">
        <v>2025</v>
      </c>
      <c r="D1006">
        <v>1</v>
      </c>
      <c r="E1006" t="str">
        <f t="shared" si="15"/>
        <v>Januari</v>
      </c>
      <c r="F1006">
        <v>1</v>
      </c>
      <c r="G1006" t="s">
        <v>1519</v>
      </c>
      <c r="H1006" t="s">
        <v>1520</v>
      </c>
      <c r="I1006" t="s">
        <v>1521</v>
      </c>
      <c r="J1006" t="s">
        <v>1566</v>
      </c>
      <c r="K1006" t="s">
        <v>1514</v>
      </c>
      <c r="L1006" s="2">
        <v>2</v>
      </c>
      <c r="M1006" s="10">
        <v>10072</v>
      </c>
      <c r="N1006" s="7">
        <v>20144</v>
      </c>
    </row>
    <row r="1007" spans="1:14" x14ac:dyDescent="0.3">
      <c r="A1007">
        <v>1005</v>
      </c>
      <c r="B1007" s="1">
        <v>45663</v>
      </c>
      <c r="C1007">
        <v>2025</v>
      </c>
      <c r="D1007">
        <v>1</v>
      </c>
      <c r="E1007" t="str">
        <f t="shared" si="15"/>
        <v>Januari</v>
      </c>
      <c r="F1007">
        <v>1</v>
      </c>
      <c r="G1007" t="s">
        <v>1522</v>
      </c>
      <c r="H1007" t="s">
        <v>1520</v>
      </c>
      <c r="I1007" t="s">
        <v>1521</v>
      </c>
      <c r="J1007" t="s">
        <v>1517</v>
      </c>
      <c r="K1007" t="s">
        <v>1518</v>
      </c>
      <c r="L1007" s="2">
        <v>2</v>
      </c>
      <c r="M1007" s="10">
        <v>920</v>
      </c>
      <c r="N1007" s="7">
        <v>1840</v>
      </c>
    </row>
    <row r="1008" spans="1:14" x14ac:dyDescent="0.3">
      <c r="A1008">
        <v>1006</v>
      </c>
      <c r="B1008" s="1">
        <v>45664</v>
      </c>
      <c r="C1008">
        <v>2025</v>
      </c>
      <c r="D1008">
        <v>1</v>
      </c>
      <c r="E1008" t="str">
        <f t="shared" si="15"/>
        <v>Januari</v>
      </c>
      <c r="F1008">
        <v>1</v>
      </c>
      <c r="G1008" t="s">
        <v>1523</v>
      </c>
      <c r="H1008" t="s">
        <v>1512</v>
      </c>
      <c r="I1008" t="s">
        <v>1516</v>
      </c>
      <c r="J1008" t="s">
        <v>1524</v>
      </c>
      <c r="K1008" t="s">
        <v>1525</v>
      </c>
      <c r="L1008" s="2">
        <v>1</v>
      </c>
      <c r="M1008" s="10">
        <v>13225</v>
      </c>
      <c r="N1008" s="7">
        <v>13225</v>
      </c>
    </row>
    <row r="1009" spans="1:14" x14ac:dyDescent="0.3">
      <c r="A1009">
        <v>1007</v>
      </c>
      <c r="B1009" s="1">
        <v>45665</v>
      </c>
      <c r="C1009">
        <v>2025</v>
      </c>
      <c r="D1009">
        <v>1</v>
      </c>
      <c r="E1009" t="str">
        <f t="shared" si="15"/>
        <v>Januari</v>
      </c>
      <c r="F1009">
        <v>1</v>
      </c>
      <c r="G1009" t="s">
        <v>1526</v>
      </c>
      <c r="H1009" t="s">
        <v>1527</v>
      </c>
      <c r="I1009" t="s">
        <v>1528</v>
      </c>
      <c r="J1009" t="s">
        <v>1566</v>
      </c>
      <c r="K1009" t="s">
        <v>1518</v>
      </c>
      <c r="L1009" s="2">
        <v>3</v>
      </c>
      <c r="M1009" s="10">
        <v>621</v>
      </c>
      <c r="N1009" s="7">
        <v>1863</v>
      </c>
    </row>
    <row r="1010" spans="1:14" x14ac:dyDescent="0.3">
      <c r="A1010">
        <v>1008</v>
      </c>
      <c r="B1010" s="1">
        <v>45666</v>
      </c>
      <c r="C1010">
        <v>2025</v>
      </c>
      <c r="D1010">
        <v>1</v>
      </c>
      <c r="E1010" t="str">
        <f t="shared" si="15"/>
        <v>Januari</v>
      </c>
      <c r="F1010">
        <v>1</v>
      </c>
      <c r="G1010" t="s">
        <v>1529</v>
      </c>
      <c r="H1010" t="s">
        <v>1530</v>
      </c>
      <c r="I1010" t="s">
        <v>1531</v>
      </c>
      <c r="J1010" t="s">
        <v>1517</v>
      </c>
      <c r="K1010" t="s">
        <v>1525</v>
      </c>
      <c r="L1010" s="2">
        <v>2</v>
      </c>
      <c r="M1010" s="10">
        <v>905</v>
      </c>
      <c r="N1010" s="7">
        <v>1810</v>
      </c>
    </row>
    <row r="1011" spans="1:14" x14ac:dyDescent="0.3">
      <c r="A1011">
        <v>1009</v>
      </c>
      <c r="B1011" s="1">
        <v>45667</v>
      </c>
      <c r="C1011">
        <v>2025</v>
      </c>
      <c r="D1011">
        <v>1</v>
      </c>
      <c r="E1011" t="str">
        <f t="shared" si="15"/>
        <v>Januari</v>
      </c>
      <c r="F1011">
        <v>1</v>
      </c>
      <c r="G1011" t="s">
        <v>1532</v>
      </c>
      <c r="H1011" t="s">
        <v>1512</v>
      </c>
      <c r="I1011" t="s">
        <v>1528</v>
      </c>
      <c r="J1011" t="s">
        <v>1524</v>
      </c>
      <c r="K1011" t="s">
        <v>1514</v>
      </c>
      <c r="L1011" s="2">
        <v>1</v>
      </c>
      <c r="M1011" s="10">
        <v>8563</v>
      </c>
      <c r="N1011" s="7">
        <v>8563</v>
      </c>
    </row>
    <row r="1012" spans="1:14" x14ac:dyDescent="0.3">
      <c r="A1012">
        <v>1010</v>
      </c>
      <c r="B1012" s="1">
        <v>45668</v>
      </c>
      <c r="C1012">
        <v>2025</v>
      </c>
      <c r="D1012">
        <v>1</v>
      </c>
      <c r="E1012" t="str">
        <f t="shared" si="15"/>
        <v>Januari</v>
      </c>
      <c r="F1012">
        <v>1</v>
      </c>
      <c r="G1012" t="s">
        <v>1533</v>
      </c>
      <c r="H1012" t="s">
        <v>1520</v>
      </c>
      <c r="I1012" t="s">
        <v>1513</v>
      </c>
      <c r="J1012" t="s">
        <v>1517</v>
      </c>
      <c r="K1012" t="s">
        <v>1518</v>
      </c>
      <c r="L1012" s="2">
        <v>1</v>
      </c>
      <c r="M1012" s="10">
        <v>268</v>
      </c>
      <c r="N1012" s="7">
        <v>268</v>
      </c>
    </row>
    <row r="1013" spans="1:14" x14ac:dyDescent="0.3">
      <c r="A1013">
        <v>1011</v>
      </c>
      <c r="B1013" s="1">
        <v>45669</v>
      </c>
      <c r="C1013">
        <v>2025</v>
      </c>
      <c r="D1013">
        <v>1</v>
      </c>
      <c r="E1013" t="str">
        <f t="shared" si="15"/>
        <v>Januari</v>
      </c>
      <c r="F1013">
        <v>1</v>
      </c>
      <c r="G1013" t="s">
        <v>1511</v>
      </c>
      <c r="H1013" t="s">
        <v>1512</v>
      </c>
      <c r="I1013" t="s">
        <v>1528</v>
      </c>
      <c r="J1013" t="s">
        <v>1524</v>
      </c>
      <c r="K1013" t="s">
        <v>1514</v>
      </c>
      <c r="L1013" s="2">
        <v>2</v>
      </c>
      <c r="M1013" s="10">
        <v>54018</v>
      </c>
      <c r="N1013" s="7">
        <v>108036</v>
      </c>
    </row>
    <row r="1014" spans="1:14" x14ac:dyDescent="0.3">
      <c r="A1014">
        <v>1012</v>
      </c>
      <c r="B1014" s="1">
        <v>45670</v>
      </c>
      <c r="C1014">
        <v>2025</v>
      </c>
      <c r="D1014">
        <v>1</v>
      </c>
      <c r="E1014" t="str">
        <f t="shared" si="15"/>
        <v>Januari</v>
      </c>
      <c r="F1014">
        <v>1</v>
      </c>
      <c r="G1014" t="s">
        <v>1515</v>
      </c>
      <c r="H1014" t="s">
        <v>1512</v>
      </c>
      <c r="I1014" t="s">
        <v>1516</v>
      </c>
      <c r="J1014" t="s">
        <v>1524</v>
      </c>
      <c r="K1014" t="s">
        <v>1518</v>
      </c>
      <c r="L1014" s="2">
        <v>3</v>
      </c>
      <c r="M1014" s="10">
        <v>4762</v>
      </c>
      <c r="N1014" s="7">
        <v>14286</v>
      </c>
    </row>
    <row r="1015" spans="1:14" x14ac:dyDescent="0.3">
      <c r="A1015">
        <v>1013</v>
      </c>
      <c r="B1015" s="1">
        <v>45671</v>
      </c>
      <c r="C1015">
        <v>2025</v>
      </c>
      <c r="D1015">
        <v>1</v>
      </c>
      <c r="E1015" t="str">
        <f t="shared" si="15"/>
        <v>Januari</v>
      </c>
      <c r="F1015">
        <v>1</v>
      </c>
      <c r="G1015" t="s">
        <v>1534</v>
      </c>
      <c r="H1015" t="s">
        <v>1530</v>
      </c>
      <c r="I1015" t="s">
        <v>1521</v>
      </c>
      <c r="J1015" t="s">
        <v>1524</v>
      </c>
      <c r="K1015" t="s">
        <v>1525</v>
      </c>
      <c r="L1015" s="2">
        <v>2</v>
      </c>
      <c r="M1015" s="10">
        <v>4880</v>
      </c>
      <c r="N1015" s="7">
        <v>9760</v>
      </c>
    </row>
    <row r="1016" spans="1:14" x14ac:dyDescent="0.3">
      <c r="A1016">
        <v>1014</v>
      </c>
      <c r="B1016" s="1">
        <v>45672</v>
      </c>
      <c r="C1016">
        <v>2025</v>
      </c>
      <c r="D1016">
        <v>1</v>
      </c>
      <c r="E1016" t="str">
        <f t="shared" si="15"/>
        <v>Januari</v>
      </c>
      <c r="F1016">
        <v>1</v>
      </c>
      <c r="G1016" t="s">
        <v>1519</v>
      </c>
      <c r="H1016" t="s">
        <v>1520</v>
      </c>
      <c r="I1016" t="s">
        <v>1513</v>
      </c>
      <c r="J1016" t="s">
        <v>1524</v>
      </c>
      <c r="K1016" t="s">
        <v>1514</v>
      </c>
      <c r="L1016" s="2">
        <v>1</v>
      </c>
      <c r="M1016" s="10">
        <v>8508</v>
      </c>
      <c r="N1016" s="7">
        <v>8508</v>
      </c>
    </row>
    <row r="1017" spans="1:14" x14ac:dyDescent="0.3">
      <c r="A1017">
        <v>1015</v>
      </c>
      <c r="B1017" s="1">
        <v>45673</v>
      </c>
      <c r="C1017">
        <v>2025</v>
      </c>
      <c r="D1017">
        <v>1</v>
      </c>
      <c r="E1017" t="str">
        <f t="shared" si="15"/>
        <v>Januari</v>
      </c>
      <c r="F1017">
        <v>1</v>
      </c>
      <c r="G1017" t="s">
        <v>1522</v>
      </c>
      <c r="H1017" t="s">
        <v>1520</v>
      </c>
      <c r="I1017" t="s">
        <v>1513</v>
      </c>
      <c r="J1017" t="s">
        <v>1517</v>
      </c>
      <c r="K1017" t="s">
        <v>1518</v>
      </c>
      <c r="L1017" s="2">
        <v>4</v>
      </c>
      <c r="M1017" s="10">
        <v>119</v>
      </c>
      <c r="N1017" s="7">
        <v>476</v>
      </c>
    </row>
    <row r="1018" spans="1:14" x14ac:dyDescent="0.3">
      <c r="A1018">
        <v>1016</v>
      </c>
      <c r="B1018" s="1">
        <v>45674</v>
      </c>
      <c r="C1018">
        <v>2025</v>
      </c>
      <c r="D1018">
        <v>1</v>
      </c>
      <c r="E1018" t="str">
        <f t="shared" si="15"/>
        <v>Januari</v>
      </c>
      <c r="F1018">
        <v>1</v>
      </c>
      <c r="G1018" t="s">
        <v>1523</v>
      </c>
      <c r="H1018" t="s">
        <v>1512</v>
      </c>
      <c r="I1018" t="s">
        <v>1535</v>
      </c>
      <c r="J1018" t="s">
        <v>1517</v>
      </c>
      <c r="K1018" t="s">
        <v>1525</v>
      </c>
      <c r="L1018" s="2">
        <v>1</v>
      </c>
      <c r="M1018" s="10">
        <v>37589</v>
      </c>
      <c r="N1018" s="7">
        <v>37589</v>
      </c>
    </row>
    <row r="1019" spans="1:14" x14ac:dyDescent="0.3">
      <c r="A1019">
        <v>1017</v>
      </c>
      <c r="B1019" s="1">
        <v>45675</v>
      </c>
      <c r="C1019">
        <v>2025</v>
      </c>
      <c r="D1019">
        <v>1</v>
      </c>
      <c r="E1019" t="str">
        <f t="shared" si="15"/>
        <v>Januari</v>
      </c>
      <c r="F1019">
        <v>1</v>
      </c>
      <c r="G1019" t="s">
        <v>1526</v>
      </c>
      <c r="H1019" t="s">
        <v>1527</v>
      </c>
      <c r="I1019" t="s">
        <v>1516</v>
      </c>
      <c r="J1019" t="s">
        <v>1566</v>
      </c>
      <c r="K1019" t="s">
        <v>1518</v>
      </c>
      <c r="L1019" s="2">
        <v>1</v>
      </c>
      <c r="M1019" s="10">
        <v>781</v>
      </c>
      <c r="N1019" s="7">
        <v>781</v>
      </c>
    </row>
    <row r="1020" spans="1:14" x14ac:dyDescent="0.3">
      <c r="A1020">
        <v>1018</v>
      </c>
      <c r="B1020" s="1">
        <v>45676</v>
      </c>
      <c r="C1020">
        <v>2025</v>
      </c>
      <c r="D1020">
        <v>1</v>
      </c>
      <c r="E1020" t="str">
        <f t="shared" si="15"/>
        <v>Januari</v>
      </c>
      <c r="F1020">
        <v>1</v>
      </c>
      <c r="G1020" t="s">
        <v>1529</v>
      </c>
      <c r="H1020" t="s">
        <v>1530</v>
      </c>
      <c r="I1020" t="s">
        <v>1535</v>
      </c>
      <c r="J1020" t="s">
        <v>1566</v>
      </c>
      <c r="K1020" t="s">
        <v>1518</v>
      </c>
      <c r="L1020" s="2">
        <v>5</v>
      </c>
      <c r="M1020" s="10">
        <v>809</v>
      </c>
      <c r="N1020" s="7">
        <v>4045</v>
      </c>
    </row>
    <row r="1021" spans="1:14" x14ac:dyDescent="0.3">
      <c r="A1021">
        <v>1019</v>
      </c>
      <c r="B1021" s="1">
        <v>45677</v>
      </c>
      <c r="C1021">
        <v>2025</v>
      </c>
      <c r="D1021">
        <v>1</v>
      </c>
      <c r="E1021" t="str">
        <f t="shared" si="15"/>
        <v>Januari</v>
      </c>
      <c r="F1021">
        <v>1</v>
      </c>
      <c r="G1021" t="s">
        <v>1532</v>
      </c>
      <c r="H1021" t="s">
        <v>1512</v>
      </c>
      <c r="I1021" t="s">
        <v>1521</v>
      </c>
      <c r="J1021" t="s">
        <v>1566</v>
      </c>
      <c r="K1021" t="s">
        <v>1518</v>
      </c>
      <c r="L1021" s="2">
        <v>2</v>
      </c>
      <c r="M1021" s="10">
        <v>4129</v>
      </c>
      <c r="N1021" s="7">
        <v>8258</v>
      </c>
    </row>
    <row r="1022" spans="1:14" x14ac:dyDescent="0.3">
      <c r="A1022">
        <v>1020</v>
      </c>
      <c r="B1022" s="1">
        <v>45678</v>
      </c>
      <c r="C1022">
        <v>2025</v>
      </c>
      <c r="D1022">
        <v>1</v>
      </c>
      <c r="E1022" t="str">
        <f t="shared" si="15"/>
        <v>Januari</v>
      </c>
      <c r="F1022">
        <v>1</v>
      </c>
      <c r="G1022" t="s">
        <v>1533</v>
      </c>
      <c r="H1022" t="s">
        <v>1520</v>
      </c>
      <c r="I1022" t="s">
        <v>1516</v>
      </c>
      <c r="J1022" t="s">
        <v>1524</v>
      </c>
      <c r="K1022" t="s">
        <v>1525</v>
      </c>
      <c r="L1022" s="2">
        <v>4</v>
      </c>
      <c r="M1022" s="10">
        <v>168</v>
      </c>
      <c r="N1022" s="7">
        <v>672</v>
      </c>
    </row>
    <row r="1023" spans="1:14" x14ac:dyDescent="0.3">
      <c r="A1023">
        <v>1021</v>
      </c>
      <c r="B1023" s="1">
        <v>45679</v>
      </c>
      <c r="C1023">
        <v>2025</v>
      </c>
      <c r="D1023">
        <v>1</v>
      </c>
      <c r="E1023" t="str">
        <f t="shared" si="15"/>
        <v>Januari</v>
      </c>
      <c r="F1023">
        <v>1</v>
      </c>
      <c r="G1023" t="s">
        <v>1511</v>
      </c>
      <c r="H1023" t="s">
        <v>1512</v>
      </c>
      <c r="I1023" t="s">
        <v>1521</v>
      </c>
      <c r="J1023" t="s">
        <v>1566</v>
      </c>
      <c r="K1023" t="s">
        <v>1525</v>
      </c>
      <c r="L1023" s="2">
        <v>2</v>
      </c>
      <c r="M1023" s="10">
        <v>68516</v>
      </c>
      <c r="N1023" s="7">
        <v>137032</v>
      </c>
    </row>
    <row r="1024" spans="1:14" x14ac:dyDescent="0.3">
      <c r="A1024">
        <v>1022</v>
      </c>
      <c r="B1024" s="1">
        <v>45680</v>
      </c>
      <c r="C1024">
        <v>2025</v>
      </c>
      <c r="D1024">
        <v>1</v>
      </c>
      <c r="E1024" t="str">
        <f t="shared" si="15"/>
        <v>Januari</v>
      </c>
      <c r="F1024">
        <v>1</v>
      </c>
      <c r="G1024" t="s">
        <v>1515</v>
      </c>
      <c r="H1024" t="s">
        <v>1512</v>
      </c>
      <c r="I1024" t="s">
        <v>1535</v>
      </c>
      <c r="J1024" t="s">
        <v>1517</v>
      </c>
      <c r="K1024" t="s">
        <v>1514</v>
      </c>
      <c r="L1024" s="2">
        <v>1</v>
      </c>
      <c r="M1024" s="10">
        <v>3985</v>
      </c>
      <c r="N1024" s="7">
        <v>3985</v>
      </c>
    </row>
    <row r="1025" spans="1:14" x14ac:dyDescent="0.3">
      <c r="A1025">
        <v>1023</v>
      </c>
      <c r="B1025" s="1">
        <v>45681</v>
      </c>
      <c r="C1025">
        <v>2025</v>
      </c>
      <c r="D1025">
        <v>1</v>
      </c>
      <c r="E1025" t="str">
        <f t="shared" si="15"/>
        <v>Januari</v>
      </c>
      <c r="F1025">
        <v>1</v>
      </c>
      <c r="G1025" t="s">
        <v>1534</v>
      </c>
      <c r="H1025" t="s">
        <v>1530</v>
      </c>
      <c r="I1025" t="s">
        <v>1535</v>
      </c>
      <c r="J1025" t="s">
        <v>1524</v>
      </c>
      <c r="K1025" t="s">
        <v>1518</v>
      </c>
      <c r="L1025" s="2">
        <v>1</v>
      </c>
      <c r="M1025" s="10">
        <v>2380</v>
      </c>
      <c r="N1025" s="7">
        <v>2380</v>
      </c>
    </row>
    <row r="1026" spans="1:14" x14ac:dyDescent="0.3">
      <c r="A1026">
        <v>1024</v>
      </c>
      <c r="B1026" s="1">
        <v>45682</v>
      </c>
      <c r="C1026">
        <v>2025</v>
      </c>
      <c r="D1026">
        <v>1</v>
      </c>
      <c r="E1026" t="str">
        <f t="shared" si="15"/>
        <v>Januari</v>
      </c>
      <c r="F1026">
        <v>1</v>
      </c>
      <c r="G1026" t="s">
        <v>1519</v>
      </c>
      <c r="H1026" t="s">
        <v>1520</v>
      </c>
      <c r="I1026" t="s">
        <v>1531</v>
      </c>
      <c r="J1026" t="s">
        <v>1517</v>
      </c>
      <c r="K1026" t="s">
        <v>1518</v>
      </c>
      <c r="L1026" s="2">
        <v>3</v>
      </c>
      <c r="M1026" s="10">
        <v>13522</v>
      </c>
      <c r="N1026" s="7">
        <v>40566</v>
      </c>
    </row>
    <row r="1027" spans="1:14" x14ac:dyDescent="0.3">
      <c r="A1027">
        <v>1025</v>
      </c>
      <c r="B1027" s="1">
        <v>45683</v>
      </c>
      <c r="C1027">
        <v>2025</v>
      </c>
      <c r="D1027">
        <v>1</v>
      </c>
      <c r="E1027" t="str">
        <f t="shared" ref="E1027:E1090" si="16">TEXT(DATE(2026, D1027, 1), "[$-id-ID]mmmm")</f>
        <v>Januari</v>
      </c>
      <c r="F1027">
        <v>1</v>
      </c>
      <c r="G1027" t="s">
        <v>1522</v>
      </c>
      <c r="H1027" t="s">
        <v>1520</v>
      </c>
      <c r="I1027" t="s">
        <v>1521</v>
      </c>
      <c r="J1027" t="s">
        <v>1566</v>
      </c>
      <c r="K1027" t="s">
        <v>1525</v>
      </c>
      <c r="L1027" s="2">
        <v>1</v>
      </c>
      <c r="M1027" s="10">
        <v>340</v>
      </c>
      <c r="N1027" s="7">
        <v>340</v>
      </c>
    </row>
    <row r="1028" spans="1:14" x14ac:dyDescent="0.3">
      <c r="A1028">
        <v>1026</v>
      </c>
      <c r="B1028" s="1">
        <v>45684</v>
      </c>
      <c r="C1028">
        <v>2025</v>
      </c>
      <c r="D1028">
        <v>1</v>
      </c>
      <c r="E1028" t="str">
        <f t="shared" si="16"/>
        <v>Januari</v>
      </c>
      <c r="F1028">
        <v>1</v>
      </c>
      <c r="G1028" t="s">
        <v>1523</v>
      </c>
      <c r="H1028" t="s">
        <v>1512</v>
      </c>
      <c r="I1028" t="s">
        <v>1531</v>
      </c>
      <c r="J1028" t="s">
        <v>1524</v>
      </c>
      <c r="K1028" t="s">
        <v>1518</v>
      </c>
      <c r="L1028" s="2">
        <v>1</v>
      </c>
      <c r="M1028" s="10">
        <v>34153</v>
      </c>
      <c r="N1028" s="7">
        <v>34153</v>
      </c>
    </row>
    <row r="1029" spans="1:14" x14ac:dyDescent="0.3">
      <c r="A1029">
        <v>1027</v>
      </c>
      <c r="B1029" s="1">
        <v>45685</v>
      </c>
      <c r="C1029">
        <v>2025</v>
      </c>
      <c r="D1029">
        <v>1</v>
      </c>
      <c r="E1029" t="str">
        <f t="shared" si="16"/>
        <v>Januari</v>
      </c>
      <c r="F1029">
        <v>1</v>
      </c>
      <c r="G1029" t="s">
        <v>1526</v>
      </c>
      <c r="H1029" t="s">
        <v>1527</v>
      </c>
      <c r="I1029" t="s">
        <v>1516</v>
      </c>
      <c r="J1029" t="s">
        <v>1524</v>
      </c>
      <c r="K1029" t="s">
        <v>1518</v>
      </c>
      <c r="L1029" s="2">
        <v>1</v>
      </c>
      <c r="M1029" s="10">
        <v>884</v>
      </c>
      <c r="N1029" s="7">
        <v>884</v>
      </c>
    </row>
    <row r="1030" spans="1:14" x14ac:dyDescent="0.3">
      <c r="A1030">
        <v>1028</v>
      </c>
      <c r="B1030" s="1">
        <v>45686</v>
      </c>
      <c r="C1030">
        <v>2025</v>
      </c>
      <c r="D1030">
        <v>1</v>
      </c>
      <c r="E1030" t="str">
        <f t="shared" si="16"/>
        <v>Januari</v>
      </c>
      <c r="F1030">
        <v>1</v>
      </c>
      <c r="G1030" t="s">
        <v>1529</v>
      </c>
      <c r="H1030" t="s">
        <v>1530</v>
      </c>
      <c r="I1030" t="s">
        <v>1521</v>
      </c>
      <c r="J1030" t="s">
        <v>1517</v>
      </c>
      <c r="K1030" t="s">
        <v>1525</v>
      </c>
      <c r="L1030" s="2">
        <v>1</v>
      </c>
      <c r="M1030" s="10">
        <v>1961</v>
      </c>
      <c r="N1030" s="7">
        <v>1961</v>
      </c>
    </row>
    <row r="1031" spans="1:14" x14ac:dyDescent="0.3">
      <c r="A1031">
        <v>1029</v>
      </c>
      <c r="B1031" s="1">
        <v>45687</v>
      </c>
      <c r="C1031">
        <v>2025</v>
      </c>
      <c r="D1031">
        <v>1</v>
      </c>
      <c r="E1031" t="str">
        <f t="shared" si="16"/>
        <v>Januari</v>
      </c>
      <c r="F1031">
        <v>1</v>
      </c>
      <c r="G1031" t="s">
        <v>1532</v>
      </c>
      <c r="H1031" t="s">
        <v>1512</v>
      </c>
      <c r="I1031" t="s">
        <v>1521</v>
      </c>
      <c r="J1031" t="s">
        <v>1566</v>
      </c>
      <c r="K1031" t="s">
        <v>1518</v>
      </c>
      <c r="L1031" s="2">
        <v>1</v>
      </c>
      <c r="M1031" s="10">
        <v>7608</v>
      </c>
      <c r="N1031" s="7">
        <v>7608</v>
      </c>
    </row>
    <row r="1032" spans="1:14" x14ac:dyDescent="0.3">
      <c r="A1032">
        <v>1030</v>
      </c>
      <c r="B1032" s="1">
        <v>45688</v>
      </c>
      <c r="C1032">
        <v>2025</v>
      </c>
      <c r="D1032">
        <v>1</v>
      </c>
      <c r="E1032" t="str">
        <f t="shared" si="16"/>
        <v>Januari</v>
      </c>
      <c r="F1032">
        <v>1</v>
      </c>
      <c r="G1032" t="s">
        <v>1533</v>
      </c>
      <c r="H1032" t="s">
        <v>1520</v>
      </c>
      <c r="I1032" t="s">
        <v>1528</v>
      </c>
      <c r="J1032" t="s">
        <v>1566</v>
      </c>
      <c r="K1032" t="s">
        <v>1525</v>
      </c>
      <c r="L1032" s="2">
        <v>5</v>
      </c>
      <c r="M1032" s="10">
        <v>126</v>
      </c>
      <c r="N1032" s="7">
        <v>630</v>
      </c>
    </row>
    <row r="1033" spans="1:14" x14ac:dyDescent="0.3">
      <c r="A1033">
        <v>1031</v>
      </c>
      <c r="B1033" s="1">
        <v>45689</v>
      </c>
      <c r="C1033">
        <v>2025</v>
      </c>
      <c r="D1033">
        <v>2</v>
      </c>
      <c r="E1033" t="str">
        <f t="shared" si="16"/>
        <v>Februari</v>
      </c>
      <c r="F1033">
        <v>1</v>
      </c>
      <c r="G1033" t="s">
        <v>1511</v>
      </c>
      <c r="H1033" t="s">
        <v>1512</v>
      </c>
      <c r="I1033" t="s">
        <v>1528</v>
      </c>
      <c r="J1033" t="s">
        <v>1517</v>
      </c>
      <c r="K1033" t="s">
        <v>1525</v>
      </c>
      <c r="L1033" s="2">
        <v>1</v>
      </c>
      <c r="M1033" s="10">
        <v>68088</v>
      </c>
      <c r="N1033" s="7">
        <v>68088</v>
      </c>
    </row>
    <row r="1034" spans="1:14" x14ac:dyDescent="0.3">
      <c r="A1034">
        <v>1032</v>
      </c>
      <c r="B1034" s="1">
        <v>45690</v>
      </c>
      <c r="C1034">
        <v>2025</v>
      </c>
      <c r="D1034">
        <v>2</v>
      </c>
      <c r="E1034" t="str">
        <f t="shared" si="16"/>
        <v>Februari</v>
      </c>
      <c r="F1034">
        <v>1</v>
      </c>
      <c r="G1034" t="s">
        <v>1515</v>
      </c>
      <c r="H1034" t="s">
        <v>1512</v>
      </c>
      <c r="I1034" t="s">
        <v>1516</v>
      </c>
      <c r="J1034" t="s">
        <v>1517</v>
      </c>
      <c r="K1034" t="s">
        <v>1518</v>
      </c>
      <c r="L1034" s="2">
        <v>3</v>
      </c>
      <c r="M1034" s="10">
        <v>2723</v>
      </c>
      <c r="N1034" s="7">
        <v>8169</v>
      </c>
    </row>
    <row r="1035" spans="1:14" x14ac:dyDescent="0.3">
      <c r="A1035">
        <v>1033</v>
      </c>
      <c r="B1035" s="1">
        <v>45691</v>
      </c>
      <c r="C1035">
        <v>2025</v>
      </c>
      <c r="D1035">
        <v>2</v>
      </c>
      <c r="E1035" t="str">
        <f t="shared" si="16"/>
        <v>Februari</v>
      </c>
      <c r="F1035">
        <v>1</v>
      </c>
      <c r="G1035" t="s">
        <v>1534</v>
      </c>
      <c r="H1035" t="s">
        <v>1530</v>
      </c>
      <c r="I1035" t="s">
        <v>1535</v>
      </c>
      <c r="J1035" t="s">
        <v>1517</v>
      </c>
      <c r="K1035" t="s">
        <v>1525</v>
      </c>
      <c r="L1035" s="2">
        <v>1</v>
      </c>
      <c r="M1035" s="10">
        <v>4157</v>
      </c>
      <c r="N1035" s="7">
        <v>4157</v>
      </c>
    </row>
    <row r="1036" spans="1:14" x14ac:dyDescent="0.3">
      <c r="A1036">
        <v>1034</v>
      </c>
      <c r="B1036" s="1">
        <v>45692</v>
      </c>
      <c r="C1036">
        <v>2025</v>
      </c>
      <c r="D1036">
        <v>2</v>
      </c>
      <c r="E1036" t="str">
        <f t="shared" si="16"/>
        <v>Februari</v>
      </c>
      <c r="F1036">
        <v>1</v>
      </c>
      <c r="G1036" t="s">
        <v>1519</v>
      </c>
      <c r="H1036" t="s">
        <v>1520</v>
      </c>
      <c r="I1036" t="s">
        <v>1521</v>
      </c>
      <c r="J1036" t="s">
        <v>1524</v>
      </c>
      <c r="K1036" t="s">
        <v>1518</v>
      </c>
      <c r="L1036" s="2">
        <v>3</v>
      </c>
      <c r="M1036" s="10">
        <v>3589</v>
      </c>
      <c r="N1036" s="7">
        <v>10767</v>
      </c>
    </row>
    <row r="1037" spans="1:14" x14ac:dyDescent="0.3">
      <c r="A1037">
        <v>1035</v>
      </c>
      <c r="B1037" s="1">
        <v>45693</v>
      </c>
      <c r="C1037">
        <v>2025</v>
      </c>
      <c r="D1037">
        <v>2</v>
      </c>
      <c r="E1037" t="str">
        <f t="shared" si="16"/>
        <v>Februari</v>
      </c>
      <c r="F1037">
        <v>1</v>
      </c>
      <c r="G1037" t="s">
        <v>1522</v>
      </c>
      <c r="H1037" t="s">
        <v>1520</v>
      </c>
      <c r="I1037" t="s">
        <v>1516</v>
      </c>
      <c r="J1037" t="s">
        <v>1524</v>
      </c>
      <c r="K1037" t="s">
        <v>1518</v>
      </c>
      <c r="L1037" s="2">
        <v>3</v>
      </c>
      <c r="M1037" s="10">
        <v>414</v>
      </c>
      <c r="N1037" s="7">
        <v>1242</v>
      </c>
    </row>
    <row r="1038" spans="1:14" x14ac:dyDescent="0.3">
      <c r="A1038">
        <v>1036</v>
      </c>
      <c r="B1038" s="1">
        <v>45694</v>
      </c>
      <c r="C1038">
        <v>2025</v>
      </c>
      <c r="D1038">
        <v>2</v>
      </c>
      <c r="E1038" t="str">
        <f t="shared" si="16"/>
        <v>Februari</v>
      </c>
      <c r="F1038">
        <v>1</v>
      </c>
      <c r="G1038" t="s">
        <v>1523</v>
      </c>
      <c r="H1038" t="s">
        <v>1512</v>
      </c>
      <c r="I1038" t="s">
        <v>1531</v>
      </c>
      <c r="J1038" t="s">
        <v>1524</v>
      </c>
      <c r="K1038" t="s">
        <v>1514</v>
      </c>
      <c r="L1038" s="2">
        <v>2</v>
      </c>
      <c r="M1038" s="10">
        <v>15134</v>
      </c>
      <c r="N1038" s="7">
        <v>30268</v>
      </c>
    </row>
    <row r="1039" spans="1:14" x14ac:dyDescent="0.3">
      <c r="A1039">
        <v>1037</v>
      </c>
      <c r="B1039" s="1">
        <v>45695</v>
      </c>
      <c r="C1039">
        <v>2025</v>
      </c>
      <c r="D1039">
        <v>2</v>
      </c>
      <c r="E1039" t="str">
        <f t="shared" si="16"/>
        <v>Februari</v>
      </c>
      <c r="F1039">
        <v>1</v>
      </c>
      <c r="G1039" t="s">
        <v>1526</v>
      </c>
      <c r="H1039" t="s">
        <v>1527</v>
      </c>
      <c r="I1039" t="s">
        <v>1528</v>
      </c>
      <c r="J1039" t="s">
        <v>1524</v>
      </c>
      <c r="K1039" t="s">
        <v>1514</v>
      </c>
      <c r="L1039" s="2">
        <v>5</v>
      </c>
      <c r="M1039" s="10">
        <v>605</v>
      </c>
      <c r="N1039" s="7">
        <v>3025</v>
      </c>
    </row>
    <row r="1040" spans="1:14" x14ac:dyDescent="0.3">
      <c r="A1040">
        <v>1038</v>
      </c>
      <c r="B1040" s="1">
        <v>45696</v>
      </c>
      <c r="C1040">
        <v>2025</v>
      </c>
      <c r="D1040">
        <v>2</v>
      </c>
      <c r="E1040" t="str">
        <f t="shared" si="16"/>
        <v>Februari</v>
      </c>
      <c r="F1040">
        <v>1</v>
      </c>
      <c r="G1040" t="s">
        <v>1529</v>
      </c>
      <c r="H1040" t="s">
        <v>1530</v>
      </c>
      <c r="I1040" t="s">
        <v>1516</v>
      </c>
      <c r="J1040" t="s">
        <v>1524</v>
      </c>
      <c r="K1040" t="s">
        <v>1514</v>
      </c>
      <c r="L1040" s="2">
        <v>3</v>
      </c>
      <c r="M1040" s="10">
        <v>1857</v>
      </c>
      <c r="N1040" s="7">
        <v>5571</v>
      </c>
    </row>
    <row r="1041" spans="1:14" x14ac:dyDescent="0.3">
      <c r="A1041">
        <v>1039</v>
      </c>
      <c r="B1041" s="1">
        <v>45697</v>
      </c>
      <c r="C1041">
        <v>2025</v>
      </c>
      <c r="D1041">
        <v>2</v>
      </c>
      <c r="E1041" t="str">
        <f t="shared" si="16"/>
        <v>Februari</v>
      </c>
      <c r="F1041">
        <v>1</v>
      </c>
      <c r="G1041" t="s">
        <v>1532</v>
      </c>
      <c r="H1041" t="s">
        <v>1512</v>
      </c>
      <c r="I1041" t="s">
        <v>1513</v>
      </c>
      <c r="J1041" t="s">
        <v>1524</v>
      </c>
      <c r="K1041" t="s">
        <v>1525</v>
      </c>
      <c r="L1041" s="2">
        <v>1</v>
      </c>
      <c r="M1041" s="10">
        <v>5190</v>
      </c>
      <c r="N1041" s="7">
        <v>5190</v>
      </c>
    </row>
    <row r="1042" spans="1:14" x14ac:dyDescent="0.3">
      <c r="A1042">
        <v>1040</v>
      </c>
      <c r="B1042" s="1">
        <v>45698</v>
      </c>
      <c r="C1042">
        <v>2025</v>
      </c>
      <c r="D1042">
        <v>2</v>
      </c>
      <c r="E1042" t="str">
        <f t="shared" si="16"/>
        <v>Februari</v>
      </c>
      <c r="F1042">
        <v>1</v>
      </c>
      <c r="G1042" t="s">
        <v>1533</v>
      </c>
      <c r="H1042" t="s">
        <v>1520</v>
      </c>
      <c r="I1042" t="s">
        <v>1531</v>
      </c>
      <c r="J1042" t="s">
        <v>1566</v>
      </c>
      <c r="K1042" t="s">
        <v>1525</v>
      </c>
      <c r="L1042" s="2">
        <v>4</v>
      </c>
      <c r="M1042" s="10">
        <v>338</v>
      </c>
      <c r="N1042" s="7">
        <v>1352</v>
      </c>
    </row>
    <row r="1043" spans="1:14" x14ac:dyDescent="0.3">
      <c r="A1043">
        <v>1041</v>
      </c>
      <c r="B1043" s="1">
        <v>45699</v>
      </c>
      <c r="C1043">
        <v>2025</v>
      </c>
      <c r="D1043">
        <v>2</v>
      </c>
      <c r="E1043" t="str">
        <f t="shared" si="16"/>
        <v>Februari</v>
      </c>
      <c r="F1043">
        <v>1</v>
      </c>
      <c r="G1043" t="s">
        <v>1511</v>
      </c>
      <c r="H1043" t="s">
        <v>1512</v>
      </c>
      <c r="I1043" t="s">
        <v>1528</v>
      </c>
      <c r="J1043" t="s">
        <v>1517</v>
      </c>
      <c r="K1043" t="s">
        <v>1525</v>
      </c>
      <c r="L1043" s="2">
        <v>1</v>
      </c>
      <c r="M1043" s="10">
        <v>52555</v>
      </c>
      <c r="N1043" s="7">
        <v>52555</v>
      </c>
    </row>
    <row r="1044" spans="1:14" x14ac:dyDescent="0.3">
      <c r="A1044">
        <v>1042</v>
      </c>
      <c r="B1044" s="1">
        <v>45700</v>
      </c>
      <c r="C1044">
        <v>2025</v>
      </c>
      <c r="D1044">
        <v>2</v>
      </c>
      <c r="E1044" t="str">
        <f t="shared" si="16"/>
        <v>Februari</v>
      </c>
      <c r="F1044">
        <v>1</v>
      </c>
      <c r="G1044" t="s">
        <v>1515</v>
      </c>
      <c r="H1044" t="s">
        <v>1512</v>
      </c>
      <c r="I1044" t="s">
        <v>1516</v>
      </c>
      <c r="J1044" t="s">
        <v>1524</v>
      </c>
      <c r="K1044" t="s">
        <v>1518</v>
      </c>
      <c r="L1044" s="2">
        <v>1</v>
      </c>
      <c r="M1044" s="10">
        <v>2478</v>
      </c>
      <c r="N1044" s="7">
        <v>2478</v>
      </c>
    </row>
    <row r="1045" spans="1:14" x14ac:dyDescent="0.3">
      <c r="A1045">
        <v>1043</v>
      </c>
      <c r="B1045" s="1">
        <v>45701</v>
      </c>
      <c r="C1045">
        <v>2025</v>
      </c>
      <c r="D1045">
        <v>2</v>
      </c>
      <c r="E1045" t="str">
        <f t="shared" si="16"/>
        <v>Februari</v>
      </c>
      <c r="F1045">
        <v>1</v>
      </c>
      <c r="G1045" t="s">
        <v>1534</v>
      </c>
      <c r="H1045" t="s">
        <v>1530</v>
      </c>
      <c r="I1045" t="s">
        <v>1513</v>
      </c>
      <c r="J1045" t="s">
        <v>1524</v>
      </c>
      <c r="K1045" t="s">
        <v>1525</v>
      </c>
      <c r="L1045" s="2">
        <v>2</v>
      </c>
      <c r="M1045" s="10">
        <v>4368</v>
      </c>
      <c r="N1045" s="7">
        <v>8736</v>
      </c>
    </row>
    <row r="1046" spans="1:14" x14ac:dyDescent="0.3">
      <c r="A1046">
        <v>1044</v>
      </c>
      <c r="B1046" s="1">
        <v>45702</v>
      </c>
      <c r="C1046">
        <v>2025</v>
      </c>
      <c r="D1046">
        <v>2</v>
      </c>
      <c r="E1046" t="str">
        <f t="shared" si="16"/>
        <v>Februari</v>
      </c>
      <c r="F1046">
        <v>1</v>
      </c>
      <c r="G1046" t="s">
        <v>1519</v>
      </c>
      <c r="H1046" t="s">
        <v>1520</v>
      </c>
      <c r="I1046" t="s">
        <v>1521</v>
      </c>
      <c r="J1046" t="s">
        <v>1524</v>
      </c>
      <c r="K1046" t="s">
        <v>1518</v>
      </c>
      <c r="L1046" s="2">
        <v>5</v>
      </c>
      <c r="M1046" s="10">
        <v>4294</v>
      </c>
      <c r="N1046" s="7">
        <v>21470</v>
      </c>
    </row>
    <row r="1047" spans="1:14" x14ac:dyDescent="0.3">
      <c r="A1047">
        <v>1045</v>
      </c>
      <c r="B1047" s="1">
        <v>45703</v>
      </c>
      <c r="C1047">
        <v>2025</v>
      </c>
      <c r="D1047">
        <v>2</v>
      </c>
      <c r="E1047" t="str">
        <f t="shared" si="16"/>
        <v>Februari</v>
      </c>
      <c r="F1047">
        <v>1</v>
      </c>
      <c r="G1047" t="s">
        <v>1522</v>
      </c>
      <c r="H1047" t="s">
        <v>1520</v>
      </c>
      <c r="I1047" t="s">
        <v>1513</v>
      </c>
      <c r="J1047" t="s">
        <v>1566</v>
      </c>
      <c r="K1047" t="s">
        <v>1514</v>
      </c>
      <c r="L1047" s="2">
        <v>5</v>
      </c>
      <c r="M1047" s="10">
        <v>877</v>
      </c>
      <c r="N1047" s="7">
        <v>4385</v>
      </c>
    </row>
    <row r="1048" spans="1:14" x14ac:dyDescent="0.3">
      <c r="A1048">
        <v>1046</v>
      </c>
      <c r="B1048" s="1">
        <v>45704</v>
      </c>
      <c r="C1048">
        <v>2025</v>
      </c>
      <c r="D1048">
        <v>2</v>
      </c>
      <c r="E1048" t="str">
        <f t="shared" si="16"/>
        <v>Februari</v>
      </c>
      <c r="F1048">
        <v>1</v>
      </c>
      <c r="G1048" t="s">
        <v>1523</v>
      </c>
      <c r="H1048" t="s">
        <v>1512</v>
      </c>
      <c r="I1048" t="s">
        <v>1528</v>
      </c>
      <c r="J1048" t="s">
        <v>1566</v>
      </c>
      <c r="K1048" t="s">
        <v>1518</v>
      </c>
      <c r="L1048" s="2">
        <v>2</v>
      </c>
      <c r="M1048" s="10">
        <v>35059</v>
      </c>
      <c r="N1048" s="7">
        <v>70118</v>
      </c>
    </row>
    <row r="1049" spans="1:14" x14ac:dyDescent="0.3">
      <c r="A1049">
        <v>1047</v>
      </c>
      <c r="B1049" s="1">
        <v>45705</v>
      </c>
      <c r="C1049">
        <v>2025</v>
      </c>
      <c r="D1049">
        <v>2</v>
      </c>
      <c r="E1049" t="str">
        <f t="shared" si="16"/>
        <v>Februari</v>
      </c>
      <c r="F1049">
        <v>1</v>
      </c>
      <c r="G1049" t="s">
        <v>1526</v>
      </c>
      <c r="H1049" t="s">
        <v>1527</v>
      </c>
      <c r="I1049" t="s">
        <v>1513</v>
      </c>
      <c r="J1049" t="s">
        <v>1517</v>
      </c>
      <c r="K1049" t="s">
        <v>1518</v>
      </c>
      <c r="L1049" s="2">
        <v>3</v>
      </c>
      <c r="M1049" s="10">
        <v>935</v>
      </c>
      <c r="N1049" s="7">
        <v>2805</v>
      </c>
    </row>
    <row r="1050" spans="1:14" x14ac:dyDescent="0.3">
      <c r="A1050">
        <v>1048</v>
      </c>
      <c r="B1050" s="1">
        <v>45706</v>
      </c>
      <c r="C1050">
        <v>2025</v>
      </c>
      <c r="D1050">
        <v>2</v>
      </c>
      <c r="E1050" t="str">
        <f t="shared" si="16"/>
        <v>Februari</v>
      </c>
      <c r="F1050">
        <v>1</v>
      </c>
      <c r="G1050" t="s">
        <v>1529</v>
      </c>
      <c r="H1050" t="s">
        <v>1530</v>
      </c>
      <c r="I1050" t="s">
        <v>1513</v>
      </c>
      <c r="J1050" t="s">
        <v>1517</v>
      </c>
      <c r="K1050" t="s">
        <v>1514</v>
      </c>
      <c r="L1050" s="2">
        <v>1</v>
      </c>
      <c r="M1050" s="10">
        <v>1978</v>
      </c>
      <c r="N1050" s="7">
        <v>1978</v>
      </c>
    </row>
    <row r="1051" spans="1:14" x14ac:dyDescent="0.3">
      <c r="A1051">
        <v>1049</v>
      </c>
      <c r="B1051" s="1">
        <v>45707</v>
      </c>
      <c r="C1051">
        <v>2025</v>
      </c>
      <c r="D1051">
        <v>2</v>
      </c>
      <c r="E1051" t="str">
        <f t="shared" si="16"/>
        <v>Februari</v>
      </c>
      <c r="F1051">
        <v>1</v>
      </c>
      <c r="G1051" t="s">
        <v>1532</v>
      </c>
      <c r="H1051" t="s">
        <v>1512</v>
      </c>
      <c r="I1051" t="s">
        <v>1535</v>
      </c>
      <c r="J1051" t="s">
        <v>1566</v>
      </c>
      <c r="K1051" t="s">
        <v>1514</v>
      </c>
      <c r="L1051" s="2">
        <v>2</v>
      </c>
      <c r="M1051" s="10">
        <v>14326</v>
      </c>
      <c r="N1051" s="7">
        <v>28652</v>
      </c>
    </row>
    <row r="1052" spans="1:14" x14ac:dyDescent="0.3">
      <c r="A1052">
        <v>1050</v>
      </c>
      <c r="B1052" s="1">
        <v>45708</v>
      </c>
      <c r="C1052">
        <v>2025</v>
      </c>
      <c r="D1052">
        <v>2</v>
      </c>
      <c r="E1052" t="str">
        <f t="shared" si="16"/>
        <v>Februari</v>
      </c>
      <c r="F1052">
        <v>1</v>
      </c>
      <c r="G1052" t="s">
        <v>1533</v>
      </c>
      <c r="H1052" t="s">
        <v>1520</v>
      </c>
      <c r="I1052" t="s">
        <v>1535</v>
      </c>
      <c r="J1052" t="s">
        <v>1517</v>
      </c>
      <c r="K1052" t="s">
        <v>1514</v>
      </c>
      <c r="L1052" s="2">
        <v>3</v>
      </c>
      <c r="M1052" s="10">
        <v>100</v>
      </c>
      <c r="N1052" s="7">
        <v>300</v>
      </c>
    </row>
    <row r="1053" spans="1:14" x14ac:dyDescent="0.3">
      <c r="A1053">
        <v>1051</v>
      </c>
      <c r="B1053" s="1">
        <v>45709</v>
      </c>
      <c r="C1053">
        <v>2025</v>
      </c>
      <c r="D1053">
        <v>2</v>
      </c>
      <c r="E1053" t="str">
        <f t="shared" si="16"/>
        <v>Februari</v>
      </c>
      <c r="F1053">
        <v>1</v>
      </c>
      <c r="G1053" t="s">
        <v>1511</v>
      </c>
      <c r="H1053" t="s">
        <v>1512</v>
      </c>
      <c r="I1053" t="s">
        <v>1513</v>
      </c>
      <c r="J1053" t="s">
        <v>1517</v>
      </c>
      <c r="K1053" t="s">
        <v>1525</v>
      </c>
      <c r="L1053" s="2">
        <v>2</v>
      </c>
      <c r="M1053" s="10">
        <v>54846</v>
      </c>
      <c r="N1053" s="7">
        <v>109692</v>
      </c>
    </row>
    <row r="1054" spans="1:14" x14ac:dyDescent="0.3">
      <c r="A1054">
        <v>1052</v>
      </c>
      <c r="B1054" s="1">
        <v>45710</v>
      </c>
      <c r="C1054">
        <v>2025</v>
      </c>
      <c r="D1054">
        <v>2</v>
      </c>
      <c r="E1054" t="str">
        <f t="shared" si="16"/>
        <v>Februari</v>
      </c>
      <c r="F1054">
        <v>1</v>
      </c>
      <c r="G1054" t="s">
        <v>1515</v>
      </c>
      <c r="H1054" t="s">
        <v>1512</v>
      </c>
      <c r="I1054" t="s">
        <v>1513</v>
      </c>
      <c r="J1054" t="s">
        <v>1517</v>
      </c>
      <c r="K1054" t="s">
        <v>1514</v>
      </c>
      <c r="L1054" s="2">
        <v>3</v>
      </c>
      <c r="M1054" s="10">
        <v>4855</v>
      </c>
      <c r="N1054" s="7">
        <v>14565</v>
      </c>
    </row>
    <row r="1055" spans="1:14" x14ac:dyDescent="0.3">
      <c r="A1055">
        <v>1053</v>
      </c>
      <c r="B1055" s="1">
        <v>45711</v>
      </c>
      <c r="C1055">
        <v>2025</v>
      </c>
      <c r="D1055">
        <v>2</v>
      </c>
      <c r="E1055" t="str">
        <f t="shared" si="16"/>
        <v>Februari</v>
      </c>
      <c r="F1055">
        <v>1</v>
      </c>
      <c r="G1055" t="s">
        <v>1534</v>
      </c>
      <c r="H1055" t="s">
        <v>1530</v>
      </c>
      <c r="I1055" t="s">
        <v>1528</v>
      </c>
      <c r="J1055" t="s">
        <v>1566</v>
      </c>
      <c r="K1055" t="s">
        <v>1518</v>
      </c>
      <c r="L1055" s="2">
        <v>3</v>
      </c>
      <c r="M1055" s="10">
        <v>1718</v>
      </c>
      <c r="N1055" s="7">
        <v>5154</v>
      </c>
    </row>
    <row r="1056" spans="1:14" x14ac:dyDescent="0.3">
      <c r="A1056">
        <v>1054</v>
      </c>
      <c r="B1056" s="1">
        <v>45712</v>
      </c>
      <c r="C1056">
        <v>2025</v>
      </c>
      <c r="D1056">
        <v>2</v>
      </c>
      <c r="E1056" t="str">
        <f t="shared" si="16"/>
        <v>Februari</v>
      </c>
      <c r="F1056">
        <v>1</v>
      </c>
      <c r="G1056" t="s">
        <v>1519</v>
      </c>
      <c r="H1056" t="s">
        <v>1520</v>
      </c>
      <c r="I1056" t="s">
        <v>1521</v>
      </c>
      <c r="J1056" t="s">
        <v>1517</v>
      </c>
      <c r="K1056" t="s">
        <v>1525</v>
      </c>
      <c r="L1056" s="2">
        <v>5</v>
      </c>
      <c r="M1056" s="10">
        <v>17415</v>
      </c>
      <c r="N1056" s="7">
        <v>87075</v>
      </c>
    </row>
    <row r="1057" spans="1:14" x14ac:dyDescent="0.3">
      <c r="A1057">
        <v>1055</v>
      </c>
      <c r="B1057" s="1">
        <v>45713</v>
      </c>
      <c r="C1057">
        <v>2025</v>
      </c>
      <c r="D1057">
        <v>2</v>
      </c>
      <c r="E1057" t="str">
        <f t="shared" si="16"/>
        <v>Februari</v>
      </c>
      <c r="F1057">
        <v>1</v>
      </c>
      <c r="G1057" t="s">
        <v>1522</v>
      </c>
      <c r="H1057" t="s">
        <v>1520</v>
      </c>
      <c r="I1057" t="s">
        <v>1535</v>
      </c>
      <c r="J1057" t="s">
        <v>1517</v>
      </c>
      <c r="K1057" t="s">
        <v>1518</v>
      </c>
      <c r="L1057" s="2">
        <v>3</v>
      </c>
      <c r="M1057" s="10">
        <v>661</v>
      </c>
      <c r="N1057" s="7">
        <v>1983</v>
      </c>
    </row>
    <row r="1058" spans="1:14" x14ac:dyDescent="0.3">
      <c r="A1058">
        <v>1056</v>
      </c>
      <c r="B1058" s="1">
        <v>45714</v>
      </c>
      <c r="C1058">
        <v>2025</v>
      </c>
      <c r="D1058">
        <v>2</v>
      </c>
      <c r="E1058" t="str">
        <f t="shared" si="16"/>
        <v>Februari</v>
      </c>
      <c r="F1058">
        <v>1</v>
      </c>
      <c r="G1058" t="s">
        <v>1523</v>
      </c>
      <c r="H1058" t="s">
        <v>1512</v>
      </c>
      <c r="I1058" t="s">
        <v>1521</v>
      </c>
      <c r="J1058" t="s">
        <v>1524</v>
      </c>
      <c r="K1058" t="s">
        <v>1514</v>
      </c>
      <c r="L1058" s="2">
        <v>2</v>
      </c>
      <c r="M1058" s="10">
        <v>30075</v>
      </c>
      <c r="N1058" s="7">
        <v>60150</v>
      </c>
    </row>
    <row r="1059" spans="1:14" x14ac:dyDescent="0.3">
      <c r="A1059">
        <v>1057</v>
      </c>
      <c r="B1059" s="1">
        <v>45715</v>
      </c>
      <c r="C1059">
        <v>2025</v>
      </c>
      <c r="D1059">
        <v>2</v>
      </c>
      <c r="E1059" t="str">
        <f t="shared" si="16"/>
        <v>Februari</v>
      </c>
      <c r="F1059">
        <v>1</v>
      </c>
      <c r="G1059" t="s">
        <v>1526</v>
      </c>
      <c r="H1059" t="s">
        <v>1527</v>
      </c>
      <c r="I1059" t="s">
        <v>1528</v>
      </c>
      <c r="J1059" t="s">
        <v>1566</v>
      </c>
      <c r="K1059" t="s">
        <v>1514</v>
      </c>
      <c r="L1059" s="2">
        <v>3</v>
      </c>
      <c r="M1059" s="10">
        <v>387</v>
      </c>
      <c r="N1059" s="7">
        <v>1161</v>
      </c>
    </row>
    <row r="1060" spans="1:14" x14ac:dyDescent="0.3">
      <c r="A1060">
        <v>1058</v>
      </c>
      <c r="B1060" s="1">
        <v>45716</v>
      </c>
      <c r="C1060">
        <v>2025</v>
      </c>
      <c r="D1060">
        <v>2</v>
      </c>
      <c r="E1060" t="str">
        <f t="shared" si="16"/>
        <v>Februari</v>
      </c>
      <c r="F1060">
        <v>1</v>
      </c>
      <c r="G1060" t="s">
        <v>1529</v>
      </c>
      <c r="H1060" t="s">
        <v>1530</v>
      </c>
      <c r="I1060" t="s">
        <v>1535</v>
      </c>
      <c r="J1060" t="s">
        <v>1517</v>
      </c>
      <c r="K1060" t="s">
        <v>1518</v>
      </c>
      <c r="L1060" s="2">
        <v>5</v>
      </c>
      <c r="M1060" s="10">
        <v>1084</v>
      </c>
      <c r="N1060" s="7">
        <v>5420</v>
      </c>
    </row>
    <row r="1061" spans="1:14" x14ac:dyDescent="0.3">
      <c r="A1061">
        <v>1059</v>
      </c>
      <c r="B1061" s="1">
        <v>45717</v>
      </c>
      <c r="C1061">
        <v>2025</v>
      </c>
      <c r="D1061">
        <v>3</v>
      </c>
      <c r="E1061" t="str">
        <f t="shared" si="16"/>
        <v>Maret</v>
      </c>
      <c r="F1061">
        <v>1</v>
      </c>
      <c r="G1061" t="s">
        <v>1532</v>
      </c>
      <c r="H1061" t="s">
        <v>1512</v>
      </c>
      <c r="I1061" t="s">
        <v>1535</v>
      </c>
      <c r="J1061" t="s">
        <v>1517</v>
      </c>
      <c r="K1061" t="s">
        <v>1514</v>
      </c>
      <c r="L1061" s="2">
        <v>1</v>
      </c>
      <c r="M1061" s="10">
        <v>11559</v>
      </c>
      <c r="N1061" s="7">
        <v>11559</v>
      </c>
    </row>
    <row r="1062" spans="1:14" x14ac:dyDescent="0.3">
      <c r="A1062">
        <v>1060</v>
      </c>
      <c r="B1062" s="1">
        <v>45718</v>
      </c>
      <c r="C1062">
        <v>2025</v>
      </c>
      <c r="D1062">
        <v>3</v>
      </c>
      <c r="E1062" t="str">
        <f t="shared" si="16"/>
        <v>Maret</v>
      </c>
      <c r="F1062">
        <v>1</v>
      </c>
      <c r="G1062" t="s">
        <v>1533</v>
      </c>
      <c r="H1062" t="s">
        <v>1520</v>
      </c>
      <c r="I1062" t="s">
        <v>1516</v>
      </c>
      <c r="J1062" t="s">
        <v>1566</v>
      </c>
      <c r="K1062" t="s">
        <v>1518</v>
      </c>
      <c r="L1062" s="2">
        <v>5</v>
      </c>
      <c r="M1062" s="10">
        <v>717</v>
      </c>
      <c r="N1062" s="7">
        <v>3585</v>
      </c>
    </row>
    <row r="1063" spans="1:14" x14ac:dyDescent="0.3">
      <c r="A1063">
        <v>1061</v>
      </c>
      <c r="B1063" s="1">
        <v>45719</v>
      </c>
      <c r="C1063">
        <v>2025</v>
      </c>
      <c r="D1063">
        <v>3</v>
      </c>
      <c r="E1063" t="str">
        <f t="shared" si="16"/>
        <v>Maret</v>
      </c>
      <c r="F1063">
        <v>1</v>
      </c>
      <c r="G1063" t="s">
        <v>1511</v>
      </c>
      <c r="H1063" t="s">
        <v>1512</v>
      </c>
      <c r="I1063" t="s">
        <v>1521</v>
      </c>
      <c r="J1063" t="s">
        <v>1524</v>
      </c>
      <c r="K1063" t="s">
        <v>1525</v>
      </c>
      <c r="L1063" s="2">
        <v>2</v>
      </c>
      <c r="M1063" s="10">
        <v>51590</v>
      </c>
      <c r="N1063" s="7">
        <v>103180</v>
      </c>
    </row>
    <row r="1064" spans="1:14" x14ac:dyDescent="0.3">
      <c r="A1064">
        <v>1062</v>
      </c>
      <c r="B1064" s="1">
        <v>45720</v>
      </c>
      <c r="C1064">
        <v>2025</v>
      </c>
      <c r="D1064">
        <v>3</v>
      </c>
      <c r="E1064" t="str">
        <f t="shared" si="16"/>
        <v>Maret</v>
      </c>
      <c r="F1064">
        <v>1</v>
      </c>
      <c r="G1064" t="s">
        <v>1515</v>
      </c>
      <c r="H1064" t="s">
        <v>1512</v>
      </c>
      <c r="I1064" t="s">
        <v>1531</v>
      </c>
      <c r="J1064" t="s">
        <v>1517</v>
      </c>
      <c r="K1064" t="s">
        <v>1518</v>
      </c>
      <c r="L1064" s="2">
        <v>2</v>
      </c>
      <c r="M1064" s="10">
        <v>2555</v>
      </c>
      <c r="N1064" s="7">
        <v>5110</v>
      </c>
    </row>
    <row r="1065" spans="1:14" x14ac:dyDescent="0.3">
      <c r="A1065">
        <v>1063</v>
      </c>
      <c r="B1065" s="1">
        <v>45721</v>
      </c>
      <c r="C1065">
        <v>2025</v>
      </c>
      <c r="D1065">
        <v>3</v>
      </c>
      <c r="E1065" t="str">
        <f t="shared" si="16"/>
        <v>Maret</v>
      </c>
      <c r="F1065">
        <v>1</v>
      </c>
      <c r="G1065" t="s">
        <v>1534</v>
      </c>
      <c r="H1065" t="s">
        <v>1530</v>
      </c>
      <c r="I1065" t="s">
        <v>1521</v>
      </c>
      <c r="J1065" t="s">
        <v>1517</v>
      </c>
      <c r="K1065" t="s">
        <v>1525</v>
      </c>
      <c r="L1065" s="2">
        <v>3</v>
      </c>
      <c r="M1065" s="10">
        <v>3601</v>
      </c>
      <c r="N1065" s="7">
        <v>10803</v>
      </c>
    </row>
    <row r="1066" spans="1:14" x14ac:dyDescent="0.3">
      <c r="A1066">
        <v>1064</v>
      </c>
      <c r="B1066" s="1">
        <v>45722</v>
      </c>
      <c r="C1066">
        <v>2025</v>
      </c>
      <c r="D1066">
        <v>3</v>
      </c>
      <c r="E1066" t="str">
        <f t="shared" si="16"/>
        <v>Maret</v>
      </c>
      <c r="F1066">
        <v>1</v>
      </c>
      <c r="G1066" t="s">
        <v>1519</v>
      </c>
      <c r="H1066" t="s">
        <v>1520</v>
      </c>
      <c r="I1066" t="s">
        <v>1513</v>
      </c>
      <c r="J1066" t="s">
        <v>1566</v>
      </c>
      <c r="K1066" t="s">
        <v>1518</v>
      </c>
      <c r="L1066" s="2">
        <v>5</v>
      </c>
      <c r="M1066" s="10">
        <v>9924</v>
      </c>
      <c r="N1066" s="7">
        <v>49620</v>
      </c>
    </row>
    <row r="1067" spans="1:14" x14ac:dyDescent="0.3">
      <c r="A1067">
        <v>1065</v>
      </c>
      <c r="B1067" s="1">
        <v>45723</v>
      </c>
      <c r="C1067">
        <v>2025</v>
      </c>
      <c r="D1067">
        <v>3</v>
      </c>
      <c r="E1067" t="str">
        <f t="shared" si="16"/>
        <v>Maret</v>
      </c>
      <c r="F1067">
        <v>1</v>
      </c>
      <c r="G1067" t="s">
        <v>1522</v>
      </c>
      <c r="H1067" t="s">
        <v>1520</v>
      </c>
      <c r="I1067" t="s">
        <v>1516</v>
      </c>
      <c r="J1067" t="s">
        <v>1524</v>
      </c>
      <c r="K1067" t="s">
        <v>1525</v>
      </c>
      <c r="L1067" s="2">
        <v>5</v>
      </c>
      <c r="M1067" s="10">
        <v>511</v>
      </c>
      <c r="N1067" s="7">
        <v>2555</v>
      </c>
    </row>
    <row r="1068" spans="1:14" x14ac:dyDescent="0.3">
      <c r="A1068">
        <v>1066</v>
      </c>
      <c r="B1068" s="1">
        <v>45724</v>
      </c>
      <c r="C1068">
        <v>2025</v>
      </c>
      <c r="D1068">
        <v>3</v>
      </c>
      <c r="E1068" t="str">
        <f t="shared" si="16"/>
        <v>Maret</v>
      </c>
      <c r="F1068">
        <v>1</v>
      </c>
      <c r="G1068" t="s">
        <v>1523</v>
      </c>
      <c r="H1068" t="s">
        <v>1512</v>
      </c>
      <c r="I1068" t="s">
        <v>1516</v>
      </c>
      <c r="J1068" t="s">
        <v>1517</v>
      </c>
      <c r="K1068" t="s">
        <v>1525</v>
      </c>
      <c r="L1068" s="2">
        <v>1</v>
      </c>
      <c r="M1068" s="10">
        <v>29247</v>
      </c>
      <c r="N1068" s="7">
        <v>29247</v>
      </c>
    </row>
    <row r="1069" spans="1:14" x14ac:dyDescent="0.3">
      <c r="A1069">
        <v>1067</v>
      </c>
      <c r="B1069" s="1">
        <v>45725</v>
      </c>
      <c r="C1069">
        <v>2025</v>
      </c>
      <c r="D1069">
        <v>3</v>
      </c>
      <c r="E1069" t="str">
        <f t="shared" si="16"/>
        <v>Maret</v>
      </c>
      <c r="F1069">
        <v>1</v>
      </c>
      <c r="G1069" t="s">
        <v>1526</v>
      </c>
      <c r="H1069" t="s">
        <v>1527</v>
      </c>
      <c r="I1069" t="s">
        <v>1521</v>
      </c>
      <c r="J1069" t="s">
        <v>1566</v>
      </c>
      <c r="K1069" t="s">
        <v>1518</v>
      </c>
      <c r="L1069" s="2">
        <v>4</v>
      </c>
      <c r="M1069" s="10">
        <v>699</v>
      </c>
      <c r="N1069" s="7">
        <v>2796</v>
      </c>
    </row>
    <row r="1070" spans="1:14" x14ac:dyDescent="0.3">
      <c r="A1070">
        <v>1068</v>
      </c>
      <c r="B1070" s="1">
        <v>45726</v>
      </c>
      <c r="C1070">
        <v>2025</v>
      </c>
      <c r="D1070">
        <v>3</v>
      </c>
      <c r="E1070" t="str">
        <f t="shared" si="16"/>
        <v>Maret</v>
      </c>
      <c r="F1070">
        <v>1</v>
      </c>
      <c r="G1070" t="s">
        <v>1529</v>
      </c>
      <c r="H1070" t="s">
        <v>1530</v>
      </c>
      <c r="I1070" t="s">
        <v>1528</v>
      </c>
      <c r="J1070" t="s">
        <v>1524</v>
      </c>
      <c r="K1070" t="s">
        <v>1525</v>
      </c>
      <c r="L1070" s="2">
        <v>5</v>
      </c>
      <c r="M1070" s="10">
        <v>566</v>
      </c>
      <c r="N1070" s="7">
        <v>2830</v>
      </c>
    </row>
    <row r="1071" spans="1:14" x14ac:dyDescent="0.3">
      <c r="A1071">
        <v>1069</v>
      </c>
      <c r="B1071" s="1">
        <v>45727</v>
      </c>
      <c r="C1071">
        <v>2025</v>
      </c>
      <c r="D1071">
        <v>3</v>
      </c>
      <c r="E1071" t="str">
        <f t="shared" si="16"/>
        <v>Maret</v>
      </c>
      <c r="F1071">
        <v>1</v>
      </c>
      <c r="G1071" t="s">
        <v>1532</v>
      </c>
      <c r="H1071" t="s">
        <v>1512</v>
      </c>
      <c r="I1071" t="s">
        <v>1531</v>
      </c>
      <c r="J1071" t="s">
        <v>1566</v>
      </c>
      <c r="K1071" t="s">
        <v>1518</v>
      </c>
      <c r="L1071" s="2">
        <v>1</v>
      </c>
      <c r="M1071" s="10">
        <v>5629</v>
      </c>
      <c r="N1071" s="7">
        <v>5629</v>
      </c>
    </row>
    <row r="1072" spans="1:14" x14ac:dyDescent="0.3">
      <c r="A1072">
        <v>1070</v>
      </c>
      <c r="B1072" s="1">
        <v>45728</v>
      </c>
      <c r="C1072">
        <v>2025</v>
      </c>
      <c r="D1072">
        <v>3</v>
      </c>
      <c r="E1072" t="str">
        <f t="shared" si="16"/>
        <v>Maret</v>
      </c>
      <c r="F1072">
        <v>1</v>
      </c>
      <c r="G1072" t="s">
        <v>1533</v>
      </c>
      <c r="H1072" t="s">
        <v>1520</v>
      </c>
      <c r="I1072" t="s">
        <v>1516</v>
      </c>
      <c r="J1072" t="s">
        <v>1524</v>
      </c>
      <c r="K1072" t="s">
        <v>1514</v>
      </c>
      <c r="L1072" s="2">
        <v>3</v>
      </c>
      <c r="M1072" s="10">
        <v>579</v>
      </c>
      <c r="N1072" s="7">
        <v>1737</v>
      </c>
    </row>
    <row r="1073" spans="1:14" x14ac:dyDescent="0.3">
      <c r="A1073">
        <v>1071</v>
      </c>
      <c r="B1073" s="1">
        <v>45729</v>
      </c>
      <c r="C1073">
        <v>2025</v>
      </c>
      <c r="D1073">
        <v>3</v>
      </c>
      <c r="E1073" t="str">
        <f t="shared" si="16"/>
        <v>Maret</v>
      </c>
      <c r="F1073">
        <v>1</v>
      </c>
      <c r="G1073" t="s">
        <v>1511</v>
      </c>
      <c r="H1073" t="s">
        <v>1512</v>
      </c>
      <c r="I1073" t="s">
        <v>1521</v>
      </c>
      <c r="J1073" t="s">
        <v>1517</v>
      </c>
      <c r="K1073" t="s">
        <v>1514</v>
      </c>
      <c r="L1073" s="2">
        <v>2</v>
      </c>
      <c r="M1073" s="10">
        <v>58940</v>
      </c>
      <c r="N1073" s="7">
        <v>117880</v>
      </c>
    </row>
    <row r="1074" spans="1:14" x14ac:dyDescent="0.3">
      <c r="A1074">
        <v>1072</v>
      </c>
      <c r="B1074" s="1">
        <v>45730</v>
      </c>
      <c r="C1074">
        <v>2025</v>
      </c>
      <c r="D1074">
        <v>3</v>
      </c>
      <c r="E1074" t="str">
        <f t="shared" si="16"/>
        <v>Maret</v>
      </c>
      <c r="F1074">
        <v>1</v>
      </c>
      <c r="G1074" t="s">
        <v>1515</v>
      </c>
      <c r="H1074" t="s">
        <v>1512</v>
      </c>
      <c r="I1074" t="s">
        <v>1521</v>
      </c>
      <c r="J1074" t="s">
        <v>1517</v>
      </c>
      <c r="K1074" t="s">
        <v>1518</v>
      </c>
      <c r="L1074" s="2">
        <v>1</v>
      </c>
      <c r="M1074" s="10">
        <v>3615</v>
      </c>
      <c r="N1074" s="7">
        <v>3615</v>
      </c>
    </row>
    <row r="1075" spans="1:14" x14ac:dyDescent="0.3">
      <c r="A1075">
        <v>1073</v>
      </c>
      <c r="B1075" s="1">
        <v>45731</v>
      </c>
      <c r="C1075">
        <v>2025</v>
      </c>
      <c r="D1075">
        <v>3</v>
      </c>
      <c r="E1075" t="str">
        <f t="shared" si="16"/>
        <v>Maret</v>
      </c>
      <c r="F1075">
        <v>1</v>
      </c>
      <c r="G1075" t="s">
        <v>1534</v>
      </c>
      <c r="H1075" t="s">
        <v>1530</v>
      </c>
      <c r="I1075" t="s">
        <v>1516</v>
      </c>
      <c r="J1075" t="s">
        <v>1566</v>
      </c>
      <c r="K1075" t="s">
        <v>1525</v>
      </c>
      <c r="L1075" s="2">
        <v>3</v>
      </c>
      <c r="M1075" s="10">
        <v>3472</v>
      </c>
      <c r="N1075" s="7">
        <v>10416</v>
      </c>
    </row>
    <row r="1076" spans="1:14" x14ac:dyDescent="0.3">
      <c r="A1076">
        <v>1074</v>
      </c>
      <c r="B1076" s="1">
        <v>45732</v>
      </c>
      <c r="C1076">
        <v>2025</v>
      </c>
      <c r="D1076">
        <v>3</v>
      </c>
      <c r="E1076" t="str">
        <f t="shared" si="16"/>
        <v>Maret</v>
      </c>
      <c r="F1076">
        <v>1</v>
      </c>
      <c r="G1076" t="s">
        <v>1519</v>
      </c>
      <c r="H1076" t="s">
        <v>1520</v>
      </c>
      <c r="I1076" t="s">
        <v>1516</v>
      </c>
      <c r="J1076" t="s">
        <v>1524</v>
      </c>
      <c r="K1076" t="s">
        <v>1514</v>
      </c>
      <c r="L1076" s="2">
        <v>1</v>
      </c>
      <c r="M1076" s="10">
        <v>2976</v>
      </c>
      <c r="N1076" s="7">
        <v>2976</v>
      </c>
    </row>
    <row r="1077" spans="1:14" x14ac:dyDescent="0.3">
      <c r="A1077">
        <v>1075</v>
      </c>
      <c r="B1077" s="1">
        <v>45733</v>
      </c>
      <c r="C1077">
        <v>2025</v>
      </c>
      <c r="D1077">
        <v>3</v>
      </c>
      <c r="E1077" t="str">
        <f t="shared" si="16"/>
        <v>Maret</v>
      </c>
      <c r="F1077">
        <v>1</v>
      </c>
      <c r="G1077" t="s">
        <v>1522</v>
      </c>
      <c r="H1077" t="s">
        <v>1520</v>
      </c>
      <c r="I1077" t="s">
        <v>1531</v>
      </c>
      <c r="J1077" t="s">
        <v>1566</v>
      </c>
      <c r="K1077" t="s">
        <v>1514</v>
      </c>
      <c r="L1077" s="2">
        <v>3</v>
      </c>
      <c r="M1077" s="10">
        <v>359</v>
      </c>
      <c r="N1077" s="7">
        <v>1077</v>
      </c>
    </row>
    <row r="1078" spans="1:14" x14ac:dyDescent="0.3">
      <c r="A1078">
        <v>1076</v>
      </c>
      <c r="B1078" s="1">
        <v>45734</v>
      </c>
      <c r="C1078">
        <v>2025</v>
      </c>
      <c r="D1078">
        <v>3</v>
      </c>
      <c r="E1078" t="str">
        <f t="shared" si="16"/>
        <v>Maret</v>
      </c>
      <c r="F1078">
        <v>1</v>
      </c>
      <c r="G1078" t="s">
        <v>1523</v>
      </c>
      <c r="H1078" t="s">
        <v>1512</v>
      </c>
      <c r="I1078" t="s">
        <v>1531</v>
      </c>
      <c r="J1078" t="s">
        <v>1517</v>
      </c>
      <c r="K1078" t="s">
        <v>1525</v>
      </c>
      <c r="L1078" s="2">
        <v>1</v>
      </c>
      <c r="M1078" s="10">
        <v>20775</v>
      </c>
      <c r="N1078" s="7">
        <v>20775</v>
      </c>
    </row>
    <row r="1079" spans="1:14" x14ac:dyDescent="0.3">
      <c r="A1079">
        <v>1077</v>
      </c>
      <c r="B1079" s="1">
        <v>45735</v>
      </c>
      <c r="C1079">
        <v>2025</v>
      </c>
      <c r="D1079">
        <v>3</v>
      </c>
      <c r="E1079" t="str">
        <f t="shared" si="16"/>
        <v>Maret</v>
      </c>
      <c r="F1079">
        <v>1</v>
      </c>
      <c r="G1079" t="s">
        <v>1526</v>
      </c>
      <c r="H1079" t="s">
        <v>1527</v>
      </c>
      <c r="I1079" t="s">
        <v>1516</v>
      </c>
      <c r="J1079" t="s">
        <v>1517</v>
      </c>
      <c r="K1079" t="s">
        <v>1514</v>
      </c>
      <c r="L1079" s="2">
        <v>4</v>
      </c>
      <c r="M1079" s="10">
        <v>920</v>
      </c>
      <c r="N1079" s="7">
        <v>3680</v>
      </c>
    </row>
    <row r="1080" spans="1:14" x14ac:dyDescent="0.3">
      <c r="A1080">
        <v>1078</v>
      </c>
      <c r="B1080" s="1">
        <v>45736</v>
      </c>
      <c r="C1080">
        <v>2025</v>
      </c>
      <c r="D1080">
        <v>3</v>
      </c>
      <c r="E1080" t="str">
        <f t="shared" si="16"/>
        <v>Maret</v>
      </c>
      <c r="F1080">
        <v>1</v>
      </c>
      <c r="G1080" t="s">
        <v>1529</v>
      </c>
      <c r="H1080" t="s">
        <v>1530</v>
      </c>
      <c r="I1080" t="s">
        <v>1521</v>
      </c>
      <c r="J1080" t="s">
        <v>1566</v>
      </c>
      <c r="K1080" t="s">
        <v>1518</v>
      </c>
      <c r="L1080" s="2">
        <v>2</v>
      </c>
      <c r="M1080" s="10">
        <v>907</v>
      </c>
      <c r="N1080" s="7">
        <v>1814</v>
      </c>
    </row>
    <row r="1081" spans="1:14" x14ac:dyDescent="0.3">
      <c r="A1081">
        <v>1079</v>
      </c>
      <c r="B1081" s="1">
        <v>45737</v>
      </c>
      <c r="C1081">
        <v>2025</v>
      </c>
      <c r="D1081">
        <v>3</v>
      </c>
      <c r="E1081" t="str">
        <f t="shared" si="16"/>
        <v>Maret</v>
      </c>
      <c r="F1081">
        <v>1</v>
      </c>
      <c r="G1081" t="s">
        <v>1532</v>
      </c>
      <c r="H1081" t="s">
        <v>1512</v>
      </c>
      <c r="I1081" t="s">
        <v>1521</v>
      </c>
      <c r="J1081" t="s">
        <v>1524</v>
      </c>
      <c r="K1081" t="s">
        <v>1525</v>
      </c>
      <c r="L1081" s="2">
        <v>1</v>
      </c>
      <c r="M1081" s="10">
        <v>13388</v>
      </c>
      <c r="N1081" s="7">
        <v>13388</v>
      </c>
    </row>
    <row r="1082" spans="1:14" x14ac:dyDescent="0.3">
      <c r="A1082">
        <v>1080</v>
      </c>
      <c r="B1082" s="1">
        <v>45738</v>
      </c>
      <c r="C1082">
        <v>2025</v>
      </c>
      <c r="D1082">
        <v>3</v>
      </c>
      <c r="E1082" t="str">
        <f t="shared" si="16"/>
        <v>Maret</v>
      </c>
      <c r="F1082">
        <v>1</v>
      </c>
      <c r="G1082" t="s">
        <v>1533</v>
      </c>
      <c r="H1082" t="s">
        <v>1520</v>
      </c>
      <c r="I1082" t="s">
        <v>1528</v>
      </c>
      <c r="J1082" t="s">
        <v>1517</v>
      </c>
      <c r="K1082" t="s">
        <v>1518</v>
      </c>
      <c r="L1082" s="2">
        <v>2</v>
      </c>
      <c r="M1082" s="10">
        <v>372</v>
      </c>
      <c r="N1082" s="7">
        <v>744</v>
      </c>
    </row>
    <row r="1083" spans="1:14" x14ac:dyDescent="0.3">
      <c r="A1083">
        <v>1081</v>
      </c>
      <c r="B1083" s="1">
        <v>45739</v>
      </c>
      <c r="C1083">
        <v>2025</v>
      </c>
      <c r="D1083">
        <v>3</v>
      </c>
      <c r="E1083" t="str">
        <f t="shared" si="16"/>
        <v>Maret</v>
      </c>
      <c r="F1083">
        <v>1</v>
      </c>
      <c r="G1083" t="s">
        <v>1511</v>
      </c>
      <c r="H1083" t="s">
        <v>1512</v>
      </c>
      <c r="I1083" t="s">
        <v>1516</v>
      </c>
      <c r="J1083" t="s">
        <v>1566</v>
      </c>
      <c r="K1083" t="s">
        <v>1525</v>
      </c>
      <c r="L1083" s="2">
        <v>1</v>
      </c>
      <c r="M1083" s="10">
        <v>44531</v>
      </c>
      <c r="N1083" s="7">
        <v>44531</v>
      </c>
    </row>
    <row r="1084" spans="1:14" x14ac:dyDescent="0.3">
      <c r="A1084">
        <v>1082</v>
      </c>
      <c r="B1084" s="1">
        <v>45740</v>
      </c>
      <c r="C1084">
        <v>2025</v>
      </c>
      <c r="D1084">
        <v>3</v>
      </c>
      <c r="E1084" t="str">
        <f t="shared" si="16"/>
        <v>Maret</v>
      </c>
      <c r="F1084">
        <v>1</v>
      </c>
      <c r="G1084" t="s">
        <v>1515</v>
      </c>
      <c r="H1084" t="s">
        <v>1512</v>
      </c>
      <c r="I1084" t="s">
        <v>1528</v>
      </c>
      <c r="J1084" t="s">
        <v>1566</v>
      </c>
      <c r="K1084" t="s">
        <v>1514</v>
      </c>
      <c r="L1084" s="2">
        <v>2</v>
      </c>
      <c r="M1084" s="10">
        <v>1963</v>
      </c>
      <c r="N1084" s="7">
        <v>3926</v>
      </c>
    </row>
    <row r="1085" spans="1:14" x14ac:dyDescent="0.3">
      <c r="A1085">
        <v>1083</v>
      </c>
      <c r="B1085" s="1">
        <v>45741</v>
      </c>
      <c r="C1085">
        <v>2025</v>
      </c>
      <c r="D1085">
        <v>3</v>
      </c>
      <c r="E1085" t="str">
        <f t="shared" si="16"/>
        <v>Maret</v>
      </c>
      <c r="F1085">
        <v>1</v>
      </c>
      <c r="G1085" t="s">
        <v>1534</v>
      </c>
      <c r="H1085" t="s">
        <v>1530</v>
      </c>
      <c r="I1085" t="s">
        <v>1521</v>
      </c>
      <c r="J1085" t="s">
        <v>1517</v>
      </c>
      <c r="K1085" t="s">
        <v>1514</v>
      </c>
      <c r="L1085" s="2">
        <v>1</v>
      </c>
      <c r="M1085" s="10">
        <v>2483</v>
      </c>
      <c r="N1085" s="7">
        <v>2483</v>
      </c>
    </row>
    <row r="1086" spans="1:14" x14ac:dyDescent="0.3">
      <c r="A1086">
        <v>1084</v>
      </c>
      <c r="B1086" s="1">
        <v>45742</v>
      </c>
      <c r="C1086">
        <v>2025</v>
      </c>
      <c r="D1086">
        <v>3</v>
      </c>
      <c r="E1086" t="str">
        <f t="shared" si="16"/>
        <v>Maret</v>
      </c>
      <c r="F1086">
        <v>1</v>
      </c>
      <c r="G1086" t="s">
        <v>1519</v>
      </c>
      <c r="H1086" t="s">
        <v>1520</v>
      </c>
      <c r="I1086" t="s">
        <v>1535</v>
      </c>
      <c r="J1086" t="s">
        <v>1517</v>
      </c>
      <c r="K1086" t="s">
        <v>1525</v>
      </c>
      <c r="L1086" s="2">
        <v>5</v>
      </c>
      <c r="M1086" s="10">
        <v>18677</v>
      </c>
      <c r="N1086" s="7">
        <v>93385</v>
      </c>
    </row>
    <row r="1087" spans="1:14" x14ac:dyDescent="0.3">
      <c r="A1087">
        <v>1085</v>
      </c>
      <c r="B1087" s="1">
        <v>45743</v>
      </c>
      <c r="C1087">
        <v>2025</v>
      </c>
      <c r="D1087">
        <v>3</v>
      </c>
      <c r="E1087" t="str">
        <f t="shared" si="16"/>
        <v>Maret</v>
      </c>
      <c r="F1087">
        <v>1</v>
      </c>
      <c r="G1087" t="s">
        <v>1522</v>
      </c>
      <c r="H1087" t="s">
        <v>1520</v>
      </c>
      <c r="I1087" t="s">
        <v>1521</v>
      </c>
      <c r="J1087" t="s">
        <v>1517</v>
      </c>
      <c r="K1087" t="s">
        <v>1514</v>
      </c>
      <c r="L1087" s="2">
        <v>1</v>
      </c>
      <c r="M1087" s="10">
        <v>583</v>
      </c>
      <c r="N1087" s="7">
        <v>583</v>
      </c>
    </row>
    <row r="1088" spans="1:14" x14ac:dyDescent="0.3">
      <c r="A1088">
        <v>1086</v>
      </c>
      <c r="B1088" s="1">
        <v>45744</v>
      </c>
      <c r="C1088">
        <v>2025</v>
      </c>
      <c r="D1088">
        <v>3</v>
      </c>
      <c r="E1088" t="str">
        <f t="shared" si="16"/>
        <v>Maret</v>
      </c>
      <c r="F1088">
        <v>1</v>
      </c>
      <c r="G1088" t="s">
        <v>1523</v>
      </c>
      <c r="H1088" t="s">
        <v>1512</v>
      </c>
      <c r="I1088" t="s">
        <v>1521</v>
      </c>
      <c r="J1088" t="s">
        <v>1524</v>
      </c>
      <c r="K1088" t="s">
        <v>1514</v>
      </c>
      <c r="L1088" s="2">
        <v>1</v>
      </c>
      <c r="M1088" s="10">
        <v>34775</v>
      </c>
      <c r="N1088" s="7">
        <v>34775</v>
      </c>
    </row>
    <row r="1089" spans="1:14" x14ac:dyDescent="0.3">
      <c r="A1089">
        <v>1087</v>
      </c>
      <c r="B1089" s="1">
        <v>45745</v>
      </c>
      <c r="C1089">
        <v>2025</v>
      </c>
      <c r="D1089">
        <v>3</v>
      </c>
      <c r="E1089" t="str">
        <f t="shared" si="16"/>
        <v>Maret</v>
      </c>
      <c r="F1089">
        <v>1</v>
      </c>
      <c r="G1089" t="s">
        <v>1526</v>
      </c>
      <c r="H1089" t="s">
        <v>1527</v>
      </c>
      <c r="I1089" t="s">
        <v>1521</v>
      </c>
      <c r="J1089" t="s">
        <v>1517</v>
      </c>
      <c r="K1089" t="s">
        <v>1514</v>
      </c>
      <c r="L1089" s="2">
        <v>3</v>
      </c>
      <c r="M1089" s="10">
        <v>635</v>
      </c>
      <c r="N1089" s="7">
        <v>1905</v>
      </c>
    </row>
    <row r="1090" spans="1:14" x14ac:dyDescent="0.3">
      <c r="A1090">
        <v>1088</v>
      </c>
      <c r="B1090" s="1">
        <v>45746</v>
      </c>
      <c r="C1090">
        <v>2025</v>
      </c>
      <c r="D1090">
        <v>3</v>
      </c>
      <c r="E1090" t="str">
        <f t="shared" si="16"/>
        <v>Maret</v>
      </c>
      <c r="F1090">
        <v>1</v>
      </c>
      <c r="G1090" t="s">
        <v>1529</v>
      </c>
      <c r="H1090" t="s">
        <v>1530</v>
      </c>
      <c r="I1090" t="s">
        <v>1521</v>
      </c>
      <c r="J1090" t="s">
        <v>1524</v>
      </c>
      <c r="K1090" t="s">
        <v>1525</v>
      </c>
      <c r="L1090" s="2">
        <v>5</v>
      </c>
      <c r="M1090" s="10">
        <v>527</v>
      </c>
      <c r="N1090" s="7">
        <v>2635</v>
      </c>
    </row>
    <row r="1091" spans="1:14" x14ac:dyDescent="0.3">
      <c r="A1091">
        <v>1089</v>
      </c>
      <c r="B1091" s="1">
        <v>45747</v>
      </c>
      <c r="C1091">
        <v>2025</v>
      </c>
      <c r="D1091">
        <v>3</v>
      </c>
      <c r="E1091" t="str">
        <f t="shared" ref="E1091:E1154" si="17">TEXT(DATE(2026, D1091, 1), "[$-id-ID]mmmm")</f>
        <v>Maret</v>
      </c>
      <c r="F1091">
        <v>1</v>
      </c>
      <c r="G1091" t="s">
        <v>1532</v>
      </c>
      <c r="H1091" t="s">
        <v>1512</v>
      </c>
      <c r="I1091" t="s">
        <v>1535</v>
      </c>
      <c r="J1091" t="s">
        <v>1524</v>
      </c>
      <c r="K1091" t="s">
        <v>1525</v>
      </c>
      <c r="L1091" s="2">
        <v>2</v>
      </c>
      <c r="M1091" s="10">
        <v>3327</v>
      </c>
      <c r="N1091" s="7">
        <v>6654</v>
      </c>
    </row>
    <row r="1092" spans="1:14" x14ac:dyDescent="0.3">
      <c r="A1092">
        <v>1090</v>
      </c>
      <c r="B1092" s="1">
        <v>45748</v>
      </c>
      <c r="C1092">
        <v>2025</v>
      </c>
      <c r="D1092">
        <v>4</v>
      </c>
      <c r="E1092" t="str">
        <f t="shared" si="17"/>
        <v>April</v>
      </c>
      <c r="F1092">
        <v>2</v>
      </c>
      <c r="G1092" t="s">
        <v>1533</v>
      </c>
      <c r="H1092" t="s">
        <v>1520</v>
      </c>
      <c r="I1092" t="s">
        <v>1528</v>
      </c>
      <c r="J1092" t="s">
        <v>1517</v>
      </c>
      <c r="K1092" t="s">
        <v>1518</v>
      </c>
      <c r="L1092" s="2">
        <v>1</v>
      </c>
      <c r="M1092" s="10">
        <v>383</v>
      </c>
      <c r="N1092" s="7">
        <v>383</v>
      </c>
    </row>
    <row r="1093" spans="1:14" x14ac:dyDescent="0.3">
      <c r="A1093">
        <v>1091</v>
      </c>
      <c r="B1093" s="1">
        <v>45749</v>
      </c>
      <c r="C1093">
        <v>2025</v>
      </c>
      <c r="D1093">
        <v>4</v>
      </c>
      <c r="E1093" t="str">
        <f t="shared" si="17"/>
        <v>April</v>
      </c>
      <c r="F1093">
        <v>2</v>
      </c>
      <c r="G1093" t="s">
        <v>1511</v>
      </c>
      <c r="H1093" t="s">
        <v>1512</v>
      </c>
      <c r="I1093" t="s">
        <v>1513</v>
      </c>
      <c r="J1093" t="s">
        <v>1566</v>
      </c>
      <c r="K1093" t="s">
        <v>1518</v>
      </c>
      <c r="L1093" s="2">
        <v>1</v>
      </c>
      <c r="M1093" s="10">
        <v>61156</v>
      </c>
      <c r="N1093" s="7">
        <v>61156</v>
      </c>
    </row>
    <row r="1094" spans="1:14" x14ac:dyDescent="0.3">
      <c r="A1094">
        <v>1092</v>
      </c>
      <c r="B1094" s="1">
        <v>45750</v>
      </c>
      <c r="C1094">
        <v>2025</v>
      </c>
      <c r="D1094">
        <v>4</v>
      </c>
      <c r="E1094" t="str">
        <f t="shared" si="17"/>
        <v>April</v>
      </c>
      <c r="F1094">
        <v>2</v>
      </c>
      <c r="G1094" t="s">
        <v>1515</v>
      </c>
      <c r="H1094" t="s">
        <v>1512</v>
      </c>
      <c r="I1094" t="s">
        <v>1516</v>
      </c>
      <c r="J1094" t="s">
        <v>1524</v>
      </c>
      <c r="K1094" t="s">
        <v>1525</v>
      </c>
      <c r="L1094" s="2">
        <v>1</v>
      </c>
      <c r="M1094" s="10">
        <v>3607</v>
      </c>
      <c r="N1094" s="7">
        <v>3607</v>
      </c>
    </row>
    <row r="1095" spans="1:14" x14ac:dyDescent="0.3">
      <c r="A1095">
        <v>1093</v>
      </c>
      <c r="B1095" s="1">
        <v>45751</v>
      </c>
      <c r="C1095">
        <v>2025</v>
      </c>
      <c r="D1095">
        <v>4</v>
      </c>
      <c r="E1095" t="str">
        <f t="shared" si="17"/>
        <v>April</v>
      </c>
      <c r="F1095">
        <v>2</v>
      </c>
      <c r="G1095" t="s">
        <v>1534</v>
      </c>
      <c r="H1095" t="s">
        <v>1530</v>
      </c>
      <c r="I1095" t="s">
        <v>1521</v>
      </c>
      <c r="J1095" t="s">
        <v>1566</v>
      </c>
      <c r="K1095" t="s">
        <v>1525</v>
      </c>
      <c r="L1095" s="2">
        <v>3</v>
      </c>
      <c r="M1095" s="10">
        <v>3055</v>
      </c>
      <c r="N1095" s="7">
        <v>9165</v>
      </c>
    </row>
    <row r="1096" spans="1:14" x14ac:dyDescent="0.3">
      <c r="A1096">
        <v>1094</v>
      </c>
      <c r="B1096" s="1">
        <v>45752</v>
      </c>
      <c r="C1096">
        <v>2025</v>
      </c>
      <c r="D1096">
        <v>4</v>
      </c>
      <c r="E1096" t="str">
        <f t="shared" si="17"/>
        <v>April</v>
      </c>
      <c r="F1096">
        <v>2</v>
      </c>
      <c r="G1096" t="s">
        <v>1519</v>
      </c>
      <c r="H1096" t="s">
        <v>1520</v>
      </c>
      <c r="I1096" t="s">
        <v>1521</v>
      </c>
      <c r="J1096" t="s">
        <v>1517</v>
      </c>
      <c r="K1096" t="s">
        <v>1525</v>
      </c>
      <c r="L1096" s="2">
        <v>4</v>
      </c>
      <c r="M1096" s="10">
        <v>18106</v>
      </c>
      <c r="N1096" s="7">
        <v>72424</v>
      </c>
    </row>
    <row r="1097" spans="1:14" x14ac:dyDescent="0.3">
      <c r="A1097">
        <v>1095</v>
      </c>
      <c r="B1097" s="1">
        <v>45753</v>
      </c>
      <c r="C1097">
        <v>2025</v>
      </c>
      <c r="D1097">
        <v>4</v>
      </c>
      <c r="E1097" t="str">
        <f t="shared" si="17"/>
        <v>April</v>
      </c>
      <c r="F1097">
        <v>2</v>
      </c>
      <c r="G1097" t="s">
        <v>1522</v>
      </c>
      <c r="H1097" t="s">
        <v>1520</v>
      </c>
      <c r="I1097" t="s">
        <v>1516</v>
      </c>
      <c r="J1097" t="s">
        <v>1566</v>
      </c>
      <c r="K1097" t="s">
        <v>1518</v>
      </c>
      <c r="L1097" s="2">
        <v>5</v>
      </c>
      <c r="M1097" s="10">
        <v>103</v>
      </c>
      <c r="N1097" s="7">
        <v>515</v>
      </c>
    </row>
    <row r="1098" spans="1:14" x14ac:dyDescent="0.3">
      <c r="A1098">
        <v>1096</v>
      </c>
      <c r="B1098" s="1">
        <v>45754</v>
      </c>
      <c r="C1098">
        <v>2025</v>
      </c>
      <c r="D1098">
        <v>4</v>
      </c>
      <c r="E1098" t="str">
        <f t="shared" si="17"/>
        <v>April</v>
      </c>
      <c r="F1098">
        <v>2</v>
      </c>
      <c r="G1098" t="s">
        <v>1523</v>
      </c>
      <c r="H1098" t="s">
        <v>1512</v>
      </c>
      <c r="I1098" t="s">
        <v>1521</v>
      </c>
      <c r="J1098" t="s">
        <v>1524</v>
      </c>
      <c r="K1098" t="s">
        <v>1514</v>
      </c>
      <c r="L1098" s="2">
        <v>1</v>
      </c>
      <c r="M1098" s="10">
        <v>13217</v>
      </c>
      <c r="N1098" s="7">
        <v>13217</v>
      </c>
    </row>
    <row r="1099" spans="1:14" x14ac:dyDescent="0.3">
      <c r="A1099">
        <v>1097</v>
      </c>
      <c r="B1099" s="1">
        <v>45755</v>
      </c>
      <c r="C1099">
        <v>2025</v>
      </c>
      <c r="D1099">
        <v>4</v>
      </c>
      <c r="E1099" t="str">
        <f t="shared" si="17"/>
        <v>April</v>
      </c>
      <c r="F1099">
        <v>2</v>
      </c>
      <c r="G1099" t="s">
        <v>1526</v>
      </c>
      <c r="H1099" t="s">
        <v>1527</v>
      </c>
      <c r="I1099" t="s">
        <v>1528</v>
      </c>
      <c r="J1099" t="s">
        <v>1566</v>
      </c>
      <c r="K1099" t="s">
        <v>1525</v>
      </c>
      <c r="L1099" s="2">
        <v>2</v>
      </c>
      <c r="M1099" s="10">
        <v>511</v>
      </c>
      <c r="N1099" s="7">
        <v>1022</v>
      </c>
    </row>
    <row r="1100" spans="1:14" x14ac:dyDescent="0.3">
      <c r="A1100">
        <v>1098</v>
      </c>
      <c r="B1100" s="1">
        <v>45756</v>
      </c>
      <c r="C1100">
        <v>2025</v>
      </c>
      <c r="D1100">
        <v>4</v>
      </c>
      <c r="E1100" t="str">
        <f t="shared" si="17"/>
        <v>April</v>
      </c>
      <c r="F1100">
        <v>2</v>
      </c>
      <c r="G1100" t="s">
        <v>1529</v>
      </c>
      <c r="H1100" t="s">
        <v>1530</v>
      </c>
      <c r="I1100" t="s">
        <v>1535</v>
      </c>
      <c r="J1100" t="s">
        <v>1566</v>
      </c>
      <c r="K1100" t="s">
        <v>1518</v>
      </c>
      <c r="L1100" s="2">
        <v>2</v>
      </c>
      <c r="M1100" s="10">
        <v>513</v>
      </c>
      <c r="N1100" s="7">
        <v>1026</v>
      </c>
    </row>
    <row r="1101" spans="1:14" x14ac:dyDescent="0.3">
      <c r="A1101">
        <v>1099</v>
      </c>
      <c r="B1101" s="1">
        <v>45757</v>
      </c>
      <c r="C1101">
        <v>2025</v>
      </c>
      <c r="D1101">
        <v>4</v>
      </c>
      <c r="E1101" t="str">
        <f t="shared" si="17"/>
        <v>April</v>
      </c>
      <c r="F1101">
        <v>2</v>
      </c>
      <c r="G1101" t="s">
        <v>1532</v>
      </c>
      <c r="H1101" t="s">
        <v>1512</v>
      </c>
      <c r="I1101" t="s">
        <v>1513</v>
      </c>
      <c r="J1101" t="s">
        <v>1566</v>
      </c>
      <c r="K1101" t="s">
        <v>1518</v>
      </c>
      <c r="L1101" s="2">
        <v>2</v>
      </c>
      <c r="M1101" s="10">
        <v>6283</v>
      </c>
      <c r="N1101" s="7">
        <v>12566</v>
      </c>
    </row>
    <row r="1102" spans="1:14" x14ac:dyDescent="0.3">
      <c r="A1102">
        <v>1100</v>
      </c>
      <c r="B1102" s="1">
        <v>45758</v>
      </c>
      <c r="C1102">
        <v>2025</v>
      </c>
      <c r="D1102">
        <v>4</v>
      </c>
      <c r="E1102" t="str">
        <f t="shared" si="17"/>
        <v>April</v>
      </c>
      <c r="F1102">
        <v>2</v>
      </c>
      <c r="G1102" t="s">
        <v>1533</v>
      </c>
      <c r="H1102" t="s">
        <v>1520</v>
      </c>
      <c r="I1102" t="s">
        <v>1516</v>
      </c>
      <c r="J1102" t="s">
        <v>1566</v>
      </c>
      <c r="K1102" t="s">
        <v>1525</v>
      </c>
      <c r="L1102" s="2">
        <v>4</v>
      </c>
      <c r="M1102" s="10">
        <v>552</v>
      </c>
      <c r="N1102" s="7">
        <v>2208</v>
      </c>
    </row>
    <row r="1103" spans="1:14" x14ac:dyDescent="0.3">
      <c r="A1103">
        <v>1101</v>
      </c>
      <c r="B1103" s="1">
        <v>45759</v>
      </c>
      <c r="C1103">
        <v>2025</v>
      </c>
      <c r="D1103">
        <v>4</v>
      </c>
      <c r="E1103" t="str">
        <f t="shared" si="17"/>
        <v>April</v>
      </c>
      <c r="F1103">
        <v>2</v>
      </c>
      <c r="G1103" t="s">
        <v>1511</v>
      </c>
      <c r="H1103" t="s">
        <v>1512</v>
      </c>
      <c r="I1103" t="s">
        <v>1513</v>
      </c>
      <c r="J1103" t="s">
        <v>1524</v>
      </c>
      <c r="K1103" t="s">
        <v>1514</v>
      </c>
      <c r="L1103" s="2">
        <v>1</v>
      </c>
      <c r="M1103" s="10">
        <v>56441</v>
      </c>
      <c r="N1103" s="7">
        <v>56441</v>
      </c>
    </row>
    <row r="1104" spans="1:14" x14ac:dyDescent="0.3">
      <c r="A1104">
        <v>1102</v>
      </c>
      <c r="B1104" s="1">
        <v>45760</v>
      </c>
      <c r="C1104">
        <v>2025</v>
      </c>
      <c r="D1104">
        <v>4</v>
      </c>
      <c r="E1104" t="str">
        <f t="shared" si="17"/>
        <v>April</v>
      </c>
      <c r="F1104">
        <v>2</v>
      </c>
      <c r="G1104" t="s">
        <v>1515</v>
      </c>
      <c r="H1104" t="s">
        <v>1512</v>
      </c>
      <c r="I1104" t="s">
        <v>1528</v>
      </c>
      <c r="J1104" t="s">
        <v>1566</v>
      </c>
      <c r="K1104" t="s">
        <v>1518</v>
      </c>
      <c r="L1104" s="2">
        <v>2</v>
      </c>
      <c r="M1104" s="10">
        <v>4833</v>
      </c>
      <c r="N1104" s="7">
        <v>9666</v>
      </c>
    </row>
    <row r="1105" spans="1:14" x14ac:dyDescent="0.3">
      <c r="A1105">
        <v>1103</v>
      </c>
      <c r="B1105" s="1">
        <v>45761</v>
      </c>
      <c r="C1105">
        <v>2025</v>
      </c>
      <c r="D1105">
        <v>4</v>
      </c>
      <c r="E1105" t="str">
        <f t="shared" si="17"/>
        <v>April</v>
      </c>
      <c r="F1105">
        <v>2</v>
      </c>
      <c r="G1105" t="s">
        <v>1534</v>
      </c>
      <c r="H1105" t="s">
        <v>1530</v>
      </c>
      <c r="I1105" t="s">
        <v>1528</v>
      </c>
      <c r="J1105" t="s">
        <v>1566</v>
      </c>
      <c r="K1105" t="s">
        <v>1514</v>
      </c>
      <c r="L1105" s="2">
        <v>1</v>
      </c>
      <c r="M1105" s="10">
        <v>1314</v>
      </c>
      <c r="N1105" s="7">
        <v>1314</v>
      </c>
    </row>
    <row r="1106" spans="1:14" x14ac:dyDescent="0.3">
      <c r="A1106">
        <v>1104</v>
      </c>
      <c r="B1106" s="1">
        <v>45762</v>
      </c>
      <c r="C1106">
        <v>2025</v>
      </c>
      <c r="D1106">
        <v>4</v>
      </c>
      <c r="E1106" t="str">
        <f t="shared" si="17"/>
        <v>April</v>
      </c>
      <c r="F1106">
        <v>2</v>
      </c>
      <c r="G1106" t="s">
        <v>1519</v>
      </c>
      <c r="H1106" t="s">
        <v>1520</v>
      </c>
      <c r="I1106" t="s">
        <v>1513</v>
      </c>
      <c r="J1106" t="s">
        <v>1517</v>
      </c>
      <c r="K1106" t="s">
        <v>1525</v>
      </c>
      <c r="L1106" s="2">
        <v>1</v>
      </c>
      <c r="M1106" s="10">
        <v>5201</v>
      </c>
      <c r="N1106" s="7">
        <v>5201</v>
      </c>
    </row>
    <row r="1107" spans="1:14" x14ac:dyDescent="0.3">
      <c r="A1107">
        <v>1105</v>
      </c>
      <c r="B1107" s="1">
        <v>45763</v>
      </c>
      <c r="C1107">
        <v>2025</v>
      </c>
      <c r="D1107">
        <v>4</v>
      </c>
      <c r="E1107" t="str">
        <f t="shared" si="17"/>
        <v>April</v>
      </c>
      <c r="F1107">
        <v>2</v>
      </c>
      <c r="G1107" t="s">
        <v>1522</v>
      </c>
      <c r="H1107" t="s">
        <v>1520</v>
      </c>
      <c r="I1107" t="s">
        <v>1513</v>
      </c>
      <c r="J1107" t="s">
        <v>1517</v>
      </c>
      <c r="K1107" t="s">
        <v>1514</v>
      </c>
      <c r="L1107" s="2">
        <v>2</v>
      </c>
      <c r="M1107" s="10">
        <v>469</v>
      </c>
      <c r="N1107" s="7">
        <v>938</v>
      </c>
    </row>
    <row r="1108" spans="1:14" x14ac:dyDescent="0.3">
      <c r="A1108">
        <v>1106</v>
      </c>
      <c r="B1108" s="1">
        <v>45764</v>
      </c>
      <c r="C1108">
        <v>2025</v>
      </c>
      <c r="D1108">
        <v>4</v>
      </c>
      <c r="E1108" t="str">
        <f t="shared" si="17"/>
        <v>April</v>
      </c>
      <c r="F1108">
        <v>2</v>
      </c>
      <c r="G1108" t="s">
        <v>1523</v>
      </c>
      <c r="H1108" t="s">
        <v>1512</v>
      </c>
      <c r="I1108" t="s">
        <v>1521</v>
      </c>
      <c r="J1108" t="s">
        <v>1517</v>
      </c>
      <c r="K1108" t="s">
        <v>1518</v>
      </c>
      <c r="L1108" s="2">
        <v>2</v>
      </c>
      <c r="M1108" s="10">
        <v>24448</v>
      </c>
      <c r="N1108" s="7">
        <v>48896</v>
      </c>
    </row>
    <row r="1109" spans="1:14" x14ac:dyDescent="0.3">
      <c r="A1109">
        <v>1107</v>
      </c>
      <c r="B1109" s="1">
        <v>45765</v>
      </c>
      <c r="C1109">
        <v>2025</v>
      </c>
      <c r="D1109">
        <v>4</v>
      </c>
      <c r="E1109" t="str">
        <f t="shared" si="17"/>
        <v>April</v>
      </c>
      <c r="F1109">
        <v>2</v>
      </c>
      <c r="G1109" t="s">
        <v>1526</v>
      </c>
      <c r="H1109" t="s">
        <v>1527</v>
      </c>
      <c r="I1109" t="s">
        <v>1535</v>
      </c>
      <c r="J1109" t="s">
        <v>1517</v>
      </c>
      <c r="K1109" t="s">
        <v>1518</v>
      </c>
      <c r="L1109" s="2">
        <v>3</v>
      </c>
      <c r="M1109" s="10">
        <v>378</v>
      </c>
      <c r="N1109" s="7">
        <v>1134</v>
      </c>
    </row>
    <row r="1110" spans="1:14" x14ac:dyDescent="0.3">
      <c r="A1110">
        <v>1108</v>
      </c>
      <c r="B1110" s="1">
        <v>45766</v>
      </c>
      <c r="C1110">
        <v>2025</v>
      </c>
      <c r="D1110">
        <v>4</v>
      </c>
      <c r="E1110" t="str">
        <f t="shared" si="17"/>
        <v>April</v>
      </c>
      <c r="F1110">
        <v>2</v>
      </c>
      <c r="G1110" t="s">
        <v>1529</v>
      </c>
      <c r="H1110" t="s">
        <v>1530</v>
      </c>
      <c r="I1110" t="s">
        <v>1535</v>
      </c>
      <c r="J1110" t="s">
        <v>1517</v>
      </c>
      <c r="K1110" t="s">
        <v>1518</v>
      </c>
      <c r="L1110" s="2">
        <v>1</v>
      </c>
      <c r="M1110" s="10">
        <v>1310</v>
      </c>
      <c r="N1110" s="7">
        <v>1310</v>
      </c>
    </row>
    <row r="1111" spans="1:14" x14ac:dyDescent="0.3">
      <c r="A1111">
        <v>1109</v>
      </c>
      <c r="B1111" s="1">
        <v>45767</v>
      </c>
      <c r="C1111">
        <v>2025</v>
      </c>
      <c r="D1111">
        <v>4</v>
      </c>
      <c r="E1111" t="str">
        <f t="shared" si="17"/>
        <v>April</v>
      </c>
      <c r="F1111">
        <v>2</v>
      </c>
      <c r="G1111" t="s">
        <v>1532</v>
      </c>
      <c r="H1111" t="s">
        <v>1512</v>
      </c>
      <c r="I1111" t="s">
        <v>1535</v>
      </c>
      <c r="J1111" t="s">
        <v>1524</v>
      </c>
      <c r="K1111" t="s">
        <v>1525</v>
      </c>
      <c r="L1111" s="2">
        <v>1</v>
      </c>
      <c r="M1111" s="10">
        <v>5590</v>
      </c>
      <c r="N1111" s="7">
        <v>5590</v>
      </c>
    </row>
    <row r="1112" spans="1:14" x14ac:dyDescent="0.3">
      <c r="A1112">
        <v>1110</v>
      </c>
      <c r="B1112" s="1">
        <v>45768</v>
      </c>
      <c r="C1112">
        <v>2025</v>
      </c>
      <c r="D1112">
        <v>4</v>
      </c>
      <c r="E1112" t="str">
        <f t="shared" si="17"/>
        <v>April</v>
      </c>
      <c r="F1112">
        <v>2</v>
      </c>
      <c r="G1112" t="s">
        <v>1533</v>
      </c>
      <c r="H1112" t="s">
        <v>1520</v>
      </c>
      <c r="I1112" t="s">
        <v>1516</v>
      </c>
      <c r="J1112" t="s">
        <v>1566</v>
      </c>
      <c r="K1112" t="s">
        <v>1525</v>
      </c>
      <c r="L1112" s="2">
        <v>3</v>
      </c>
      <c r="M1112" s="10">
        <v>405</v>
      </c>
      <c r="N1112" s="7">
        <v>1215</v>
      </c>
    </row>
    <row r="1113" spans="1:14" x14ac:dyDescent="0.3">
      <c r="A1113">
        <v>1111</v>
      </c>
      <c r="B1113" s="1">
        <v>45769</v>
      </c>
      <c r="C1113">
        <v>2025</v>
      </c>
      <c r="D1113">
        <v>4</v>
      </c>
      <c r="E1113" t="str">
        <f t="shared" si="17"/>
        <v>April</v>
      </c>
      <c r="F1113">
        <v>2</v>
      </c>
      <c r="G1113" t="s">
        <v>1511</v>
      </c>
      <c r="H1113" t="s">
        <v>1512</v>
      </c>
      <c r="I1113" t="s">
        <v>1531</v>
      </c>
      <c r="J1113" t="s">
        <v>1566</v>
      </c>
      <c r="K1113" t="s">
        <v>1525</v>
      </c>
      <c r="L1113" s="2">
        <v>1</v>
      </c>
      <c r="M1113" s="10">
        <v>51984</v>
      </c>
      <c r="N1113" s="7">
        <v>51984</v>
      </c>
    </row>
    <row r="1114" spans="1:14" x14ac:dyDescent="0.3">
      <c r="A1114">
        <v>1112</v>
      </c>
      <c r="B1114" s="1">
        <v>45770</v>
      </c>
      <c r="C1114">
        <v>2025</v>
      </c>
      <c r="D1114">
        <v>4</v>
      </c>
      <c r="E1114" t="str">
        <f t="shared" si="17"/>
        <v>April</v>
      </c>
      <c r="F1114">
        <v>2</v>
      </c>
      <c r="G1114" t="s">
        <v>1515</v>
      </c>
      <c r="H1114" t="s">
        <v>1512</v>
      </c>
      <c r="I1114" t="s">
        <v>1513</v>
      </c>
      <c r="J1114" t="s">
        <v>1524</v>
      </c>
      <c r="K1114" t="s">
        <v>1525</v>
      </c>
      <c r="L1114" s="2">
        <v>3</v>
      </c>
      <c r="M1114" s="10">
        <v>2766</v>
      </c>
      <c r="N1114" s="7">
        <v>8298</v>
      </c>
    </row>
    <row r="1115" spans="1:14" x14ac:dyDescent="0.3">
      <c r="A1115">
        <v>1113</v>
      </c>
      <c r="B1115" s="1">
        <v>45771</v>
      </c>
      <c r="C1115">
        <v>2025</v>
      </c>
      <c r="D1115">
        <v>4</v>
      </c>
      <c r="E1115" t="str">
        <f t="shared" si="17"/>
        <v>April</v>
      </c>
      <c r="F1115">
        <v>2</v>
      </c>
      <c r="G1115" t="s">
        <v>1534</v>
      </c>
      <c r="H1115" t="s">
        <v>1530</v>
      </c>
      <c r="I1115" t="s">
        <v>1535</v>
      </c>
      <c r="J1115" t="s">
        <v>1566</v>
      </c>
      <c r="K1115" t="s">
        <v>1518</v>
      </c>
      <c r="L1115" s="2">
        <v>3</v>
      </c>
      <c r="M1115" s="10">
        <v>2625</v>
      </c>
      <c r="N1115" s="7">
        <v>7875</v>
      </c>
    </row>
    <row r="1116" spans="1:14" x14ac:dyDescent="0.3">
      <c r="A1116">
        <v>1114</v>
      </c>
      <c r="B1116" s="1">
        <v>45772</v>
      </c>
      <c r="C1116">
        <v>2025</v>
      </c>
      <c r="D1116">
        <v>4</v>
      </c>
      <c r="E1116" t="str">
        <f t="shared" si="17"/>
        <v>April</v>
      </c>
      <c r="F1116">
        <v>2</v>
      </c>
      <c r="G1116" t="s">
        <v>1519</v>
      </c>
      <c r="H1116" t="s">
        <v>1520</v>
      </c>
      <c r="I1116" t="s">
        <v>1521</v>
      </c>
      <c r="J1116" t="s">
        <v>1524</v>
      </c>
      <c r="K1116" t="s">
        <v>1518</v>
      </c>
      <c r="L1116" s="2">
        <v>2</v>
      </c>
      <c r="M1116" s="10">
        <v>2573</v>
      </c>
      <c r="N1116" s="7">
        <v>5146</v>
      </c>
    </row>
    <row r="1117" spans="1:14" x14ac:dyDescent="0.3">
      <c r="A1117">
        <v>1115</v>
      </c>
      <c r="B1117" s="1">
        <v>45773</v>
      </c>
      <c r="C1117">
        <v>2025</v>
      </c>
      <c r="D1117">
        <v>4</v>
      </c>
      <c r="E1117" t="str">
        <f t="shared" si="17"/>
        <v>April</v>
      </c>
      <c r="F1117">
        <v>2</v>
      </c>
      <c r="G1117" t="s">
        <v>1522</v>
      </c>
      <c r="H1117" t="s">
        <v>1520</v>
      </c>
      <c r="I1117" t="s">
        <v>1516</v>
      </c>
      <c r="J1117" t="s">
        <v>1566</v>
      </c>
      <c r="K1117" t="s">
        <v>1525</v>
      </c>
      <c r="L1117" s="2">
        <v>2</v>
      </c>
      <c r="M1117" s="10">
        <v>798</v>
      </c>
      <c r="N1117" s="7">
        <v>1596</v>
      </c>
    </row>
    <row r="1118" spans="1:14" x14ac:dyDescent="0.3">
      <c r="A1118">
        <v>1116</v>
      </c>
      <c r="B1118" s="1">
        <v>45774</v>
      </c>
      <c r="C1118">
        <v>2025</v>
      </c>
      <c r="D1118">
        <v>4</v>
      </c>
      <c r="E1118" t="str">
        <f t="shared" si="17"/>
        <v>April</v>
      </c>
      <c r="F1118">
        <v>2</v>
      </c>
      <c r="G1118" t="s">
        <v>1523</v>
      </c>
      <c r="H1118" t="s">
        <v>1512</v>
      </c>
      <c r="I1118" t="s">
        <v>1535</v>
      </c>
      <c r="J1118" t="s">
        <v>1566</v>
      </c>
      <c r="K1118" t="s">
        <v>1514</v>
      </c>
      <c r="L1118" s="2">
        <v>2</v>
      </c>
      <c r="M1118" s="10">
        <v>31517</v>
      </c>
      <c r="N1118" s="7">
        <v>63034</v>
      </c>
    </row>
    <row r="1119" spans="1:14" x14ac:dyDescent="0.3">
      <c r="A1119">
        <v>1117</v>
      </c>
      <c r="B1119" s="1">
        <v>45775</v>
      </c>
      <c r="C1119">
        <v>2025</v>
      </c>
      <c r="D1119">
        <v>4</v>
      </c>
      <c r="E1119" t="str">
        <f t="shared" si="17"/>
        <v>April</v>
      </c>
      <c r="F1119">
        <v>2</v>
      </c>
      <c r="G1119" t="s">
        <v>1526</v>
      </c>
      <c r="H1119" t="s">
        <v>1527</v>
      </c>
      <c r="I1119" t="s">
        <v>1513</v>
      </c>
      <c r="J1119" t="s">
        <v>1524</v>
      </c>
      <c r="K1119" t="s">
        <v>1518</v>
      </c>
      <c r="L1119" s="2">
        <v>1</v>
      </c>
      <c r="M1119" s="10">
        <v>343</v>
      </c>
      <c r="N1119" s="7">
        <v>343</v>
      </c>
    </row>
    <row r="1120" spans="1:14" x14ac:dyDescent="0.3">
      <c r="A1120">
        <v>1118</v>
      </c>
      <c r="B1120" s="1">
        <v>45776</v>
      </c>
      <c r="C1120">
        <v>2025</v>
      </c>
      <c r="D1120">
        <v>4</v>
      </c>
      <c r="E1120" t="str">
        <f t="shared" si="17"/>
        <v>April</v>
      </c>
      <c r="F1120">
        <v>2</v>
      </c>
      <c r="G1120" t="s">
        <v>1529</v>
      </c>
      <c r="H1120" t="s">
        <v>1530</v>
      </c>
      <c r="I1120" t="s">
        <v>1513</v>
      </c>
      <c r="J1120" t="s">
        <v>1524</v>
      </c>
      <c r="K1120" t="s">
        <v>1525</v>
      </c>
      <c r="L1120" s="2">
        <v>3</v>
      </c>
      <c r="M1120" s="10">
        <v>1021</v>
      </c>
      <c r="N1120" s="7">
        <v>3063</v>
      </c>
    </row>
    <row r="1121" spans="1:14" x14ac:dyDescent="0.3">
      <c r="A1121">
        <v>1119</v>
      </c>
      <c r="B1121" s="1">
        <v>45777</v>
      </c>
      <c r="C1121">
        <v>2025</v>
      </c>
      <c r="D1121">
        <v>4</v>
      </c>
      <c r="E1121" t="str">
        <f t="shared" si="17"/>
        <v>April</v>
      </c>
      <c r="F1121">
        <v>2</v>
      </c>
      <c r="G1121" t="s">
        <v>1532</v>
      </c>
      <c r="H1121" t="s">
        <v>1512</v>
      </c>
      <c r="I1121" t="s">
        <v>1535</v>
      </c>
      <c r="J1121" t="s">
        <v>1566</v>
      </c>
      <c r="K1121" t="s">
        <v>1514</v>
      </c>
      <c r="L1121" s="2">
        <v>1</v>
      </c>
      <c r="M1121" s="10">
        <v>8543</v>
      </c>
      <c r="N1121" s="7">
        <v>8543</v>
      </c>
    </row>
    <row r="1122" spans="1:14" x14ac:dyDescent="0.3">
      <c r="A1122">
        <v>1120</v>
      </c>
      <c r="B1122" s="1">
        <v>45778</v>
      </c>
      <c r="C1122">
        <v>2025</v>
      </c>
      <c r="D1122">
        <v>5</v>
      </c>
      <c r="E1122" t="str">
        <f t="shared" si="17"/>
        <v>Mei</v>
      </c>
      <c r="F1122">
        <v>2</v>
      </c>
      <c r="G1122" t="s">
        <v>1533</v>
      </c>
      <c r="H1122" t="s">
        <v>1520</v>
      </c>
      <c r="I1122" t="s">
        <v>1516</v>
      </c>
      <c r="J1122" t="s">
        <v>1524</v>
      </c>
      <c r="K1122" t="s">
        <v>1514</v>
      </c>
      <c r="L1122" s="2">
        <v>2</v>
      </c>
      <c r="M1122" s="10">
        <v>235</v>
      </c>
      <c r="N1122" s="7">
        <v>470</v>
      </c>
    </row>
    <row r="1123" spans="1:14" x14ac:dyDescent="0.3">
      <c r="A1123">
        <v>1121</v>
      </c>
      <c r="B1123" s="1">
        <v>45779</v>
      </c>
      <c r="C1123">
        <v>2025</v>
      </c>
      <c r="D1123">
        <v>5</v>
      </c>
      <c r="E1123" t="str">
        <f t="shared" si="17"/>
        <v>Mei</v>
      </c>
      <c r="F1123">
        <v>2</v>
      </c>
      <c r="G1123" t="s">
        <v>1511</v>
      </c>
      <c r="H1123" t="s">
        <v>1512</v>
      </c>
      <c r="I1123" t="s">
        <v>1516</v>
      </c>
      <c r="J1123" t="s">
        <v>1566</v>
      </c>
      <c r="K1123" t="s">
        <v>1525</v>
      </c>
      <c r="L1123" s="2">
        <v>1</v>
      </c>
      <c r="M1123" s="10">
        <v>51840</v>
      </c>
      <c r="N1123" s="7">
        <v>51840</v>
      </c>
    </row>
    <row r="1124" spans="1:14" x14ac:dyDescent="0.3">
      <c r="A1124">
        <v>1122</v>
      </c>
      <c r="B1124" s="1">
        <v>45780</v>
      </c>
      <c r="C1124">
        <v>2025</v>
      </c>
      <c r="D1124">
        <v>5</v>
      </c>
      <c r="E1124" t="str">
        <f t="shared" si="17"/>
        <v>Mei</v>
      </c>
      <c r="F1124">
        <v>2</v>
      </c>
      <c r="G1124" t="s">
        <v>1515</v>
      </c>
      <c r="H1124" t="s">
        <v>1512</v>
      </c>
      <c r="I1124" t="s">
        <v>1513</v>
      </c>
      <c r="J1124" t="s">
        <v>1566</v>
      </c>
      <c r="K1124" t="s">
        <v>1525</v>
      </c>
      <c r="L1124" s="2">
        <v>2</v>
      </c>
      <c r="M1124" s="10">
        <v>4435</v>
      </c>
      <c r="N1124" s="7">
        <v>8870</v>
      </c>
    </row>
    <row r="1125" spans="1:14" x14ac:dyDescent="0.3">
      <c r="A1125">
        <v>1123</v>
      </c>
      <c r="B1125" s="1">
        <v>45781</v>
      </c>
      <c r="C1125">
        <v>2025</v>
      </c>
      <c r="D1125">
        <v>5</v>
      </c>
      <c r="E1125" t="str">
        <f t="shared" si="17"/>
        <v>Mei</v>
      </c>
      <c r="F1125">
        <v>2</v>
      </c>
      <c r="G1125" t="s">
        <v>1534</v>
      </c>
      <c r="H1125" t="s">
        <v>1530</v>
      </c>
      <c r="I1125" t="s">
        <v>1513</v>
      </c>
      <c r="J1125" t="s">
        <v>1566</v>
      </c>
      <c r="K1125" t="s">
        <v>1514</v>
      </c>
      <c r="L1125" s="2">
        <v>3</v>
      </c>
      <c r="M1125" s="10">
        <v>2138</v>
      </c>
      <c r="N1125" s="7">
        <v>6414</v>
      </c>
    </row>
    <row r="1126" spans="1:14" x14ac:dyDescent="0.3">
      <c r="A1126">
        <v>1124</v>
      </c>
      <c r="B1126" s="1">
        <v>45782</v>
      </c>
      <c r="C1126">
        <v>2025</v>
      </c>
      <c r="D1126">
        <v>5</v>
      </c>
      <c r="E1126" t="str">
        <f t="shared" si="17"/>
        <v>Mei</v>
      </c>
      <c r="F1126">
        <v>2</v>
      </c>
      <c r="G1126" t="s">
        <v>1519</v>
      </c>
      <c r="H1126" t="s">
        <v>1520</v>
      </c>
      <c r="I1126" t="s">
        <v>1528</v>
      </c>
      <c r="J1126" t="s">
        <v>1566</v>
      </c>
      <c r="K1126" t="s">
        <v>1514</v>
      </c>
      <c r="L1126" s="2">
        <v>5</v>
      </c>
      <c r="M1126" s="10">
        <v>5434</v>
      </c>
      <c r="N1126" s="7">
        <v>27170</v>
      </c>
    </row>
    <row r="1127" spans="1:14" x14ac:dyDescent="0.3">
      <c r="A1127">
        <v>1125</v>
      </c>
      <c r="B1127" s="1">
        <v>45783</v>
      </c>
      <c r="C1127">
        <v>2025</v>
      </c>
      <c r="D1127">
        <v>5</v>
      </c>
      <c r="E1127" t="str">
        <f t="shared" si="17"/>
        <v>Mei</v>
      </c>
      <c r="F1127">
        <v>2</v>
      </c>
      <c r="G1127" t="s">
        <v>1522</v>
      </c>
      <c r="H1127" t="s">
        <v>1520</v>
      </c>
      <c r="I1127" t="s">
        <v>1513</v>
      </c>
      <c r="J1127" t="s">
        <v>1566</v>
      </c>
      <c r="K1127" t="s">
        <v>1518</v>
      </c>
      <c r="L1127" s="2">
        <v>1</v>
      </c>
      <c r="M1127" s="10">
        <v>961</v>
      </c>
      <c r="N1127" s="7">
        <v>961</v>
      </c>
    </row>
    <row r="1128" spans="1:14" x14ac:dyDescent="0.3">
      <c r="A1128">
        <v>1126</v>
      </c>
      <c r="B1128" s="1">
        <v>45784</v>
      </c>
      <c r="C1128">
        <v>2025</v>
      </c>
      <c r="D1128">
        <v>5</v>
      </c>
      <c r="E1128" t="str">
        <f t="shared" si="17"/>
        <v>Mei</v>
      </c>
      <c r="F1128">
        <v>2</v>
      </c>
      <c r="G1128" t="s">
        <v>1523</v>
      </c>
      <c r="H1128" t="s">
        <v>1512</v>
      </c>
      <c r="I1128" t="s">
        <v>1521</v>
      </c>
      <c r="J1128" t="s">
        <v>1517</v>
      </c>
      <c r="K1128" t="s">
        <v>1514</v>
      </c>
      <c r="L1128" s="2">
        <v>2</v>
      </c>
      <c r="M1128" s="10">
        <v>28891</v>
      </c>
      <c r="N1128" s="7">
        <v>57782</v>
      </c>
    </row>
    <row r="1129" spans="1:14" x14ac:dyDescent="0.3">
      <c r="A1129">
        <v>1127</v>
      </c>
      <c r="B1129" s="1">
        <v>45785</v>
      </c>
      <c r="C1129">
        <v>2025</v>
      </c>
      <c r="D1129">
        <v>5</v>
      </c>
      <c r="E1129" t="str">
        <f t="shared" si="17"/>
        <v>Mei</v>
      </c>
      <c r="F1129">
        <v>2</v>
      </c>
      <c r="G1129" t="s">
        <v>1526</v>
      </c>
      <c r="H1129" t="s">
        <v>1527</v>
      </c>
      <c r="I1129" t="s">
        <v>1535</v>
      </c>
      <c r="J1129" t="s">
        <v>1566</v>
      </c>
      <c r="K1129" t="s">
        <v>1525</v>
      </c>
      <c r="L1129" s="2">
        <v>3</v>
      </c>
      <c r="M1129" s="10">
        <v>433</v>
      </c>
      <c r="N1129" s="7">
        <v>1299</v>
      </c>
    </row>
    <row r="1130" spans="1:14" x14ac:dyDescent="0.3">
      <c r="A1130">
        <v>1128</v>
      </c>
      <c r="B1130" s="1">
        <v>45786</v>
      </c>
      <c r="C1130">
        <v>2025</v>
      </c>
      <c r="D1130">
        <v>5</v>
      </c>
      <c r="E1130" t="str">
        <f t="shared" si="17"/>
        <v>Mei</v>
      </c>
      <c r="F1130">
        <v>2</v>
      </c>
      <c r="G1130" t="s">
        <v>1529</v>
      </c>
      <c r="H1130" t="s">
        <v>1530</v>
      </c>
      <c r="I1130" t="s">
        <v>1535</v>
      </c>
      <c r="J1130" t="s">
        <v>1566</v>
      </c>
      <c r="K1130" t="s">
        <v>1525</v>
      </c>
      <c r="L1130" s="2">
        <v>2</v>
      </c>
      <c r="M1130" s="10">
        <v>912</v>
      </c>
      <c r="N1130" s="7">
        <v>1824</v>
      </c>
    </row>
    <row r="1131" spans="1:14" x14ac:dyDescent="0.3">
      <c r="A1131">
        <v>1129</v>
      </c>
      <c r="B1131" s="1">
        <v>45787</v>
      </c>
      <c r="C1131">
        <v>2025</v>
      </c>
      <c r="D1131">
        <v>5</v>
      </c>
      <c r="E1131" t="str">
        <f t="shared" si="17"/>
        <v>Mei</v>
      </c>
      <c r="F1131">
        <v>2</v>
      </c>
      <c r="G1131" t="s">
        <v>1532</v>
      </c>
      <c r="H1131" t="s">
        <v>1512</v>
      </c>
      <c r="I1131" t="s">
        <v>1513</v>
      </c>
      <c r="J1131" t="s">
        <v>1517</v>
      </c>
      <c r="K1131" t="s">
        <v>1514</v>
      </c>
      <c r="L1131" s="2">
        <v>2</v>
      </c>
      <c r="M1131" s="10">
        <v>12792</v>
      </c>
      <c r="N1131" s="7">
        <v>25584</v>
      </c>
    </row>
    <row r="1132" spans="1:14" x14ac:dyDescent="0.3">
      <c r="A1132">
        <v>1130</v>
      </c>
      <c r="B1132" s="1">
        <v>45788</v>
      </c>
      <c r="C1132">
        <v>2025</v>
      </c>
      <c r="D1132">
        <v>5</v>
      </c>
      <c r="E1132" t="str">
        <f t="shared" si="17"/>
        <v>Mei</v>
      </c>
      <c r="F1132">
        <v>2</v>
      </c>
      <c r="G1132" t="s">
        <v>1533</v>
      </c>
      <c r="H1132" t="s">
        <v>1520</v>
      </c>
      <c r="I1132" t="s">
        <v>1531</v>
      </c>
      <c r="J1132" t="s">
        <v>1517</v>
      </c>
      <c r="K1132" t="s">
        <v>1525</v>
      </c>
      <c r="L1132" s="2">
        <v>3</v>
      </c>
      <c r="M1132" s="10">
        <v>150</v>
      </c>
      <c r="N1132" s="7">
        <v>450</v>
      </c>
    </row>
    <row r="1133" spans="1:14" x14ac:dyDescent="0.3">
      <c r="A1133">
        <v>1131</v>
      </c>
      <c r="B1133" s="1">
        <v>45789</v>
      </c>
      <c r="C1133">
        <v>2025</v>
      </c>
      <c r="D1133">
        <v>5</v>
      </c>
      <c r="E1133" t="str">
        <f t="shared" si="17"/>
        <v>Mei</v>
      </c>
      <c r="F1133">
        <v>2</v>
      </c>
      <c r="G1133" t="s">
        <v>1511</v>
      </c>
      <c r="H1133" t="s">
        <v>1512</v>
      </c>
      <c r="I1133" t="s">
        <v>1528</v>
      </c>
      <c r="J1133" t="s">
        <v>1517</v>
      </c>
      <c r="K1133" t="s">
        <v>1514</v>
      </c>
      <c r="L1133" s="2">
        <v>1</v>
      </c>
      <c r="M1133" s="10">
        <v>61259</v>
      </c>
      <c r="N1133" s="7">
        <v>61259</v>
      </c>
    </row>
    <row r="1134" spans="1:14" x14ac:dyDescent="0.3">
      <c r="A1134">
        <v>1132</v>
      </c>
      <c r="B1134" s="1">
        <v>45790</v>
      </c>
      <c r="C1134">
        <v>2025</v>
      </c>
      <c r="D1134">
        <v>5</v>
      </c>
      <c r="E1134" t="str">
        <f t="shared" si="17"/>
        <v>Mei</v>
      </c>
      <c r="F1134">
        <v>2</v>
      </c>
      <c r="G1134" t="s">
        <v>1515</v>
      </c>
      <c r="H1134" t="s">
        <v>1512</v>
      </c>
      <c r="I1134" t="s">
        <v>1513</v>
      </c>
      <c r="J1134" t="s">
        <v>1566</v>
      </c>
      <c r="K1134" t="s">
        <v>1514</v>
      </c>
      <c r="L1134" s="2">
        <v>1</v>
      </c>
      <c r="M1134" s="10">
        <v>2998</v>
      </c>
      <c r="N1134" s="7">
        <v>2998</v>
      </c>
    </row>
    <row r="1135" spans="1:14" x14ac:dyDescent="0.3">
      <c r="A1135">
        <v>1133</v>
      </c>
      <c r="B1135" s="1">
        <v>45791</v>
      </c>
      <c r="C1135">
        <v>2025</v>
      </c>
      <c r="D1135">
        <v>5</v>
      </c>
      <c r="E1135" t="str">
        <f t="shared" si="17"/>
        <v>Mei</v>
      </c>
      <c r="F1135">
        <v>2</v>
      </c>
      <c r="G1135" t="s">
        <v>1534</v>
      </c>
      <c r="H1135" t="s">
        <v>1530</v>
      </c>
      <c r="I1135" t="s">
        <v>1528</v>
      </c>
      <c r="J1135" t="s">
        <v>1517</v>
      </c>
      <c r="K1135" t="s">
        <v>1518</v>
      </c>
      <c r="L1135" s="2">
        <v>3</v>
      </c>
      <c r="M1135" s="10">
        <v>1682</v>
      </c>
      <c r="N1135" s="7">
        <v>5046</v>
      </c>
    </row>
    <row r="1136" spans="1:14" x14ac:dyDescent="0.3">
      <c r="A1136">
        <v>1134</v>
      </c>
      <c r="B1136" s="1">
        <v>45792</v>
      </c>
      <c r="C1136">
        <v>2025</v>
      </c>
      <c r="D1136">
        <v>5</v>
      </c>
      <c r="E1136" t="str">
        <f t="shared" si="17"/>
        <v>Mei</v>
      </c>
      <c r="F1136">
        <v>2</v>
      </c>
      <c r="G1136" t="s">
        <v>1519</v>
      </c>
      <c r="H1136" t="s">
        <v>1520</v>
      </c>
      <c r="I1136" t="s">
        <v>1513</v>
      </c>
      <c r="J1136" t="s">
        <v>1566</v>
      </c>
      <c r="K1136" t="s">
        <v>1518</v>
      </c>
      <c r="L1136" s="2">
        <v>1</v>
      </c>
      <c r="M1136" s="10">
        <v>12576</v>
      </c>
      <c r="N1136" s="7">
        <v>12576</v>
      </c>
    </row>
    <row r="1137" spans="1:14" x14ac:dyDescent="0.3">
      <c r="A1137">
        <v>1135</v>
      </c>
      <c r="B1137" s="1">
        <v>45793</v>
      </c>
      <c r="C1137">
        <v>2025</v>
      </c>
      <c r="D1137">
        <v>5</v>
      </c>
      <c r="E1137" t="str">
        <f t="shared" si="17"/>
        <v>Mei</v>
      </c>
      <c r="F1137">
        <v>2</v>
      </c>
      <c r="G1137" t="s">
        <v>1522</v>
      </c>
      <c r="H1137" t="s">
        <v>1520</v>
      </c>
      <c r="I1137" t="s">
        <v>1535</v>
      </c>
      <c r="J1137" t="s">
        <v>1524</v>
      </c>
      <c r="K1137" t="s">
        <v>1525</v>
      </c>
      <c r="L1137" s="2">
        <v>1</v>
      </c>
      <c r="M1137" s="10">
        <v>740</v>
      </c>
      <c r="N1137" s="7">
        <v>740</v>
      </c>
    </row>
    <row r="1138" spans="1:14" x14ac:dyDescent="0.3">
      <c r="A1138">
        <v>1136</v>
      </c>
      <c r="B1138" s="1">
        <v>45794</v>
      </c>
      <c r="C1138">
        <v>2025</v>
      </c>
      <c r="D1138">
        <v>5</v>
      </c>
      <c r="E1138" t="str">
        <f t="shared" si="17"/>
        <v>Mei</v>
      </c>
      <c r="F1138">
        <v>2</v>
      </c>
      <c r="G1138" t="s">
        <v>1523</v>
      </c>
      <c r="H1138" t="s">
        <v>1512</v>
      </c>
      <c r="I1138" t="s">
        <v>1528</v>
      </c>
      <c r="J1138" t="s">
        <v>1517</v>
      </c>
      <c r="K1138" t="s">
        <v>1518</v>
      </c>
      <c r="L1138" s="2">
        <v>2</v>
      </c>
      <c r="M1138" s="10">
        <v>38690</v>
      </c>
      <c r="N1138" s="7">
        <v>77380</v>
      </c>
    </row>
    <row r="1139" spans="1:14" x14ac:dyDescent="0.3">
      <c r="A1139">
        <v>1137</v>
      </c>
      <c r="B1139" s="1">
        <v>45795</v>
      </c>
      <c r="C1139">
        <v>2025</v>
      </c>
      <c r="D1139">
        <v>5</v>
      </c>
      <c r="E1139" t="str">
        <f t="shared" si="17"/>
        <v>Mei</v>
      </c>
      <c r="F1139">
        <v>2</v>
      </c>
      <c r="G1139" t="s">
        <v>1526</v>
      </c>
      <c r="H1139" t="s">
        <v>1527</v>
      </c>
      <c r="I1139" t="s">
        <v>1535</v>
      </c>
      <c r="J1139" t="s">
        <v>1524</v>
      </c>
      <c r="K1139" t="s">
        <v>1514</v>
      </c>
      <c r="L1139" s="2">
        <v>1</v>
      </c>
      <c r="M1139" s="10">
        <v>309</v>
      </c>
      <c r="N1139" s="7">
        <v>309</v>
      </c>
    </row>
    <row r="1140" spans="1:14" x14ac:dyDescent="0.3">
      <c r="A1140">
        <v>1138</v>
      </c>
      <c r="B1140" s="1">
        <v>45796</v>
      </c>
      <c r="C1140">
        <v>2025</v>
      </c>
      <c r="D1140">
        <v>5</v>
      </c>
      <c r="E1140" t="str">
        <f t="shared" si="17"/>
        <v>Mei</v>
      </c>
      <c r="F1140">
        <v>2</v>
      </c>
      <c r="G1140" t="s">
        <v>1529</v>
      </c>
      <c r="H1140" t="s">
        <v>1530</v>
      </c>
      <c r="I1140" t="s">
        <v>1528</v>
      </c>
      <c r="J1140" t="s">
        <v>1524</v>
      </c>
      <c r="K1140" t="s">
        <v>1518</v>
      </c>
      <c r="L1140" s="2">
        <v>3</v>
      </c>
      <c r="M1140" s="10">
        <v>1670</v>
      </c>
      <c r="N1140" s="7">
        <v>5010</v>
      </c>
    </row>
    <row r="1141" spans="1:14" x14ac:dyDescent="0.3">
      <c r="A1141">
        <v>1139</v>
      </c>
      <c r="B1141" s="1">
        <v>45797</v>
      </c>
      <c r="C1141">
        <v>2025</v>
      </c>
      <c r="D1141">
        <v>5</v>
      </c>
      <c r="E1141" t="str">
        <f t="shared" si="17"/>
        <v>Mei</v>
      </c>
      <c r="F1141">
        <v>2</v>
      </c>
      <c r="G1141" t="s">
        <v>1532</v>
      </c>
      <c r="H1141" t="s">
        <v>1512</v>
      </c>
      <c r="I1141" t="s">
        <v>1521</v>
      </c>
      <c r="J1141" t="s">
        <v>1566</v>
      </c>
      <c r="K1141" t="s">
        <v>1514</v>
      </c>
      <c r="L1141" s="2">
        <v>1</v>
      </c>
      <c r="M1141" s="10">
        <v>13908</v>
      </c>
      <c r="N1141" s="7">
        <v>13908</v>
      </c>
    </row>
    <row r="1142" spans="1:14" x14ac:dyDescent="0.3">
      <c r="A1142">
        <v>1140</v>
      </c>
      <c r="B1142" s="1">
        <v>45798</v>
      </c>
      <c r="C1142">
        <v>2025</v>
      </c>
      <c r="D1142">
        <v>5</v>
      </c>
      <c r="E1142" t="str">
        <f t="shared" si="17"/>
        <v>Mei</v>
      </c>
      <c r="F1142">
        <v>2</v>
      </c>
      <c r="G1142" t="s">
        <v>1533</v>
      </c>
      <c r="H1142" t="s">
        <v>1520</v>
      </c>
      <c r="I1142" t="s">
        <v>1521</v>
      </c>
      <c r="J1142" t="s">
        <v>1517</v>
      </c>
      <c r="K1142" t="s">
        <v>1525</v>
      </c>
      <c r="L1142" s="2">
        <v>1</v>
      </c>
      <c r="M1142" s="10">
        <v>619</v>
      </c>
      <c r="N1142" s="7">
        <v>619</v>
      </c>
    </row>
    <row r="1143" spans="1:14" x14ac:dyDescent="0.3">
      <c r="A1143">
        <v>1141</v>
      </c>
      <c r="B1143" s="1">
        <v>45799</v>
      </c>
      <c r="C1143">
        <v>2025</v>
      </c>
      <c r="D1143">
        <v>5</v>
      </c>
      <c r="E1143" t="str">
        <f t="shared" si="17"/>
        <v>Mei</v>
      </c>
      <c r="F1143">
        <v>2</v>
      </c>
      <c r="G1143" t="s">
        <v>1511</v>
      </c>
      <c r="H1143" t="s">
        <v>1512</v>
      </c>
      <c r="I1143" t="s">
        <v>1516</v>
      </c>
      <c r="J1143" t="s">
        <v>1566</v>
      </c>
      <c r="K1143" t="s">
        <v>1525</v>
      </c>
      <c r="L1143" s="2">
        <v>1</v>
      </c>
      <c r="M1143" s="10">
        <v>58661</v>
      </c>
      <c r="N1143" s="7">
        <v>58661</v>
      </c>
    </row>
    <row r="1144" spans="1:14" x14ac:dyDescent="0.3">
      <c r="A1144">
        <v>1142</v>
      </c>
      <c r="B1144" s="1">
        <v>45800</v>
      </c>
      <c r="C1144">
        <v>2025</v>
      </c>
      <c r="D1144">
        <v>5</v>
      </c>
      <c r="E1144" t="str">
        <f t="shared" si="17"/>
        <v>Mei</v>
      </c>
      <c r="F1144">
        <v>2</v>
      </c>
      <c r="G1144" t="s">
        <v>1515</v>
      </c>
      <c r="H1144" t="s">
        <v>1512</v>
      </c>
      <c r="I1144" t="s">
        <v>1521</v>
      </c>
      <c r="J1144" t="s">
        <v>1517</v>
      </c>
      <c r="K1144" t="s">
        <v>1525</v>
      </c>
      <c r="L1144" s="2">
        <v>3</v>
      </c>
      <c r="M1144" s="10">
        <v>3441</v>
      </c>
      <c r="N1144" s="7">
        <v>10323</v>
      </c>
    </row>
    <row r="1145" spans="1:14" x14ac:dyDescent="0.3">
      <c r="A1145">
        <v>1143</v>
      </c>
      <c r="B1145" s="1">
        <v>45801</v>
      </c>
      <c r="C1145">
        <v>2025</v>
      </c>
      <c r="D1145">
        <v>5</v>
      </c>
      <c r="E1145" t="str">
        <f t="shared" si="17"/>
        <v>Mei</v>
      </c>
      <c r="F1145">
        <v>2</v>
      </c>
      <c r="G1145" t="s">
        <v>1534</v>
      </c>
      <c r="H1145" t="s">
        <v>1530</v>
      </c>
      <c r="I1145" t="s">
        <v>1516</v>
      </c>
      <c r="J1145" t="s">
        <v>1517</v>
      </c>
      <c r="K1145" t="s">
        <v>1514</v>
      </c>
      <c r="L1145" s="2">
        <v>2</v>
      </c>
      <c r="M1145" s="10">
        <v>4503</v>
      </c>
      <c r="N1145" s="7">
        <v>9006</v>
      </c>
    </row>
    <row r="1146" spans="1:14" x14ac:dyDescent="0.3">
      <c r="A1146">
        <v>1144</v>
      </c>
      <c r="B1146" s="1">
        <v>45802</v>
      </c>
      <c r="C1146">
        <v>2025</v>
      </c>
      <c r="D1146">
        <v>5</v>
      </c>
      <c r="E1146" t="str">
        <f t="shared" si="17"/>
        <v>Mei</v>
      </c>
      <c r="F1146">
        <v>2</v>
      </c>
      <c r="G1146" t="s">
        <v>1519</v>
      </c>
      <c r="H1146" t="s">
        <v>1520</v>
      </c>
      <c r="I1146" t="s">
        <v>1513</v>
      </c>
      <c r="J1146" t="s">
        <v>1524</v>
      </c>
      <c r="K1146" t="s">
        <v>1518</v>
      </c>
      <c r="L1146" s="2">
        <v>5</v>
      </c>
      <c r="M1146" s="10">
        <v>10835</v>
      </c>
      <c r="N1146" s="7">
        <v>54175</v>
      </c>
    </row>
    <row r="1147" spans="1:14" x14ac:dyDescent="0.3">
      <c r="A1147">
        <v>1145</v>
      </c>
      <c r="B1147" s="1">
        <v>45803</v>
      </c>
      <c r="C1147">
        <v>2025</v>
      </c>
      <c r="D1147">
        <v>5</v>
      </c>
      <c r="E1147" t="str">
        <f t="shared" si="17"/>
        <v>Mei</v>
      </c>
      <c r="F1147">
        <v>2</v>
      </c>
      <c r="G1147" t="s">
        <v>1522</v>
      </c>
      <c r="H1147" t="s">
        <v>1520</v>
      </c>
      <c r="I1147" t="s">
        <v>1521</v>
      </c>
      <c r="J1147" t="s">
        <v>1524</v>
      </c>
      <c r="K1147" t="s">
        <v>1518</v>
      </c>
      <c r="L1147" s="2">
        <v>2</v>
      </c>
      <c r="M1147" s="10">
        <v>334</v>
      </c>
      <c r="N1147" s="7">
        <v>668</v>
      </c>
    </row>
    <row r="1148" spans="1:14" x14ac:dyDescent="0.3">
      <c r="A1148">
        <v>1146</v>
      </c>
      <c r="B1148" s="1">
        <v>45804</v>
      </c>
      <c r="C1148">
        <v>2025</v>
      </c>
      <c r="D1148">
        <v>5</v>
      </c>
      <c r="E1148" t="str">
        <f t="shared" si="17"/>
        <v>Mei</v>
      </c>
      <c r="F1148">
        <v>2</v>
      </c>
      <c r="G1148" t="s">
        <v>1523</v>
      </c>
      <c r="H1148" t="s">
        <v>1512</v>
      </c>
      <c r="I1148" t="s">
        <v>1516</v>
      </c>
      <c r="J1148" t="s">
        <v>1566</v>
      </c>
      <c r="K1148" t="s">
        <v>1525</v>
      </c>
      <c r="L1148" s="2">
        <v>2</v>
      </c>
      <c r="M1148" s="10">
        <v>14992</v>
      </c>
      <c r="N1148" s="7">
        <v>29984</v>
      </c>
    </row>
    <row r="1149" spans="1:14" x14ac:dyDescent="0.3">
      <c r="A1149">
        <v>1147</v>
      </c>
      <c r="B1149" s="1">
        <v>45805</v>
      </c>
      <c r="C1149">
        <v>2025</v>
      </c>
      <c r="D1149">
        <v>5</v>
      </c>
      <c r="E1149" t="str">
        <f t="shared" si="17"/>
        <v>Mei</v>
      </c>
      <c r="F1149">
        <v>2</v>
      </c>
      <c r="G1149" t="s">
        <v>1526</v>
      </c>
      <c r="H1149" t="s">
        <v>1527</v>
      </c>
      <c r="I1149" t="s">
        <v>1516</v>
      </c>
      <c r="J1149" t="s">
        <v>1517</v>
      </c>
      <c r="K1149" t="s">
        <v>1514</v>
      </c>
      <c r="L1149" s="2">
        <v>3</v>
      </c>
      <c r="M1149" s="10">
        <v>385</v>
      </c>
      <c r="N1149" s="7">
        <v>1155</v>
      </c>
    </row>
    <row r="1150" spans="1:14" x14ac:dyDescent="0.3">
      <c r="A1150">
        <v>1148</v>
      </c>
      <c r="B1150" s="1">
        <v>45806</v>
      </c>
      <c r="C1150">
        <v>2025</v>
      </c>
      <c r="D1150">
        <v>5</v>
      </c>
      <c r="E1150" t="str">
        <f t="shared" si="17"/>
        <v>Mei</v>
      </c>
      <c r="F1150">
        <v>2</v>
      </c>
      <c r="G1150" t="s">
        <v>1529</v>
      </c>
      <c r="H1150" t="s">
        <v>1530</v>
      </c>
      <c r="I1150" t="s">
        <v>1535</v>
      </c>
      <c r="J1150" t="s">
        <v>1524</v>
      </c>
      <c r="K1150" t="s">
        <v>1518</v>
      </c>
      <c r="L1150" s="2">
        <v>1</v>
      </c>
      <c r="M1150" s="10">
        <v>1196</v>
      </c>
      <c r="N1150" s="7">
        <v>1196</v>
      </c>
    </row>
    <row r="1151" spans="1:14" x14ac:dyDescent="0.3">
      <c r="A1151">
        <v>1149</v>
      </c>
      <c r="B1151" s="1">
        <v>45807</v>
      </c>
      <c r="C1151">
        <v>2025</v>
      </c>
      <c r="D1151">
        <v>5</v>
      </c>
      <c r="E1151" t="str">
        <f t="shared" si="17"/>
        <v>Mei</v>
      </c>
      <c r="F1151">
        <v>2</v>
      </c>
      <c r="G1151" t="s">
        <v>1532</v>
      </c>
      <c r="H1151" t="s">
        <v>1512</v>
      </c>
      <c r="I1151" t="s">
        <v>1531</v>
      </c>
      <c r="J1151" t="s">
        <v>1524</v>
      </c>
      <c r="K1151" t="s">
        <v>1514</v>
      </c>
      <c r="L1151" s="2">
        <v>2</v>
      </c>
      <c r="M1151" s="10">
        <v>4766</v>
      </c>
      <c r="N1151" s="7">
        <v>9532</v>
      </c>
    </row>
    <row r="1152" spans="1:14" x14ac:dyDescent="0.3">
      <c r="A1152">
        <v>1150</v>
      </c>
      <c r="B1152" s="1">
        <v>45808</v>
      </c>
      <c r="C1152">
        <v>2025</v>
      </c>
      <c r="D1152">
        <v>5</v>
      </c>
      <c r="E1152" t="str">
        <f t="shared" si="17"/>
        <v>Mei</v>
      </c>
      <c r="F1152">
        <v>2</v>
      </c>
      <c r="G1152" t="s">
        <v>1533</v>
      </c>
      <c r="H1152" t="s">
        <v>1520</v>
      </c>
      <c r="I1152" t="s">
        <v>1513</v>
      </c>
      <c r="J1152" t="s">
        <v>1566</v>
      </c>
      <c r="K1152" t="s">
        <v>1525</v>
      </c>
      <c r="L1152" s="2">
        <v>4</v>
      </c>
      <c r="M1152" s="10">
        <v>317</v>
      </c>
      <c r="N1152" s="7">
        <v>1268</v>
      </c>
    </row>
    <row r="1153" spans="1:14" x14ac:dyDescent="0.3">
      <c r="A1153">
        <v>1151</v>
      </c>
      <c r="B1153" s="1">
        <v>45809</v>
      </c>
      <c r="C1153">
        <v>2025</v>
      </c>
      <c r="D1153">
        <v>6</v>
      </c>
      <c r="E1153" t="str">
        <f t="shared" si="17"/>
        <v>Juni</v>
      </c>
      <c r="F1153">
        <v>2</v>
      </c>
      <c r="G1153" t="s">
        <v>1511</v>
      </c>
      <c r="H1153" t="s">
        <v>1512</v>
      </c>
      <c r="I1153" t="s">
        <v>1516</v>
      </c>
      <c r="J1153" t="s">
        <v>1524</v>
      </c>
      <c r="K1153" t="s">
        <v>1518</v>
      </c>
      <c r="L1153" s="2">
        <v>2</v>
      </c>
      <c r="M1153" s="10">
        <v>59735</v>
      </c>
      <c r="N1153" s="7">
        <v>119470</v>
      </c>
    </row>
    <row r="1154" spans="1:14" x14ac:dyDescent="0.3">
      <c r="A1154">
        <v>1152</v>
      </c>
      <c r="B1154" s="1">
        <v>45810</v>
      </c>
      <c r="C1154">
        <v>2025</v>
      </c>
      <c r="D1154">
        <v>6</v>
      </c>
      <c r="E1154" t="str">
        <f t="shared" si="17"/>
        <v>Juni</v>
      </c>
      <c r="F1154">
        <v>2</v>
      </c>
      <c r="G1154" t="s">
        <v>1515</v>
      </c>
      <c r="H1154" t="s">
        <v>1512</v>
      </c>
      <c r="I1154" t="s">
        <v>1521</v>
      </c>
      <c r="J1154" t="s">
        <v>1517</v>
      </c>
      <c r="K1154" t="s">
        <v>1518</v>
      </c>
      <c r="L1154" s="2">
        <v>2</v>
      </c>
      <c r="M1154" s="10">
        <v>3950</v>
      </c>
      <c r="N1154" s="7">
        <v>7900</v>
      </c>
    </row>
    <row r="1155" spans="1:14" x14ac:dyDescent="0.3">
      <c r="A1155">
        <v>1153</v>
      </c>
      <c r="B1155" s="1">
        <v>45811</v>
      </c>
      <c r="C1155">
        <v>2025</v>
      </c>
      <c r="D1155">
        <v>6</v>
      </c>
      <c r="E1155" t="str">
        <f t="shared" ref="E1155:E1218" si="18">TEXT(DATE(2026, D1155, 1), "[$-id-ID]mmmm")</f>
        <v>Juni</v>
      </c>
      <c r="F1155">
        <v>2</v>
      </c>
      <c r="G1155" t="s">
        <v>1534</v>
      </c>
      <c r="H1155" t="s">
        <v>1530</v>
      </c>
      <c r="I1155" t="s">
        <v>1513</v>
      </c>
      <c r="J1155" t="s">
        <v>1517</v>
      </c>
      <c r="K1155" t="s">
        <v>1518</v>
      </c>
      <c r="L1155" s="2">
        <v>2</v>
      </c>
      <c r="M1155" s="10">
        <v>3263</v>
      </c>
      <c r="N1155" s="7">
        <v>6526</v>
      </c>
    </row>
    <row r="1156" spans="1:14" x14ac:dyDescent="0.3">
      <c r="A1156">
        <v>1154</v>
      </c>
      <c r="B1156" s="1">
        <v>45812</v>
      </c>
      <c r="C1156">
        <v>2025</v>
      </c>
      <c r="D1156">
        <v>6</v>
      </c>
      <c r="E1156" t="str">
        <f t="shared" si="18"/>
        <v>Juni</v>
      </c>
      <c r="F1156">
        <v>2</v>
      </c>
      <c r="G1156" t="s">
        <v>1519</v>
      </c>
      <c r="H1156" t="s">
        <v>1520</v>
      </c>
      <c r="I1156" t="s">
        <v>1516</v>
      </c>
      <c r="J1156" t="s">
        <v>1517</v>
      </c>
      <c r="K1156" t="s">
        <v>1525</v>
      </c>
      <c r="L1156" s="2">
        <v>4</v>
      </c>
      <c r="M1156" s="10">
        <v>8514</v>
      </c>
      <c r="N1156" s="7">
        <v>34056</v>
      </c>
    </row>
    <row r="1157" spans="1:14" x14ac:dyDescent="0.3">
      <c r="A1157">
        <v>1155</v>
      </c>
      <c r="B1157" s="1">
        <v>45813</v>
      </c>
      <c r="C1157">
        <v>2025</v>
      </c>
      <c r="D1157">
        <v>6</v>
      </c>
      <c r="E1157" t="str">
        <f t="shared" si="18"/>
        <v>Juni</v>
      </c>
      <c r="F1157">
        <v>2</v>
      </c>
      <c r="G1157" t="s">
        <v>1522</v>
      </c>
      <c r="H1157" t="s">
        <v>1520</v>
      </c>
      <c r="I1157" t="s">
        <v>1531</v>
      </c>
      <c r="J1157" t="s">
        <v>1566</v>
      </c>
      <c r="K1157" t="s">
        <v>1525</v>
      </c>
      <c r="L1157" s="2">
        <v>2</v>
      </c>
      <c r="M1157" s="10">
        <v>172</v>
      </c>
      <c r="N1157" s="7">
        <v>344</v>
      </c>
    </row>
    <row r="1158" spans="1:14" x14ac:dyDescent="0.3">
      <c r="A1158">
        <v>1156</v>
      </c>
      <c r="B1158" s="1">
        <v>45814</v>
      </c>
      <c r="C1158">
        <v>2025</v>
      </c>
      <c r="D1158">
        <v>6</v>
      </c>
      <c r="E1158" t="str">
        <f t="shared" si="18"/>
        <v>Juni</v>
      </c>
      <c r="F1158">
        <v>2</v>
      </c>
      <c r="G1158" t="s">
        <v>1523</v>
      </c>
      <c r="H1158" t="s">
        <v>1512</v>
      </c>
      <c r="I1158" t="s">
        <v>1531</v>
      </c>
      <c r="J1158" t="s">
        <v>1517</v>
      </c>
      <c r="K1158" t="s">
        <v>1518</v>
      </c>
      <c r="L1158" s="2">
        <v>1</v>
      </c>
      <c r="M1158" s="10">
        <v>21077</v>
      </c>
      <c r="N1158" s="7">
        <v>21077</v>
      </c>
    </row>
    <row r="1159" spans="1:14" x14ac:dyDescent="0.3">
      <c r="A1159">
        <v>1157</v>
      </c>
      <c r="B1159" s="1">
        <v>45815</v>
      </c>
      <c r="C1159">
        <v>2025</v>
      </c>
      <c r="D1159">
        <v>6</v>
      </c>
      <c r="E1159" t="str">
        <f t="shared" si="18"/>
        <v>Juni</v>
      </c>
      <c r="F1159">
        <v>2</v>
      </c>
      <c r="G1159" t="s">
        <v>1526</v>
      </c>
      <c r="H1159" t="s">
        <v>1527</v>
      </c>
      <c r="I1159" t="s">
        <v>1531</v>
      </c>
      <c r="J1159" t="s">
        <v>1524</v>
      </c>
      <c r="K1159" t="s">
        <v>1525</v>
      </c>
      <c r="L1159" s="2">
        <v>5</v>
      </c>
      <c r="M1159" s="10">
        <v>747</v>
      </c>
      <c r="N1159" s="7">
        <v>3735</v>
      </c>
    </row>
    <row r="1160" spans="1:14" x14ac:dyDescent="0.3">
      <c r="A1160">
        <v>1158</v>
      </c>
      <c r="B1160" s="1">
        <v>45816</v>
      </c>
      <c r="C1160">
        <v>2025</v>
      </c>
      <c r="D1160">
        <v>6</v>
      </c>
      <c r="E1160" t="str">
        <f t="shared" si="18"/>
        <v>Juni</v>
      </c>
      <c r="F1160">
        <v>2</v>
      </c>
      <c r="G1160" t="s">
        <v>1529</v>
      </c>
      <c r="H1160" t="s">
        <v>1530</v>
      </c>
      <c r="I1160" t="s">
        <v>1521</v>
      </c>
      <c r="J1160" t="s">
        <v>1566</v>
      </c>
      <c r="K1160" t="s">
        <v>1514</v>
      </c>
      <c r="L1160" s="2">
        <v>2</v>
      </c>
      <c r="M1160" s="10">
        <v>850</v>
      </c>
      <c r="N1160" s="7">
        <v>1700</v>
      </c>
    </row>
    <row r="1161" spans="1:14" x14ac:dyDescent="0.3">
      <c r="A1161">
        <v>1159</v>
      </c>
      <c r="B1161" s="1">
        <v>45817</v>
      </c>
      <c r="C1161">
        <v>2025</v>
      </c>
      <c r="D1161">
        <v>6</v>
      </c>
      <c r="E1161" t="str">
        <f t="shared" si="18"/>
        <v>Juni</v>
      </c>
      <c r="F1161">
        <v>2</v>
      </c>
      <c r="G1161" t="s">
        <v>1532</v>
      </c>
      <c r="H1161" t="s">
        <v>1512</v>
      </c>
      <c r="I1161" t="s">
        <v>1513</v>
      </c>
      <c r="J1161" t="s">
        <v>1566</v>
      </c>
      <c r="K1161" t="s">
        <v>1514</v>
      </c>
      <c r="L1161" s="2">
        <v>2</v>
      </c>
      <c r="M1161" s="10">
        <v>13771</v>
      </c>
      <c r="N1161" s="7">
        <v>27542</v>
      </c>
    </row>
    <row r="1162" spans="1:14" x14ac:dyDescent="0.3">
      <c r="A1162">
        <v>1160</v>
      </c>
      <c r="B1162" s="1">
        <v>45818</v>
      </c>
      <c r="C1162">
        <v>2025</v>
      </c>
      <c r="D1162">
        <v>6</v>
      </c>
      <c r="E1162" t="str">
        <f t="shared" si="18"/>
        <v>Juni</v>
      </c>
      <c r="F1162">
        <v>2</v>
      </c>
      <c r="G1162" t="s">
        <v>1533</v>
      </c>
      <c r="H1162" t="s">
        <v>1520</v>
      </c>
      <c r="I1162" t="s">
        <v>1531</v>
      </c>
      <c r="J1162" t="s">
        <v>1517</v>
      </c>
      <c r="K1162" t="s">
        <v>1518</v>
      </c>
      <c r="L1162" s="2">
        <v>4</v>
      </c>
      <c r="M1162" s="10">
        <v>258</v>
      </c>
      <c r="N1162" s="7">
        <v>1032</v>
      </c>
    </row>
    <row r="1163" spans="1:14" x14ac:dyDescent="0.3">
      <c r="A1163">
        <v>1161</v>
      </c>
      <c r="B1163" s="1">
        <v>45819</v>
      </c>
      <c r="C1163">
        <v>2025</v>
      </c>
      <c r="D1163">
        <v>6</v>
      </c>
      <c r="E1163" t="str">
        <f t="shared" si="18"/>
        <v>Juni</v>
      </c>
      <c r="F1163">
        <v>2</v>
      </c>
      <c r="G1163" t="s">
        <v>1511</v>
      </c>
      <c r="H1163" t="s">
        <v>1512</v>
      </c>
      <c r="I1163" t="s">
        <v>1535</v>
      </c>
      <c r="J1163" t="s">
        <v>1517</v>
      </c>
      <c r="K1163" t="s">
        <v>1525</v>
      </c>
      <c r="L1163" s="2">
        <v>2</v>
      </c>
      <c r="M1163" s="10">
        <v>44856</v>
      </c>
      <c r="N1163" s="7">
        <v>89712</v>
      </c>
    </row>
    <row r="1164" spans="1:14" x14ac:dyDescent="0.3">
      <c r="A1164">
        <v>1162</v>
      </c>
      <c r="B1164" s="1">
        <v>45820</v>
      </c>
      <c r="C1164">
        <v>2025</v>
      </c>
      <c r="D1164">
        <v>6</v>
      </c>
      <c r="E1164" t="str">
        <f t="shared" si="18"/>
        <v>Juni</v>
      </c>
      <c r="F1164">
        <v>2</v>
      </c>
      <c r="G1164" t="s">
        <v>1515</v>
      </c>
      <c r="H1164" t="s">
        <v>1512</v>
      </c>
      <c r="I1164" t="s">
        <v>1513</v>
      </c>
      <c r="J1164" t="s">
        <v>1517</v>
      </c>
      <c r="K1164" t="s">
        <v>1525</v>
      </c>
      <c r="L1164" s="2">
        <v>3</v>
      </c>
      <c r="M1164" s="10">
        <v>3161</v>
      </c>
      <c r="N1164" s="7">
        <v>9483</v>
      </c>
    </row>
    <row r="1165" spans="1:14" x14ac:dyDescent="0.3">
      <c r="A1165">
        <v>1163</v>
      </c>
      <c r="B1165" s="1">
        <v>45821</v>
      </c>
      <c r="C1165">
        <v>2025</v>
      </c>
      <c r="D1165">
        <v>6</v>
      </c>
      <c r="E1165" t="str">
        <f t="shared" si="18"/>
        <v>Juni</v>
      </c>
      <c r="F1165">
        <v>2</v>
      </c>
      <c r="G1165" t="s">
        <v>1534</v>
      </c>
      <c r="H1165" t="s">
        <v>1530</v>
      </c>
      <c r="I1165" t="s">
        <v>1513</v>
      </c>
      <c r="J1165" t="s">
        <v>1524</v>
      </c>
      <c r="K1165" t="s">
        <v>1525</v>
      </c>
      <c r="L1165" s="2">
        <v>1</v>
      </c>
      <c r="M1165" s="10">
        <v>4464</v>
      </c>
      <c r="N1165" s="7">
        <v>4464</v>
      </c>
    </row>
    <row r="1166" spans="1:14" x14ac:dyDescent="0.3">
      <c r="A1166">
        <v>1164</v>
      </c>
      <c r="B1166" s="1">
        <v>45822</v>
      </c>
      <c r="C1166">
        <v>2025</v>
      </c>
      <c r="D1166">
        <v>6</v>
      </c>
      <c r="E1166" t="str">
        <f t="shared" si="18"/>
        <v>Juni</v>
      </c>
      <c r="F1166">
        <v>2</v>
      </c>
      <c r="G1166" t="s">
        <v>1519</v>
      </c>
      <c r="H1166" t="s">
        <v>1520</v>
      </c>
      <c r="I1166" t="s">
        <v>1516</v>
      </c>
      <c r="J1166" t="s">
        <v>1524</v>
      </c>
      <c r="K1166" t="s">
        <v>1525</v>
      </c>
      <c r="L1166" s="2">
        <v>1</v>
      </c>
      <c r="M1166" s="10">
        <v>4758</v>
      </c>
      <c r="N1166" s="7">
        <v>4758</v>
      </c>
    </row>
    <row r="1167" spans="1:14" x14ac:dyDescent="0.3">
      <c r="A1167">
        <v>1165</v>
      </c>
      <c r="B1167" s="1">
        <v>45823</v>
      </c>
      <c r="C1167">
        <v>2025</v>
      </c>
      <c r="D1167">
        <v>6</v>
      </c>
      <c r="E1167" t="str">
        <f t="shared" si="18"/>
        <v>Juni</v>
      </c>
      <c r="F1167">
        <v>2</v>
      </c>
      <c r="G1167" t="s">
        <v>1522</v>
      </c>
      <c r="H1167" t="s">
        <v>1520</v>
      </c>
      <c r="I1167" t="s">
        <v>1513</v>
      </c>
      <c r="J1167" t="s">
        <v>1524</v>
      </c>
      <c r="K1167" t="s">
        <v>1518</v>
      </c>
      <c r="L1167" s="2">
        <v>4</v>
      </c>
      <c r="M1167" s="10">
        <v>490</v>
      </c>
      <c r="N1167" s="7">
        <v>1960</v>
      </c>
    </row>
    <row r="1168" spans="1:14" x14ac:dyDescent="0.3">
      <c r="A1168">
        <v>1166</v>
      </c>
      <c r="B1168" s="1">
        <v>45824</v>
      </c>
      <c r="C1168">
        <v>2025</v>
      </c>
      <c r="D1168">
        <v>6</v>
      </c>
      <c r="E1168" t="str">
        <f t="shared" si="18"/>
        <v>Juni</v>
      </c>
      <c r="F1168">
        <v>2</v>
      </c>
      <c r="G1168" t="s">
        <v>1523</v>
      </c>
      <c r="H1168" t="s">
        <v>1512</v>
      </c>
      <c r="I1168" t="s">
        <v>1531</v>
      </c>
      <c r="J1168" t="s">
        <v>1566</v>
      </c>
      <c r="K1168" t="s">
        <v>1518</v>
      </c>
      <c r="L1168" s="2">
        <v>1</v>
      </c>
      <c r="M1168" s="10">
        <v>38739</v>
      </c>
      <c r="N1168" s="7">
        <v>38739</v>
      </c>
    </row>
    <row r="1169" spans="1:14" x14ac:dyDescent="0.3">
      <c r="A1169">
        <v>1167</v>
      </c>
      <c r="B1169" s="1">
        <v>45825</v>
      </c>
      <c r="C1169">
        <v>2025</v>
      </c>
      <c r="D1169">
        <v>6</v>
      </c>
      <c r="E1169" t="str">
        <f t="shared" si="18"/>
        <v>Juni</v>
      </c>
      <c r="F1169">
        <v>2</v>
      </c>
      <c r="G1169" t="s">
        <v>1526</v>
      </c>
      <c r="H1169" t="s">
        <v>1527</v>
      </c>
      <c r="I1169" t="s">
        <v>1513</v>
      </c>
      <c r="J1169" t="s">
        <v>1517</v>
      </c>
      <c r="K1169" t="s">
        <v>1525</v>
      </c>
      <c r="L1169" s="2">
        <v>3</v>
      </c>
      <c r="M1169" s="10">
        <v>368</v>
      </c>
      <c r="N1169" s="7">
        <v>1104</v>
      </c>
    </row>
    <row r="1170" spans="1:14" x14ac:dyDescent="0.3">
      <c r="A1170">
        <v>1168</v>
      </c>
      <c r="B1170" s="1">
        <v>45826</v>
      </c>
      <c r="C1170">
        <v>2025</v>
      </c>
      <c r="D1170">
        <v>6</v>
      </c>
      <c r="E1170" t="str">
        <f t="shared" si="18"/>
        <v>Juni</v>
      </c>
      <c r="F1170">
        <v>2</v>
      </c>
      <c r="G1170" t="s">
        <v>1529</v>
      </c>
      <c r="H1170" t="s">
        <v>1530</v>
      </c>
      <c r="I1170" t="s">
        <v>1521</v>
      </c>
      <c r="J1170" t="s">
        <v>1517</v>
      </c>
      <c r="K1170" t="s">
        <v>1514</v>
      </c>
      <c r="L1170" s="2">
        <v>1</v>
      </c>
      <c r="M1170" s="10">
        <v>1931</v>
      </c>
      <c r="N1170" s="7">
        <v>1931</v>
      </c>
    </row>
    <row r="1171" spans="1:14" x14ac:dyDescent="0.3">
      <c r="A1171">
        <v>1169</v>
      </c>
      <c r="B1171" s="1">
        <v>45827</v>
      </c>
      <c r="C1171">
        <v>2025</v>
      </c>
      <c r="D1171">
        <v>6</v>
      </c>
      <c r="E1171" t="str">
        <f t="shared" si="18"/>
        <v>Juni</v>
      </c>
      <c r="F1171">
        <v>2</v>
      </c>
      <c r="G1171" t="s">
        <v>1532</v>
      </c>
      <c r="H1171" t="s">
        <v>1512</v>
      </c>
      <c r="I1171" t="s">
        <v>1535</v>
      </c>
      <c r="J1171" t="s">
        <v>1517</v>
      </c>
      <c r="K1171" t="s">
        <v>1518</v>
      </c>
      <c r="L1171" s="2">
        <v>2</v>
      </c>
      <c r="M1171" s="10">
        <v>14370</v>
      </c>
      <c r="N1171" s="7">
        <v>28740</v>
      </c>
    </row>
    <row r="1172" spans="1:14" x14ac:dyDescent="0.3">
      <c r="A1172">
        <v>1170</v>
      </c>
      <c r="B1172" s="1">
        <v>45828</v>
      </c>
      <c r="C1172">
        <v>2025</v>
      </c>
      <c r="D1172">
        <v>6</v>
      </c>
      <c r="E1172" t="str">
        <f t="shared" si="18"/>
        <v>Juni</v>
      </c>
      <c r="F1172">
        <v>2</v>
      </c>
      <c r="G1172" t="s">
        <v>1533</v>
      </c>
      <c r="H1172" t="s">
        <v>1520</v>
      </c>
      <c r="I1172" t="s">
        <v>1513</v>
      </c>
      <c r="J1172" t="s">
        <v>1524</v>
      </c>
      <c r="K1172" t="s">
        <v>1525</v>
      </c>
      <c r="L1172" s="2">
        <v>2</v>
      </c>
      <c r="M1172" s="10">
        <v>780</v>
      </c>
      <c r="N1172" s="7">
        <v>1560</v>
      </c>
    </row>
    <row r="1173" spans="1:14" x14ac:dyDescent="0.3">
      <c r="A1173">
        <v>1171</v>
      </c>
      <c r="B1173" s="1">
        <v>45829</v>
      </c>
      <c r="C1173">
        <v>2025</v>
      </c>
      <c r="D1173">
        <v>6</v>
      </c>
      <c r="E1173" t="str">
        <f t="shared" si="18"/>
        <v>Juni</v>
      </c>
      <c r="F1173">
        <v>2</v>
      </c>
      <c r="G1173" t="s">
        <v>1511</v>
      </c>
      <c r="H1173" t="s">
        <v>1512</v>
      </c>
      <c r="I1173" t="s">
        <v>1531</v>
      </c>
      <c r="J1173" t="s">
        <v>1566</v>
      </c>
      <c r="K1173" t="s">
        <v>1518</v>
      </c>
      <c r="L1173" s="2">
        <v>2</v>
      </c>
      <c r="M1173" s="10">
        <v>54865</v>
      </c>
      <c r="N1173" s="7">
        <v>109730</v>
      </c>
    </row>
    <row r="1174" spans="1:14" x14ac:dyDescent="0.3">
      <c r="A1174">
        <v>1172</v>
      </c>
      <c r="B1174" s="1">
        <v>45830</v>
      </c>
      <c r="C1174">
        <v>2025</v>
      </c>
      <c r="D1174">
        <v>6</v>
      </c>
      <c r="E1174" t="str">
        <f t="shared" si="18"/>
        <v>Juni</v>
      </c>
      <c r="F1174">
        <v>2</v>
      </c>
      <c r="G1174" t="s">
        <v>1515</v>
      </c>
      <c r="H1174" t="s">
        <v>1512</v>
      </c>
      <c r="I1174" t="s">
        <v>1528</v>
      </c>
      <c r="J1174" t="s">
        <v>1566</v>
      </c>
      <c r="K1174" t="s">
        <v>1518</v>
      </c>
      <c r="L1174" s="2">
        <v>2</v>
      </c>
      <c r="M1174" s="10">
        <v>4481</v>
      </c>
      <c r="N1174" s="7">
        <v>8962</v>
      </c>
    </row>
    <row r="1175" spans="1:14" x14ac:dyDescent="0.3">
      <c r="A1175">
        <v>1173</v>
      </c>
      <c r="B1175" s="1">
        <v>45831</v>
      </c>
      <c r="C1175">
        <v>2025</v>
      </c>
      <c r="D1175">
        <v>6</v>
      </c>
      <c r="E1175" t="str">
        <f t="shared" si="18"/>
        <v>Juni</v>
      </c>
      <c r="F1175">
        <v>2</v>
      </c>
      <c r="G1175" t="s">
        <v>1534</v>
      </c>
      <c r="H1175" t="s">
        <v>1530</v>
      </c>
      <c r="I1175" t="s">
        <v>1521</v>
      </c>
      <c r="J1175" t="s">
        <v>1566</v>
      </c>
      <c r="K1175" t="s">
        <v>1514</v>
      </c>
      <c r="L1175" s="2">
        <v>2</v>
      </c>
      <c r="M1175" s="10">
        <v>1972</v>
      </c>
      <c r="N1175" s="7">
        <v>3944</v>
      </c>
    </row>
    <row r="1176" spans="1:14" x14ac:dyDescent="0.3">
      <c r="A1176">
        <v>1174</v>
      </c>
      <c r="B1176" s="1">
        <v>45832</v>
      </c>
      <c r="C1176">
        <v>2025</v>
      </c>
      <c r="D1176">
        <v>6</v>
      </c>
      <c r="E1176" t="str">
        <f t="shared" si="18"/>
        <v>Juni</v>
      </c>
      <c r="F1176">
        <v>2</v>
      </c>
      <c r="G1176" t="s">
        <v>1519</v>
      </c>
      <c r="H1176" t="s">
        <v>1520</v>
      </c>
      <c r="I1176" t="s">
        <v>1531</v>
      </c>
      <c r="J1176" t="s">
        <v>1566</v>
      </c>
      <c r="K1176" t="s">
        <v>1514</v>
      </c>
      <c r="L1176" s="2">
        <v>1</v>
      </c>
      <c r="M1176" s="10">
        <v>9837</v>
      </c>
      <c r="N1176" s="7">
        <v>9837</v>
      </c>
    </row>
    <row r="1177" spans="1:14" x14ac:dyDescent="0.3">
      <c r="A1177">
        <v>1175</v>
      </c>
      <c r="B1177" s="1">
        <v>45833</v>
      </c>
      <c r="C1177">
        <v>2025</v>
      </c>
      <c r="D1177">
        <v>6</v>
      </c>
      <c r="E1177" t="str">
        <f t="shared" si="18"/>
        <v>Juni</v>
      </c>
      <c r="F1177">
        <v>2</v>
      </c>
      <c r="G1177" t="s">
        <v>1522</v>
      </c>
      <c r="H1177" t="s">
        <v>1520</v>
      </c>
      <c r="I1177" t="s">
        <v>1513</v>
      </c>
      <c r="J1177" t="s">
        <v>1517</v>
      </c>
      <c r="K1177" t="s">
        <v>1514</v>
      </c>
      <c r="L1177" s="2">
        <v>5</v>
      </c>
      <c r="M1177" s="10">
        <v>857</v>
      </c>
      <c r="N1177" s="7">
        <v>4285</v>
      </c>
    </row>
    <row r="1178" spans="1:14" x14ac:dyDescent="0.3">
      <c r="A1178">
        <v>1176</v>
      </c>
      <c r="B1178" s="1">
        <v>45834</v>
      </c>
      <c r="C1178">
        <v>2025</v>
      </c>
      <c r="D1178">
        <v>6</v>
      </c>
      <c r="E1178" t="str">
        <f t="shared" si="18"/>
        <v>Juni</v>
      </c>
      <c r="F1178">
        <v>2</v>
      </c>
      <c r="G1178" t="s">
        <v>1523</v>
      </c>
      <c r="H1178" t="s">
        <v>1512</v>
      </c>
      <c r="I1178" t="s">
        <v>1513</v>
      </c>
      <c r="J1178" t="s">
        <v>1566</v>
      </c>
      <c r="K1178" t="s">
        <v>1514</v>
      </c>
      <c r="L1178" s="2">
        <v>1</v>
      </c>
      <c r="M1178" s="10">
        <v>20323</v>
      </c>
      <c r="N1178" s="7">
        <v>20323</v>
      </c>
    </row>
    <row r="1179" spans="1:14" x14ac:dyDescent="0.3">
      <c r="A1179">
        <v>1177</v>
      </c>
      <c r="B1179" s="1">
        <v>45835</v>
      </c>
      <c r="C1179">
        <v>2025</v>
      </c>
      <c r="D1179">
        <v>6</v>
      </c>
      <c r="E1179" t="str">
        <f t="shared" si="18"/>
        <v>Juni</v>
      </c>
      <c r="F1179">
        <v>2</v>
      </c>
      <c r="G1179" t="s">
        <v>1526</v>
      </c>
      <c r="H1179" t="s">
        <v>1527</v>
      </c>
      <c r="I1179" t="s">
        <v>1531</v>
      </c>
      <c r="J1179" t="s">
        <v>1517</v>
      </c>
      <c r="K1179" t="s">
        <v>1525</v>
      </c>
      <c r="L1179" s="2">
        <v>5</v>
      </c>
      <c r="M1179" s="10">
        <v>1000</v>
      </c>
      <c r="N1179" s="7">
        <v>5000</v>
      </c>
    </row>
    <row r="1180" spans="1:14" x14ac:dyDescent="0.3">
      <c r="A1180">
        <v>1178</v>
      </c>
      <c r="B1180" s="1">
        <v>45836</v>
      </c>
      <c r="C1180">
        <v>2025</v>
      </c>
      <c r="D1180">
        <v>6</v>
      </c>
      <c r="E1180" t="str">
        <f t="shared" si="18"/>
        <v>Juni</v>
      </c>
      <c r="F1180">
        <v>2</v>
      </c>
      <c r="G1180" t="s">
        <v>1529</v>
      </c>
      <c r="H1180" t="s">
        <v>1530</v>
      </c>
      <c r="I1180" t="s">
        <v>1513</v>
      </c>
      <c r="J1180" t="s">
        <v>1524</v>
      </c>
      <c r="K1180" t="s">
        <v>1525</v>
      </c>
      <c r="L1180" s="2">
        <v>5</v>
      </c>
      <c r="M1180" s="10">
        <v>1359</v>
      </c>
      <c r="N1180" s="7">
        <v>6795</v>
      </c>
    </row>
    <row r="1181" spans="1:14" x14ac:dyDescent="0.3">
      <c r="A1181">
        <v>1179</v>
      </c>
      <c r="B1181" s="1">
        <v>45837</v>
      </c>
      <c r="C1181">
        <v>2025</v>
      </c>
      <c r="D1181">
        <v>6</v>
      </c>
      <c r="E1181" t="str">
        <f t="shared" si="18"/>
        <v>Juni</v>
      </c>
      <c r="F1181">
        <v>2</v>
      </c>
      <c r="G1181" t="s">
        <v>1532</v>
      </c>
      <c r="H1181" t="s">
        <v>1512</v>
      </c>
      <c r="I1181" t="s">
        <v>1521</v>
      </c>
      <c r="J1181" t="s">
        <v>1524</v>
      </c>
      <c r="K1181" t="s">
        <v>1514</v>
      </c>
      <c r="L1181" s="2">
        <v>1</v>
      </c>
      <c r="M1181" s="10">
        <v>14026</v>
      </c>
      <c r="N1181" s="7">
        <v>14026</v>
      </c>
    </row>
    <row r="1182" spans="1:14" x14ac:dyDescent="0.3">
      <c r="A1182">
        <v>1180</v>
      </c>
      <c r="B1182" s="1">
        <v>45838</v>
      </c>
      <c r="C1182">
        <v>2025</v>
      </c>
      <c r="D1182">
        <v>6</v>
      </c>
      <c r="E1182" t="str">
        <f t="shared" si="18"/>
        <v>Juni</v>
      </c>
      <c r="F1182">
        <v>2</v>
      </c>
      <c r="G1182" t="s">
        <v>1533</v>
      </c>
      <c r="H1182" t="s">
        <v>1520</v>
      </c>
      <c r="I1182" t="s">
        <v>1531</v>
      </c>
      <c r="J1182" t="s">
        <v>1517</v>
      </c>
      <c r="K1182" t="s">
        <v>1518</v>
      </c>
      <c r="L1182" s="2">
        <v>2</v>
      </c>
      <c r="M1182" s="10">
        <v>685</v>
      </c>
      <c r="N1182" s="7">
        <v>1370</v>
      </c>
    </row>
    <row r="1183" spans="1:14" x14ac:dyDescent="0.3">
      <c r="A1183">
        <v>1181</v>
      </c>
      <c r="B1183" s="1">
        <v>45839</v>
      </c>
      <c r="C1183">
        <v>2025</v>
      </c>
      <c r="D1183">
        <v>7</v>
      </c>
      <c r="E1183" t="str">
        <f t="shared" si="18"/>
        <v>Juli</v>
      </c>
      <c r="F1183">
        <v>3</v>
      </c>
      <c r="G1183" t="s">
        <v>1511</v>
      </c>
      <c r="H1183" t="s">
        <v>1512</v>
      </c>
      <c r="I1183" t="s">
        <v>1516</v>
      </c>
      <c r="J1183" t="s">
        <v>1524</v>
      </c>
      <c r="K1183" t="s">
        <v>1518</v>
      </c>
      <c r="L1183" s="2">
        <v>1</v>
      </c>
      <c r="M1183" s="10">
        <v>54311</v>
      </c>
      <c r="N1183" s="7">
        <v>54311</v>
      </c>
    </row>
    <row r="1184" spans="1:14" x14ac:dyDescent="0.3">
      <c r="A1184">
        <v>1182</v>
      </c>
      <c r="B1184" s="1">
        <v>45840</v>
      </c>
      <c r="C1184">
        <v>2025</v>
      </c>
      <c r="D1184">
        <v>7</v>
      </c>
      <c r="E1184" t="str">
        <f t="shared" si="18"/>
        <v>Juli</v>
      </c>
      <c r="F1184">
        <v>3</v>
      </c>
      <c r="G1184" t="s">
        <v>1515</v>
      </c>
      <c r="H1184" t="s">
        <v>1512</v>
      </c>
      <c r="I1184" t="s">
        <v>1521</v>
      </c>
      <c r="J1184" t="s">
        <v>1566</v>
      </c>
      <c r="K1184" t="s">
        <v>1514</v>
      </c>
      <c r="L1184" s="2">
        <v>2</v>
      </c>
      <c r="M1184" s="10">
        <v>1713</v>
      </c>
      <c r="N1184" s="7">
        <v>3426</v>
      </c>
    </row>
    <row r="1185" spans="1:14" x14ac:dyDescent="0.3">
      <c r="A1185">
        <v>1183</v>
      </c>
      <c r="B1185" s="1">
        <v>45841</v>
      </c>
      <c r="C1185">
        <v>2025</v>
      </c>
      <c r="D1185">
        <v>7</v>
      </c>
      <c r="E1185" t="str">
        <f t="shared" si="18"/>
        <v>Juli</v>
      </c>
      <c r="F1185">
        <v>3</v>
      </c>
      <c r="G1185" t="s">
        <v>1534</v>
      </c>
      <c r="H1185" t="s">
        <v>1530</v>
      </c>
      <c r="I1185" t="s">
        <v>1531</v>
      </c>
      <c r="J1185" t="s">
        <v>1524</v>
      </c>
      <c r="K1185" t="s">
        <v>1518</v>
      </c>
      <c r="L1185" s="2">
        <v>2</v>
      </c>
      <c r="M1185" s="10">
        <v>3204</v>
      </c>
      <c r="N1185" s="7">
        <v>6408</v>
      </c>
    </row>
    <row r="1186" spans="1:14" x14ac:dyDescent="0.3">
      <c r="A1186">
        <v>1184</v>
      </c>
      <c r="B1186" s="1">
        <v>45842</v>
      </c>
      <c r="C1186">
        <v>2025</v>
      </c>
      <c r="D1186">
        <v>7</v>
      </c>
      <c r="E1186" t="str">
        <f t="shared" si="18"/>
        <v>Juli</v>
      </c>
      <c r="F1186">
        <v>3</v>
      </c>
      <c r="G1186" t="s">
        <v>1519</v>
      </c>
      <c r="H1186" t="s">
        <v>1520</v>
      </c>
      <c r="I1186" t="s">
        <v>1531</v>
      </c>
      <c r="J1186" t="s">
        <v>1517</v>
      </c>
      <c r="K1186" t="s">
        <v>1518</v>
      </c>
      <c r="L1186" s="2">
        <v>5</v>
      </c>
      <c r="M1186" s="10">
        <v>18542</v>
      </c>
      <c r="N1186" s="7">
        <v>92710</v>
      </c>
    </row>
    <row r="1187" spans="1:14" x14ac:dyDescent="0.3">
      <c r="A1187">
        <v>1185</v>
      </c>
      <c r="B1187" s="1">
        <v>45843</v>
      </c>
      <c r="C1187">
        <v>2025</v>
      </c>
      <c r="D1187">
        <v>7</v>
      </c>
      <c r="E1187" t="str">
        <f t="shared" si="18"/>
        <v>Juli</v>
      </c>
      <c r="F1187">
        <v>3</v>
      </c>
      <c r="G1187" t="s">
        <v>1522</v>
      </c>
      <c r="H1187" t="s">
        <v>1520</v>
      </c>
      <c r="I1187" t="s">
        <v>1513</v>
      </c>
      <c r="J1187" t="s">
        <v>1566</v>
      </c>
      <c r="K1187" t="s">
        <v>1518</v>
      </c>
      <c r="L1187" s="2">
        <v>1</v>
      </c>
      <c r="M1187" s="10">
        <v>521</v>
      </c>
      <c r="N1187" s="7">
        <v>521</v>
      </c>
    </row>
    <row r="1188" spans="1:14" x14ac:dyDescent="0.3">
      <c r="A1188">
        <v>1186</v>
      </c>
      <c r="B1188" s="1">
        <v>45844</v>
      </c>
      <c r="C1188">
        <v>2025</v>
      </c>
      <c r="D1188">
        <v>7</v>
      </c>
      <c r="E1188" t="str">
        <f t="shared" si="18"/>
        <v>Juli</v>
      </c>
      <c r="F1188">
        <v>3</v>
      </c>
      <c r="G1188" t="s">
        <v>1523</v>
      </c>
      <c r="H1188" t="s">
        <v>1512</v>
      </c>
      <c r="I1188" t="s">
        <v>1531</v>
      </c>
      <c r="J1188" t="s">
        <v>1566</v>
      </c>
      <c r="K1188" t="s">
        <v>1518</v>
      </c>
      <c r="L1188" s="2">
        <v>1</v>
      </c>
      <c r="M1188" s="10">
        <v>13218</v>
      </c>
      <c r="N1188" s="7">
        <v>13218</v>
      </c>
    </row>
    <row r="1189" spans="1:14" x14ac:dyDescent="0.3">
      <c r="A1189">
        <v>1187</v>
      </c>
      <c r="B1189" s="1">
        <v>45845</v>
      </c>
      <c r="C1189">
        <v>2025</v>
      </c>
      <c r="D1189">
        <v>7</v>
      </c>
      <c r="E1189" t="str">
        <f t="shared" si="18"/>
        <v>Juli</v>
      </c>
      <c r="F1189">
        <v>3</v>
      </c>
      <c r="G1189" t="s">
        <v>1526</v>
      </c>
      <c r="H1189" t="s">
        <v>1527</v>
      </c>
      <c r="I1189" t="s">
        <v>1521</v>
      </c>
      <c r="J1189" t="s">
        <v>1517</v>
      </c>
      <c r="K1189" t="s">
        <v>1518</v>
      </c>
      <c r="L1189" s="2">
        <v>2</v>
      </c>
      <c r="M1189" s="10">
        <v>248</v>
      </c>
      <c r="N1189" s="7">
        <v>496</v>
      </c>
    </row>
    <row r="1190" spans="1:14" x14ac:dyDescent="0.3">
      <c r="A1190">
        <v>1188</v>
      </c>
      <c r="B1190" s="1">
        <v>45846</v>
      </c>
      <c r="C1190">
        <v>2025</v>
      </c>
      <c r="D1190">
        <v>7</v>
      </c>
      <c r="E1190" t="str">
        <f t="shared" si="18"/>
        <v>Juli</v>
      </c>
      <c r="F1190">
        <v>3</v>
      </c>
      <c r="G1190" t="s">
        <v>1529</v>
      </c>
      <c r="H1190" t="s">
        <v>1530</v>
      </c>
      <c r="I1190" t="s">
        <v>1521</v>
      </c>
      <c r="J1190" t="s">
        <v>1524</v>
      </c>
      <c r="K1190" t="s">
        <v>1525</v>
      </c>
      <c r="L1190" s="2">
        <v>4</v>
      </c>
      <c r="M1190" s="10">
        <v>1353</v>
      </c>
      <c r="N1190" s="7">
        <v>5412</v>
      </c>
    </row>
    <row r="1191" spans="1:14" x14ac:dyDescent="0.3">
      <c r="A1191">
        <v>1189</v>
      </c>
      <c r="B1191" s="1">
        <v>45847</v>
      </c>
      <c r="C1191">
        <v>2025</v>
      </c>
      <c r="D1191">
        <v>7</v>
      </c>
      <c r="E1191" t="str">
        <f t="shared" si="18"/>
        <v>Juli</v>
      </c>
      <c r="F1191">
        <v>3</v>
      </c>
      <c r="G1191" t="s">
        <v>1532</v>
      </c>
      <c r="H1191" t="s">
        <v>1512</v>
      </c>
      <c r="I1191" t="s">
        <v>1513</v>
      </c>
      <c r="J1191" t="s">
        <v>1517</v>
      </c>
      <c r="K1191" t="s">
        <v>1525</v>
      </c>
      <c r="L1191" s="2">
        <v>2</v>
      </c>
      <c r="M1191" s="10">
        <v>13462</v>
      </c>
      <c r="N1191" s="7">
        <v>26924</v>
      </c>
    </row>
    <row r="1192" spans="1:14" x14ac:dyDescent="0.3">
      <c r="A1192">
        <v>1190</v>
      </c>
      <c r="B1192" s="1">
        <v>45848</v>
      </c>
      <c r="C1192">
        <v>2025</v>
      </c>
      <c r="D1192">
        <v>7</v>
      </c>
      <c r="E1192" t="str">
        <f t="shared" si="18"/>
        <v>Juli</v>
      </c>
      <c r="F1192">
        <v>3</v>
      </c>
      <c r="G1192" t="s">
        <v>1533</v>
      </c>
      <c r="H1192" t="s">
        <v>1520</v>
      </c>
      <c r="I1192" t="s">
        <v>1531</v>
      </c>
      <c r="J1192" t="s">
        <v>1517</v>
      </c>
      <c r="K1192" t="s">
        <v>1514</v>
      </c>
      <c r="L1192" s="2">
        <v>5</v>
      </c>
      <c r="M1192" s="10">
        <v>404</v>
      </c>
      <c r="N1192" s="7">
        <v>2020</v>
      </c>
    </row>
    <row r="1193" spans="1:14" x14ac:dyDescent="0.3">
      <c r="A1193">
        <v>1191</v>
      </c>
      <c r="B1193" s="1">
        <v>45849</v>
      </c>
      <c r="C1193">
        <v>2025</v>
      </c>
      <c r="D1193">
        <v>7</v>
      </c>
      <c r="E1193" t="str">
        <f t="shared" si="18"/>
        <v>Juli</v>
      </c>
      <c r="F1193">
        <v>3</v>
      </c>
      <c r="G1193" t="s">
        <v>1511</v>
      </c>
      <c r="H1193" t="s">
        <v>1512</v>
      </c>
      <c r="I1193" t="s">
        <v>1528</v>
      </c>
      <c r="J1193" t="s">
        <v>1517</v>
      </c>
      <c r="K1193" t="s">
        <v>1525</v>
      </c>
      <c r="L1193" s="2">
        <v>1</v>
      </c>
      <c r="M1193" s="10">
        <v>59800</v>
      </c>
      <c r="N1193" s="7">
        <v>59800</v>
      </c>
    </row>
    <row r="1194" spans="1:14" x14ac:dyDescent="0.3">
      <c r="A1194">
        <v>1192</v>
      </c>
      <c r="B1194" s="1">
        <v>45850</v>
      </c>
      <c r="C1194">
        <v>2025</v>
      </c>
      <c r="D1194">
        <v>7</v>
      </c>
      <c r="E1194" t="str">
        <f t="shared" si="18"/>
        <v>Juli</v>
      </c>
      <c r="F1194">
        <v>3</v>
      </c>
      <c r="G1194" t="s">
        <v>1515</v>
      </c>
      <c r="H1194" t="s">
        <v>1512</v>
      </c>
      <c r="I1194" t="s">
        <v>1516</v>
      </c>
      <c r="J1194" t="s">
        <v>1524</v>
      </c>
      <c r="K1194" t="s">
        <v>1518</v>
      </c>
      <c r="L1194" s="2">
        <v>2</v>
      </c>
      <c r="M1194" s="10">
        <v>2639</v>
      </c>
      <c r="N1194" s="7">
        <v>5278</v>
      </c>
    </row>
    <row r="1195" spans="1:14" x14ac:dyDescent="0.3">
      <c r="A1195">
        <v>1193</v>
      </c>
      <c r="B1195" s="1">
        <v>45851</v>
      </c>
      <c r="C1195">
        <v>2025</v>
      </c>
      <c r="D1195">
        <v>7</v>
      </c>
      <c r="E1195" t="str">
        <f t="shared" si="18"/>
        <v>Juli</v>
      </c>
      <c r="F1195">
        <v>3</v>
      </c>
      <c r="G1195" t="s">
        <v>1534</v>
      </c>
      <c r="H1195" t="s">
        <v>1530</v>
      </c>
      <c r="I1195" t="s">
        <v>1535</v>
      </c>
      <c r="J1195" t="s">
        <v>1566</v>
      </c>
      <c r="K1195" t="s">
        <v>1518</v>
      </c>
      <c r="L1195" s="2">
        <v>1</v>
      </c>
      <c r="M1195" s="10">
        <v>2167</v>
      </c>
      <c r="N1195" s="7">
        <v>2167</v>
      </c>
    </row>
    <row r="1196" spans="1:14" x14ac:dyDescent="0.3">
      <c r="A1196">
        <v>1194</v>
      </c>
      <c r="B1196" s="1">
        <v>45852</v>
      </c>
      <c r="C1196">
        <v>2025</v>
      </c>
      <c r="D1196">
        <v>7</v>
      </c>
      <c r="E1196" t="str">
        <f t="shared" si="18"/>
        <v>Juli</v>
      </c>
      <c r="F1196">
        <v>3</v>
      </c>
      <c r="G1196" t="s">
        <v>1519</v>
      </c>
      <c r="H1196" t="s">
        <v>1520</v>
      </c>
      <c r="I1196" t="s">
        <v>1513</v>
      </c>
      <c r="J1196" t="s">
        <v>1524</v>
      </c>
      <c r="K1196" t="s">
        <v>1514</v>
      </c>
      <c r="L1196" s="2">
        <v>3</v>
      </c>
      <c r="M1196" s="10">
        <v>8179</v>
      </c>
      <c r="N1196" s="7">
        <v>24537</v>
      </c>
    </row>
    <row r="1197" spans="1:14" x14ac:dyDescent="0.3">
      <c r="A1197">
        <v>1195</v>
      </c>
      <c r="B1197" s="1">
        <v>45853</v>
      </c>
      <c r="C1197">
        <v>2025</v>
      </c>
      <c r="D1197">
        <v>7</v>
      </c>
      <c r="E1197" t="str">
        <f t="shared" si="18"/>
        <v>Juli</v>
      </c>
      <c r="F1197">
        <v>3</v>
      </c>
      <c r="G1197" t="s">
        <v>1522</v>
      </c>
      <c r="H1197" t="s">
        <v>1520</v>
      </c>
      <c r="I1197" t="s">
        <v>1531</v>
      </c>
      <c r="J1197" t="s">
        <v>1566</v>
      </c>
      <c r="K1197" t="s">
        <v>1514</v>
      </c>
      <c r="L1197" s="2">
        <v>1</v>
      </c>
      <c r="M1197" s="10">
        <v>374</v>
      </c>
      <c r="N1197" s="7">
        <v>374</v>
      </c>
    </row>
    <row r="1198" spans="1:14" x14ac:dyDescent="0.3">
      <c r="A1198">
        <v>1196</v>
      </c>
      <c r="B1198" s="1">
        <v>45854</v>
      </c>
      <c r="C1198">
        <v>2025</v>
      </c>
      <c r="D1198">
        <v>7</v>
      </c>
      <c r="E1198" t="str">
        <f t="shared" si="18"/>
        <v>Juli</v>
      </c>
      <c r="F1198">
        <v>3</v>
      </c>
      <c r="G1198" t="s">
        <v>1523</v>
      </c>
      <c r="H1198" t="s">
        <v>1512</v>
      </c>
      <c r="I1198" t="s">
        <v>1521</v>
      </c>
      <c r="J1198" t="s">
        <v>1566</v>
      </c>
      <c r="K1198" t="s">
        <v>1525</v>
      </c>
      <c r="L1198" s="2">
        <v>1</v>
      </c>
      <c r="M1198" s="10">
        <v>36595</v>
      </c>
      <c r="N1198" s="7">
        <v>36595</v>
      </c>
    </row>
    <row r="1199" spans="1:14" x14ac:dyDescent="0.3">
      <c r="A1199">
        <v>1197</v>
      </c>
      <c r="B1199" s="1">
        <v>45855</v>
      </c>
      <c r="C1199">
        <v>2025</v>
      </c>
      <c r="D1199">
        <v>7</v>
      </c>
      <c r="E1199" t="str">
        <f t="shared" si="18"/>
        <v>Juli</v>
      </c>
      <c r="F1199">
        <v>3</v>
      </c>
      <c r="G1199" t="s">
        <v>1526</v>
      </c>
      <c r="H1199" t="s">
        <v>1527</v>
      </c>
      <c r="I1199" t="s">
        <v>1528</v>
      </c>
      <c r="J1199" t="s">
        <v>1517</v>
      </c>
      <c r="K1199" t="s">
        <v>1518</v>
      </c>
      <c r="L1199" s="2">
        <v>5</v>
      </c>
      <c r="M1199" s="10">
        <v>570</v>
      </c>
      <c r="N1199" s="7">
        <v>2850</v>
      </c>
    </row>
    <row r="1200" spans="1:14" x14ac:dyDescent="0.3">
      <c r="A1200">
        <v>1198</v>
      </c>
      <c r="B1200" s="1">
        <v>45856</v>
      </c>
      <c r="C1200">
        <v>2025</v>
      </c>
      <c r="D1200">
        <v>7</v>
      </c>
      <c r="E1200" t="str">
        <f t="shared" si="18"/>
        <v>Juli</v>
      </c>
      <c r="F1200">
        <v>3</v>
      </c>
      <c r="G1200" t="s">
        <v>1529</v>
      </c>
      <c r="H1200" t="s">
        <v>1530</v>
      </c>
      <c r="I1200" t="s">
        <v>1528</v>
      </c>
      <c r="J1200" t="s">
        <v>1517</v>
      </c>
      <c r="K1200" t="s">
        <v>1525</v>
      </c>
      <c r="L1200" s="2">
        <v>3</v>
      </c>
      <c r="M1200" s="10">
        <v>1005</v>
      </c>
      <c r="N1200" s="7">
        <v>3015</v>
      </c>
    </row>
    <row r="1201" spans="1:14" x14ac:dyDescent="0.3">
      <c r="A1201">
        <v>1199</v>
      </c>
      <c r="B1201" s="1">
        <v>45857</v>
      </c>
      <c r="C1201">
        <v>2025</v>
      </c>
      <c r="D1201">
        <v>7</v>
      </c>
      <c r="E1201" t="str">
        <f t="shared" si="18"/>
        <v>Juli</v>
      </c>
      <c r="F1201">
        <v>3</v>
      </c>
      <c r="G1201" t="s">
        <v>1532</v>
      </c>
      <c r="H1201" t="s">
        <v>1512</v>
      </c>
      <c r="I1201" t="s">
        <v>1516</v>
      </c>
      <c r="J1201" t="s">
        <v>1517</v>
      </c>
      <c r="K1201" t="s">
        <v>1514</v>
      </c>
      <c r="L1201" s="2">
        <v>2</v>
      </c>
      <c r="M1201" s="10">
        <v>14435</v>
      </c>
      <c r="N1201" s="7">
        <v>28870</v>
      </c>
    </row>
    <row r="1202" spans="1:14" x14ac:dyDescent="0.3">
      <c r="A1202">
        <v>1200</v>
      </c>
      <c r="B1202" s="1">
        <v>45858</v>
      </c>
      <c r="C1202">
        <v>2025</v>
      </c>
      <c r="D1202">
        <v>7</v>
      </c>
      <c r="E1202" t="str">
        <f t="shared" si="18"/>
        <v>Juli</v>
      </c>
      <c r="F1202">
        <v>3</v>
      </c>
      <c r="G1202" t="s">
        <v>1533</v>
      </c>
      <c r="H1202" t="s">
        <v>1520</v>
      </c>
      <c r="I1202" t="s">
        <v>1531</v>
      </c>
      <c r="J1202" t="s">
        <v>1524</v>
      </c>
      <c r="K1202" t="s">
        <v>1514</v>
      </c>
      <c r="L1202" s="2">
        <v>5</v>
      </c>
      <c r="M1202" s="10">
        <v>351</v>
      </c>
      <c r="N1202" s="7">
        <v>1755</v>
      </c>
    </row>
    <row r="1203" spans="1:14" x14ac:dyDescent="0.3">
      <c r="A1203">
        <v>1201</v>
      </c>
      <c r="B1203" s="1">
        <v>45859</v>
      </c>
      <c r="C1203">
        <v>2025</v>
      </c>
      <c r="D1203">
        <v>7</v>
      </c>
      <c r="E1203" t="str">
        <f t="shared" si="18"/>
        <v>Juli</v>
      </c>
      <c r="F1203">
        <v>3</v>
      </c>
      <c r="G1203" t="s">
        <v>1511</v>
      </c>
      <c r="H1203" t="s">
        <v>1512</v>
      </c>
      <c r="I1203" t="s">
        <v>1521</v>
      </c>
      <c r="J1203" t="s">
        <v>1566</v>
      </c>
      <c r="K1203" t="s">
        <v>1525</v>
      </c>
      <c r="L1203" s="2">
        <v>2</v>
      </c>
      <c r="M1203" s="10">
        <v>60581</v>
      </c>
      <c r="N1203" s="7">
        <v>121162</v>
      </c>
    </row>
    <row r="1204" spans="1:14" x14ac:dyDescent="0.3">
      <c r="A1204">
        <v>1202</v>
      </c>
      <c r="B1204" s="1">
        <v>45860</v>
      </c>
      <c r="C1204">
        <v>2025</v>
      </c>
      <c r="D1204">
        <v>7</v>
      </c>
      <c r="E1204" t="str">
        <f t="shared" si="18"/>
        <v>Juli</v>
      </c>
      <c r="F1204">
        <v>3</v>
      </c>
      <c r="G1204" t="s">
        <v>1515</v>
      </c>
      <c r="H1204" t="s">
        <v>1512</v>
      </c>
      <c r="I1204" t="s">
        <v>1535</v>
      </c>
      <c r="J1204" t="s">
        <v>1524</v>
      </c>
      <c r="K1204" t="s">
        <v>1525</v>
      </c>
      <c r="L1204" s="2">
        <v>1</v>
      </c>
      <c r="M1204" s="10">
        <v>2742</v>
      </c>
      <c r="N1204" s="7">
        <v>2742</v>
      </c>
    </row>
    <row r="1205" spans="1:14" x14ac:dyDescent="0.3">
      <c r="A1205">
        <v>1203</v>
      </c>
      <c r="B1205" s="1">
        <v>45861</v>
      </c>
      <c r="C1205">
        <v>2025</v>
      </c>
      <c r="D1205">
        <v>7</v>
      </c>
      <c r="E1205" t="str">
        <f t="shared" si="18"/>
        <v>Juli</v>
      </c>
      <c r="F1205">
        <v>3</v>
      </c>
      <c r="G1205" t="s">
        <v>1534</v>
      </c>
      <c r="H1205" t="s">
        <v>1530</v>
      </c>
      <c r="I1205" t="s">
        <v>1528</v>
      </c>
      <c r="J1205" t="s">
        <v>1566</v>
      </c>
      <c r="K1205" t="s">
        <v>1514</v>
      </c>
      <c r="L1205" s="2">
        <v>3</v>
      </c>
      <c r="M1205" s="10">
        <v>3576</v>
      </c>
      <c r="N1205" s="7">
        <v>10728</v>
      </c>
    </row>
    <row r="1206" spans="1:14" x14ac:dyDescent="0.3">
      <c r="A1206">
        <v>1204</v>
      </c>
      <c r="B1206" s="1">
        <v>45862</v>
      </c>
      <c r="C1206">
        <v>2025</v>
      </c>
      <c r="D1206">
        <v>7</v>
      </c>
      <c r="E1206" t="str">
        <f t="shared" si="18"/>
        <v>Juli</v>
      </c>
      <c r="F1206">
        <v>3</v>
      </c>
      <c r="G1206" t="s">
        <v>1519</v>
      </c>
      <c r="H1206" t="s">
        <v>1520</v>
      </c>
      <c r="I1206" t="s">
        <v>1513</v>
      </c>
      <c r="J1206" t="s">
        <v>1517</v>
      </c>
      <c r="K1206" t="s">
        <v>1514</v>
      </c>
      <c r="L1206" s="2">
        <v>4</v>
      </c>
      <c r="M1206" s="10">
        <v>15524</v>
      </c>
      <c r="N1206" s="7">
        <v>62096</v>
      </c>
    </row>
    <row r="1207" spans="1:14" x14ac:dyDescent="0.3">
      <c r="A1207">
        <v>1205</v>
      </c>
      <c r="B1207" s="1">
        <v>45863</v>
      </c>
      <c r="C1207">
        <v>2025</v>
      </c>
      <c r="D1207">
        <v>7</v>
      </c>
      <c r="E1207" t="str">
        <f t="shared" si="18"/>
        <v>Juli</v>
      </c>
      <c r="F1207">
        <v>3</v>
      </c>
      <c r="G1207" t="s">
        <v>1522</v>
      </c>
      <c r="H1207" t="s">
        <v>1520</v>
      </c>
      <c r="I1207" t="s">
        <v>1521</v>
      </c>
      <c r="J1207" t="s">
        <v>1517</v>
      </c>
      <c r="K1207" t="s">
        <v>1518</v>
      </c>
      <c r="L1207" s="2">
        <v>3</v>
      </c>
      <c r="M1207" s="10">
        <v>973</v>
      </c>
      <c r="N1207" s="7">
        <v>2919</v>
      </c>
    </row>
    <row r="1208" spans="1:14" x14ac:dyDescent="0.3">
      <c r="A1208">
        <v>1206</v>
      </c>
      <c r="B1208" s="1">
        <v>45864</v>
      </c>
      <c r="C1208">
        <v>2025</v>
      </c>
      <c r="D1208">
        <v>7</v>
      </c>
      <c r="E1208" t="str">
        <f t="shared" si="18"/>
        <v>Juli</v>
      </c>
      <c r="F1208">
        <v>3</v>
      </c>
      <c r="G1208" t="s">
        <v>1523</v>
      </c>
      <c r="H1208" t="s">
        <v>1512</v>
      </c>
      <c r="I1208" t="s">
        <v>1521</v>
      </c>
      <c r="J1208" t="s">
        <v>1566</v>
      </c>
      <c r="K1208" t="s">
        <v>1518</v>
      </c>
      <c r="L1208" s="2">
        <v>2</v>
      </c>
      <c r="M1208" s="10">
        <v>19223</v>
      </c>
      <c r="N1208" s="7">
        <v>38446</v>
      </c>
    </row>
    <row r="1209" spans="1:14" x14ac:dyDescent="0.3">
      <c r="A1209">
        <v>1207</v>
      </c>
      <c r="B1209" s="1">
        <v>45865</v>
      </c>
      <c r="C1209">
        <v>2025</v>
      </c>
      <c r="D1209">
        <v>7</v>
      </c>
      <c r="E1209" t="str">
        <f t="shared" si="18"/>
        <v>Juli</v>
      </c>
      <c r="F1209">
        <v>3</v>
      </c>
      <c r="G1209" t="s">
        <v>1526</v>
      </c>
      <c r="H1209" t="s">
        <v>1527</v>
      </c>
      <c r="I1209" t="s">
        <v>1535</v>
      </c>
      <c r="J1209" t="s">
        <v>1524</v>
      </c>
      <c r="K1209" t="s">
        <v>1514</v>
      </c>
      <c r="L1209" s="2">
        <v>3</v>
      </c>
      <c r="M1209" s="10">
        <v>197</v>
      </c>
      <c r="N1209" s="7">
        <v>591</v>
      </c>
    </row>
    <row r="1210" spans="1:14" x14ac:dyDescent="0.3">
      <c r="A1210">
        <v>1208</v>
      </c>
      <c r="B1210" s="1">
        <v>45866</v>
      </c>
      <c r="C1210">
        <v>2025</v>
      </c>
      <c r="D1210">
        <v>7</v>
      </c>
      <c r="E1210" t="str">
        <f t="shared" si="18"/>
        <v>Juli</v>
      </c>
      <c r="F1210">
        <v>3</v>
      </c>
      <c r="G1210" t="s">
        <v>1529</v>
      </c>
      <c r="H1210" t="s">
        <v>1530</v>
      </c>
      <c r="I1210" t="s">
        <v>1513</v>
      </c>
      <c r="J1210" t="s">
        <v>1524</v>
      </c>
      <c r="K1210" t="s">
        <v>1518</v>
      </c>
      <c r="L1210" s="2">
        <v>4</v>
      </c>
      <c r="M1210" s="10">
        <v>1862</v>
      </c>
      <c r="N1210" s="7">
        <v>7448</v>
      </c>
    </row>
    <row r="1211" spans="1:14" x14ac:dyDescent="0.3">
      <c r="A1211">
        <v>1209</v>
      </c>
      <c r="B1211" s="1">
        <v>45867</v>
      </c>
      <c r="C1211">
        <v>2025</v>
      </c>
      <c r="D1211">
        <v>7</v>
      </c>
      <c r="E1211" t="str">
        <f t="shared" si="18"/>
        <v>Juli</v>
      </c>
      <c r="F1211">
        <v>3</v>
      </c>
      <c r="G1211" t="s">
        <v>1532</v>
      </c>
      <c r="H1211" t="s">
        <v>1512</v>
      </c>
      <c r="I1211" t="s">
        <v>1531</v>
      </c>
      <c r="J1211" t="s">
        <v>1524</v>
      </c>
      <c r="K1211" t="s">
        <v>1525</v>
      </c>
      <c r="L1211" s="2">
        <v>2</v>
      </c>
      <c r="M1211" s="10">
        <v>7732</v>
      </c>
      <c r="N1211" s="7">
        <v>15464</v>
      </c>
    </row>
    <row r="1212" spans="1:14" x14ac:dyDescent="0.3">
      <c r="A1212">
        <v>1210</v>
      </c>
      <c r="B1212" s="1">
        <v>45868</v>
      </c>
      <c r="C1212">
        <v>2025</v>
      </c>
      <c r="D1212">
        <v>7</v>
      </c>
      <c r="E1212" t="str">
        <f t="shared" si="18"/>
        <v>Juli</v>
      </c>
      <c r="F1212">
        <v>3</v>
      </c>
      <c r="G1212" t="s">
        <v>1533</v>
      </c>
      <c r="H1212" t="s">
        <v>1520</v>
      </c>
      <c r="I1212" t="s">
        <v>1535</v>
      </c>
      <c r="J1212" t="s">
        <v>1566</v>
      </c>
      <c r="K1212" t="s">
        <v>1525</v>
      </c>
      <c r="L1212" s="2">
        <v>3</v>
      </c>
      <c r="M1212" s="10">
        <v>508</v>
      </c>
      <c r="N1212" s="7">
        <v>1524</v>
      </c>
    </row>
    <row r="1213" spans="1:14" x14ac:dyDescent="0.3">
      <c r="A1213">
        <v>1211</v>
      </c>
      <c r="B1213" s="1">
        <v>45869</v>
      </c>
      <c r="C1213">
        <v>2025</v>
      </c>
      <c r="D1213">
        <v>7</v>
      </c>
      <c r="E1213" t="str">
        <f t="shared" si="18"/>
        <v>Juli</v>
      </c>
      <c r="F1213">
        <v>3</v>
      </c>
      <c r="G1213" t="s">
        <v>1511</v>
      </c>
      <c r="H1213" t="s">
        <v>1512</v>
      </c>
      <c r="I1213" t="s">
        <v>1521</v>
      </c>
      <c r="J1213" t="s">
        <v>1566</v>
      </c>
      <c r="K1213" t="s">
        <v>1525</v>
      </c>
      <c r="L1213" s="2">
        <v>1</v>
      </c>
      <c r="M1213" s="10">
        <v>55970</v>
      </c>
      <c r="N1213" s="7">
        <v>55970</v>
      </c>
    </row>
    <row r="1214" spans="1:14" x14ac:dyDescent="0.3">
      <c r="A1214">
        <v>1212</v>
      </c>
      <c r="B1214" s="1">
        <v>45870</v>
      </c>
      <c r="C1214">
        <v>2025</v>
      </c>
      <c r="D1214">
        <v>8</v>
      </c>
      <c r="E1214" t="str">
        <f t="shared" si="18"/>
        <v>Agustus</v>
      </c>
      <c r="F1214">
        <v>3</v>
      </c>
      <c r="G1214" t="s">
        <v>1515</v>
      </c>
      <c r="H1214" t="s">
        <v>1512</v>
      </c>
      <c r="I1214" t="s">
        <v>1528</v>
      </c>
      <c r="J1214" t="s">
        <v>1524</v>
      </c>
      <c r="K1214" t="s">
        <v>1525</v>
      </c>
      <c r="L1214" s="2">
        <v>2</v>
      </c>
      <c r="M1214" s="10">
        <v>2129</v>
      </c>
      <c r="N1214" s="7">
        <v>4258</v>
      </c>
    </row>
    <row r="1215" spans="1:14" x14ac:dyDescent="0.3">
      <c r="A1215">
        <v>1213</v>
      </c>
      <c r="B1215" s="1">
        <v>45871</v>
      </c>
      <c r="C1215">
        <v>2025</v>
      </c>
      <c r="D1215">
        <v>8</v>
      </c>
      <c r="E1215" t="str">
        <f t="shared" si="18"/>
        <v>Agustus</v>
      </c>
      <c r="F1215">
        <v>3</v>
      </c>
      <c r="G1215" t="s">
        <v>1534</v>
      </c>
      <c r="H1215" t="s">
        <v>1530</v>
      </c>
      <c r="I1215" t="s">
        <v>1521</v>
      </c>
      <c r="J1215" t="s">
        <v>1566</v>
      </c>
      <c r="K1215" t="s">
        <v>1518</v>
      </c>
      <c r="L1215" s="2">
        <v>3</v>
      </c>
      <c r="M1215" s="10">
        <v>2280</v>
      </c>
      <c r="N1215" s="7">
        <v>6840</v>
      </c>
    </row>
    <row r="1216" spans="1:14" x14ac:dyDescent="0.3">
      <c r="A1216">
        <v>1214</v>
      </c>
      <c r="B1216" s="1">
        <v>45872</v>
      </c>
      <c r="C1216">
        <v>2025</v>
      </c>
      <c r="D1216">
        <v>8</v>
      </c>
      <c r="E1216" t="str">
        <f t="shared" si="18"/>
        <v>Agustus</v>
      </c>
      <c r="F1216">
        <v>3</v>
      </c>
      <c r="G1216" t="s">
        <v>1519</v>
      </c>
      <c r="H1216" t="s">
        <v>1520</v>
      </c>
      <c r="I1216" t="s">
        <v>1516</v>
      </c>
      <c r="J1216" t="s">
        <v>1566</v>
      </c>
      <c r="K1216" t="s">
        <v>1514</v>
      </c>
      <c r="L1216" s="2">
        <v>1</v>
      </c>
      <c r="M1216" s="10">
        <v>2260</v>
      </c>
      <c r="N1216" s="7">
        <v>2260</v>
      </c>
    </row>
    <row r="1217" spans="1:14" x14ac:dyDescent="0.3">
      <c r="A1217">
        <v>1215</v>
      </c>
      <c r="B1217" s="1">
        <v>45873</v>
      </c>
      <c r="C1217">
        <v>2025</v>
      </c>
      <c r="D1217">
        <v>8</v>
      </c>
      <c r="E1217" t="str">
        <f t="shared" si="18"/>
        <v>Agustus</v>
      </c>
      <c r="F1217">
        <v>3</v>
      </c>
      <c r="G1217" t="s">
        <v>1522</v>
      </c>
      <c r="H1217" t="s">
        <v>1520</v>
      </c>
      <c r="I1217" t="s">
        <v>1528</v>
      </c>
      <c r="J1217" t="s">
        <v>1566</v>
      </c>
      <c r="K1217" t="s">
        <v>1518</v>
      </c>
      <c r="L1217" s="2">
        <v>4</v>
      </c>
      <c r="M1217" s="10">
        <v>962</v>
      </c>
      <c r="N1217" s="7">
        <v>3848</v>
      </c>
    </row>
    <row r="1218" spans="1:14" x14ac:dyDescent="0.3">
      <c r="A1218">
        <v>1216</v>
      </c>
      <c r="B1218" s="1">
        <v>45874</v>
      </c>
      <c r="C1218">
        <v>2025</v>
      </c>
      <c r="D1218">
        <v>8</v>
      </c>
      <c r="E1218" t="str">
        <f t="shared" si="18"/>
        <v>Agustus</v>
      </c>
      <c r="F1218">
        <v>3</v>
      </c>
      <c r="G1218" t="s">
        <v>1523</v>
      </c>
      <c r="H1218" t="s">
        <v>1512</v>
      </c>
      <c r="I1218" t="s">
        <v>1531</v>
      </c>
      <c r="J1218" t="s">
        <v>1524</v>
      </c>
      <c r="K1218" t="s">
        <v>1514</v>
      </c>
      <c r="L1218" s="2">
        <v>2</v>
      </c>
      <c r="M1218" s="10">
        <v>12775</v>
      </c>
      <c r="N1218" s="7">
        <v>25550</v>
      </c>
    </row>
    <row r="1219" spans="1:14" x14ac:dyDescent="0.3">
      <c r="A1219">
        <v>1217</v>
      </c>
      <c r="B1219" s="1">
        <v>45875</v>
      </c>
      <c r="C1219">
        <v>2025</v>
      </c>
      <c r="D1219">
        <v>8</v>
      </c>
      <c r="E1219" t="str">
        <f t="shared" ref="E1219:E1282" si="19">TEXT(DATE(2026, D1219, 1), "[$-id-ID]mmmm")</f>
        <v>Agustus</v>
      </c>
      <c r="F1219">
        <v>3</v>
      </c>
      <c r="G1219" t="s">
        <v>1526</v>
      </c>
      <c r="H1219" t="s">
        <v>1527</v>
      </c>
      <c r="I1219" t="s">
        <v>1513</v>
      </c>
      <c r="J1219" t="s">
        <v>1517</v>
      </c>
      <c r="K1219" t="s">
        <v>1525</v>
      </c>
      <c r="L1219" s="2">
        <v>2</v>
      </c>
      <c r="M1219" s="10">
        <v>685</v>
      </c>
      <c r="N1219" s="7">
        <v>1370</v>
      </c>
    </row>
    <row r="1220" spans="1:14" x14ac:dyDescent="0.3">
      <c r="A1220">
        <v>1218</v>
      </c>
      <c r="B1220" s="1">
        <v>45876</v>
      </c>
      <c r="C1220">
        <v>2025</v>
      </c>
      <c r="D1220">
        <v>8</v>
      </c>
      <c r="E1220" t="str">
        <f t="shared" si="19"/>
        <v>Agustus</v>
      </c>
      <c r="F1220">
        <v>3</v>
      </c>
      <c r="G1220" t="s">
        <v>1529</v>
      </c>
      <c r="H1220" t="s">
        <v>1530</v>
      </c>
      <c r="I1220" t="s">
        <v>1535</v>
      </c>
      <c r="J1220" t="s">
        <v>1517</v>
      </c>
      <c r="K1220" t="s">
        <v>1525</v>
      </c>
      <c r="L1220" s="2">
        <v>4</v>
      </c>
      <c r="M1220" s="10">
        <v>1218</v>
      </c>
      <c r="N1220" s="7">
        <v>4872</v>
      </c>
    </row>
    <row r="1221" spans="1:14" x14ac:dyDescent="0.3">
      <c r="A1221">
        <v>1219</v>
      </c>
      <c r="B1221" s="1">
        <v>45877</v>
      </c>
      <c r="C1221">
        <v>2025</v>
      </c>
      <c r="D1221">
        <v>8</v>
      </c>
      <c r="E1221" t="str">
        <f t="shared" si="19"/>
        <v>Agustus</v>
      </c>
      <c r="F1221">
        <v>3</v>
      </c>
      <c r="G1221" t="s">
        <v>1532</v>
      </c>
      <c r="H1221" t="s">
        <v>1512</v>
      </c>
      <c r="I1221" t="s">
        <v>1521</v>
      </c>
      <c r="J1221" t="s">
        <v>1566</v>
      </c>
      <c r="K1221" t="s">
        <v>1514</v>
      </c>
      <c r="L1221" s="2">
        <v>1</v>
      </c>
      <c r="M1221" s="10">
        <v>4031</v>
      </c>
      <c r="N1221" s="7">
        <v>4031</v>
      </c>
    </row>
    <row r="1222" spans="1:14" x14ac:dyDescent="0.3">
      <c r="A1222">
        <v>1220</v>
      </c>
      <c r="B1222" s="1">
        <v>45878</v>
      </c>
      <c r="C1222">
        <v>2025</v>
      </c>
      <c r="D1222">
        <v>8</v>
      </c>
      <c r="E1222" t="str">
        <f t="shared" si="19"/>
        <v>Agustus</v>
      </c>
      <c r="F1222">
        <v>3</v>
      </c>
      <c r="G1222" t="s">
        <v>1533</v>
      </c>
      <c r="H1222" t="s">
        <v>1520</v>
      </c>
      <c r="I1222" t="s">
        <v>1531</v>
      </c>
      <c r="J1222" t="s">
        <v>1566</v>
      </c>
      <c r="K1222" t="s">
        <v>1514</v>
      </c>
      <c r="L1222" s="2">
        <v>2</v>
      </c>
      <c r="M1222" s="10">
        <v>140</v>
      </c>
      <c r="N1222" s="7">
        <v>280</v>
      </c>
    </row>
    <row r="1223" spans="1:14" x14ac:dyDescent="0.3">
      <c r="A1223">
        <v>1221</v>
      </c>
      <c r="B1223" s="1">
        <v>45879</v>
      </c>
      <c r="C1223">
        <v>2025</v>
      </c>
      <c r="D1223">
        <v>8</v>
      </c>
      <c r="E1223" t="str">
        <f t="shared" si="19"/>
        <v>Agustus</v>
      </c>
      <c r="F1223">
        <v>3</v>
      </c>
      <c r="G1223" t="s">
        <v>1511</v>
      </c>
      <c r="H1223" t="s">
        <v>1512</v>
      </c>
      <c r="I1223" t="s">
        <v>1528</v>
      </c>
      <c r="J1223" t="s">
        <v>1524</v>
      </c>
      <c r="K1223" t="s">
        <v>1525</v>
      </c>
      <c r="L1223" s="2">
        <v>2</v>
      </c>
      <c r="M1223" s="10">
        <v>54557</v>
      </c>
      <c r="N1223" s="7">
        <v>109114</v>
      </c>
    </row>
    <row r="1224" spans="1:14" x14ac:dyDescent="0.3">
      <c r="A1224">
        <v>1222</v>
      </c>
      <c r="B1224" s="1">
        <v>45880</v>
      </c>
      <c r="C1224">
        <v>2025</v>
      </c>
      <c r="D1224">
        <v>8</v>
      </c>
      <c r="E1224" t="str">
        <f t="shared" si="19"/>
        <v>Agustus</v>
      </c>
      <c r="F1224">
        <v>3</v>
      </c>
      <c r="G1224" t="s">
        <v>1515</v>
      </c>
      <c r="H1224" t="s">
        <v>1512</v>
      </c>
      <c r="I1224" t="s">
        <v>1531</v>
      </c>
      <c r="J1224" t="s">
        <v>1566</v>
      </c>
      <c r="K1224" t="s">
        <v>1514</v>
      </c>
      <c r="L1224" s="2">
        <v>2</v>
      </c>
      <c r="M1224" s="10">
        <v>1892</v>
      </c>
      <c r="N1224" s="7">
        <v>3784</v>
      </c>
    </row>
    <row r="1225" spans="1:14" x14ac:dyDescent="0.3">
      <c r="A1225">
        <v>1223</v>
      </c>
      <c r="B1225" s="1">
        <v>45881</v>
      </c>
      <c r="C1225">
        <v>2025</v>
      </c>
      <c r="D1225">
        <v>8</v>
      </c>
      <c r="E1225" t="str">
        <f t="shared" si="19"/>
        <v>Agustus</v>
      </c>
      <c r="F1225">
        <v>3</v>
      </c>
      <c r="G1225" t="s">
        <v>1534</v>
      </c>
      <c r="H1225" t="s">
        <v>1530</v>
      </c>
      <c r="I1225" t="s">
        <v>1516</v>
      </c>
      <c r="J1225" t="s">
        <v>1566</v>
      </c>
      <c r="K1225" t="s">
        <v>1525</v>
      </c>
      <c r="L1225" s="2">
        <v>3</v>
      </c>
      <c r="M1225" s="10">
        <v>3197</v>
      </c>
      <c r="N1225" s="7">
        <v>9591</v>
      </c>
    </row>
    <row r="1226" spans="1:14" x14ac:dyDescent="0.3">
      <c r="A1226">
        <v>1224</v>
      </c>
      <c r="B1226" s="1">
        <v>45882</v>
      </c>
      <c r="C1226">
        <v>2025</v>
      </c>
      <c r="D1226">
        <v>8</v>
      </c>
      <c r="E1226" t="str">
        <f t="shared" si="19"/>
        <v>Agustus</v>
      </c>
      <c r="F1226">
        <v>3</v>
      </c>
      <c r="G1226" t="s">
        <v>1519</v>
      </c>
      <c r="H1226" t="s">
        <v>1520</v>
      </c>
      <c r="I1226" t="s">
        <v>1516</v>
      </c>
      <c r="J1226" t="s">
        <v>1524</v>
      </c>
      <c r="K1226" t="s">
        <v>1525</v>
      </c>
      <c r="L1226" s="2">
        <v>5</v>
      </c>
      <c r="M1226" s="10">
        <v>10225</v>
      </c>
      <c r="N1226" s="7">
        <v>51125</v>
      </c>
    </row>
    <row r="1227" spans="1:14" x14ac:dyDescent="0.3">
      <c r="A1227">
        <v>1225</v>
      </c>
      <c r="B1227" s="1">
        <v>45883</v>
      </c>
      <c r="C1227">
        <v>2025</v>
      </c>
      <c r="D1227">
        <v>8</v>
      </c>
      <c r="E1227" t="str">
        <f t="shared" si="19"/>
        <v>Agustus</v>
      </c>
      <c r="F1227">
        <v>3</v>
      </c>
      <c r="G1227" t="s">
        <v>1522</v>
      </c>
      <c r="H1227" t="s">
        <v>1520</v>
      </c>
      <c r="I1227" t="s">
        <v>1535</v>
      </c>
      <c r="J1227" t="s">
        <v>1517</v>
      </c>
      <c r="K1227" t="s">
        <v>1518</v>
      </c>
      <c r="L1227" s="2">
        <v>2</v>
      </c>
      <c r="M1227" s="10">
        <v>899</v>
      </c>
      <c r="N1227" s="7">
        <v>1798</v>
      </c>
    </row>
    <row r="1228" spans="1:14" x14ac:dyDescent="0.3">
      <c r="A1228">
        <v>1226</v>
      </c>
      <c r="B1228" s="1">
        <v>45884</v>
      </c>
      <c r="C1228">
        <v>2025</v>
      </c>
      <c r="D1228">
        <v>8</v>
      </c>
      <c r="E1228" t="str">
        <f t="shared" si="19"/>
        <v>Agustus</v>
      </c>
      <c r="F1228">
        <v>3</v>
      </c>
      <c r="G1228" t="s">
        <v>1523</v>
      </c>
      <c r="H1228" t="s">
        <v>1512</v>
      </c>
      <c r="I1228" t="s">
        <v>1535</v>
      </c>
      <c r="J1228" t="s">
        <v>1566</v>
      </c>
      <c r="K1228" t="s">
        <v>1514</v>
      </c>
      <c r="L1228" s="2">
        <v>1</v>
      </c>
      <c r="M1228" s="10">
        <v>32743</v>
      </c>
      <c r="N1228" s="7">
        <v>32743</v>
      </c>
    </row>
    <row r="1229" spans="1:14" x14ac:dyDescent="0.3">
      <c r="A1229">
        <v>1227</v>
      </c>
      <c r="B1229" s="1">
        <v>45885</v>
      </c>
      <c r="C1229">
        <v>2025</v>
      </c>
      <c r="D1229">
        <v>8</v>
      </c>
      <c r="E1229" t="str">
        <f t="shared" si="19"/>
        <v>Agustus</v>
      </c>
      <c r="F1229">
        <v>3</v>
      </c>
      <c r="G1229" t="s">
        <v>1526</v>
      </c>
      <c r="H1229" t="s">
        <v>1527</v>
      </c>
      <c r="I1229" t="s">
        <v>1531</v>
      </c>
      <c r="J1229" t="s">
        <v>1524</v>
      </c>
      <c r="K1229" t="s">
        <v>1525</v>
      </c>
      <c r="L1229" s="2">
        <v>3</v>
      </c>
      <c r="M1229" s="10">
        <v>736</v>
      </c>
      <c r="N1229" s="7">
        <v>2208</v>
      </c>
    </row>
    <row r="1230" spans="1:14" x14ac:dyDescent="0.3">
      <c r="A1230">
        <v>1228</v>
      </c>
      <c r="B1230" s="1">
        <v>45886</v>
      </c>
      <c r="C1230">
        <v>2025</v>
      </c>
      <c r="D1230">
        <v>8</v>
      </c>
      <c r="E1230" t="str">
        <f t="shared" si="19"/>
        <v>Agustus</v>
      </c>
      <c r="F1230">
        <v>3</v>
      </c>
      <c r="G1230" t="s">
        <v>1529</v>
      </c>
      <c r="H1230" t="s">
        <v>1530</v>
      </c>
      <c r="I1230" t="s">
        <v>1516</v>
      </c>
      <c r="J1230" t="s">
        <v>1566</v>
      </c>
      <c r="K1230" t="s">
        <v>1525</v>
      </c>
      <c r="L1230" s="2">
        <v>4</v>
      </c>
      <c r="M1230" s="10">
        <v>1504</v>
      </c>
      <c r="N1230" s="7">
        <v>6016</v>
      </c>
    </row>
    <row r="1231" spans="1:14" x14ac:dyDescent="0.3">
      <c r="A1231">
        <v>1229</v>
      </c>
      <c r="B1231" s="1">
        <v>45887</v>
      </c>
      <c r="C1231">
        <v>2025</v>
      </c>
      <c r="D1231">
        <v>8</v>
      </c>
      <c r="E1231" t="str">
        <f t="shared" si="19"/>
        <v>Agustus</v>
      </c>
      <c r="F1231">
        <v>3</v>
      </c>
      <c r="G1231" t="s">
        <v>1532</v>
      </c>
      <c r="H1231" t="s">
        <v>1512</v>
      </c>
      <c r="I1231" t="s">
        <v>1521</v>
      </c>
      <c r="J1231" t="s">
        <v>1566</v>
      </c>
      <c r="K1231" t="s">
        <v>1514</v>
      </c>
      <c r="L1231" s="2">
        <v>2</v>
      </c>
      <c r="M1231" s="10">
        <v>7086</v>
      </c>
      <c r="N1231" s="7">
        <v>14172</v>
      </c>
    </row>
    <row r="1232" spans="1:14" x14ac:dyDescent="0.3">
      <c r="A1232">
        <v>1230</v>
      </c>
      <c r="B1232" s="1">
        <v>45888</v>
      </c>
      <c r="C1232">
        <v>2025</v>
      </c>
      <c r="D1232">
        <v>8</v>
      </c>
      <c r="E1232" t="str">
        <f t="shared" si="19"/>
        <v>Agustus</v>
      </c>
      <c r="F1232">
        <v>3</v>
      </c>
      <c r="G1232" t="s">
        <v>1533</v>
      </c>
      <c r="H1232" t="s">
        <v>1520</v>
      </c>
      <c r="I1232" t="s">
        <v>1528</v>
      </c>
      <c r="J1232" t="s">
        <v>1524</v>
      </c>
      <c r="K1232" t="s">
        <v>1518</v>
      </c>
      <c r="L1232" s="2">
        <v>1</v>
      </c>
      <c r="M1232" s="10">
        <v>783</v>
      </c>
      <c r="N1232" s="7">
        <v>783</v>
      </c>
    </row>
    <row r="1233" spans="1:14" x14ac:dyDescent="0.3">
      <c r="A1233">
        <v>1231</v>
      </c>
      <c r="B1233" s="1">
        <v>45889</v>
      </c>
      <c r="C1233">
        <v>2025</v>
      </c>
      <c r="D1233">
        <v>8</v>
      </c>
      <c r="E1233" t="str">
        <f t="shared" si="19"/>
        <v>Agustus</v>
      </c>
      <c r="F1233">
        <v>3</v>
      </c>
      <c r="G1233" t="s">
        <v>1511</v>
      </c>
      <c r="H1233" t="s">
        <v>1512</v>
      </c>
      <c r="I1233" t="s">
        <v>1521</v>
      </c>
      <c r="J1233" t="s">
        <v>1517</v>
      </c>
      <c r="K1233" t="s">
        <v>1525</v>
      </c>
      <c r="L1233" s="2">
        <v>1</v>
      </c>
      <c r="M1233" s="10">
        <v>67161</v>
      </c>
      <c r="N1233" s="7">
        <v>67161</v>
      </c>
    </row>
    <row r="1234" spans="1:14" x14ac:dyDescent="0.3">
      <c r="A1234">
        <v>1232</v>
      </c>
      <c r="B1234" s="1">
        <v>45890</v>
      </c>
      <c r="C1234">
        <v>2025</v>
      </c>
      <c r="D1234">
        <v>8</v>
      </c>
      <c r="E1234" t="str">
        <f t="shared" si="19"/>
        <v>Agustus</v>
      </c>
      <c r="F1234">
        <v>3</v>
      </c>
      <c r="G1234" t="s">
        <v>1515</v>
      </c>
      <c r="H1234" t="s">
        <v>1512</v>
      </c>
      <c r="I1234" t="s">
        <v>1513</v>
      </c>
      <c r="J1234" t="s">
        <v>1517</v>
      </c>
      <c r="K1234" t="s">
        <v>1518</v>
      </c>
      <c r="L1234" s="2">
        <v>3</v>
      </c>
      <c r="M1234" s="10">
        <v>2774</v>
      </c>
      <c r="N1234" s="7">
        <v>8322</v>
      </c>
    </row>
    <row r="1235" spans="1:14" x14ac:dyDescent="0.3">
      <c r="A1235">
        <v>1233</v>
      </c>
      <c r="B1235" s="1">
        <v>45891</v>
      </c>
      <c r="C1235">
        <v>2025</v>
      </c>
      <c r="D1235">
        <v>8</v>
      </c>
      <c r="E1235" t="str">
        <f t="shared" si="19"/>
        <v>Agustus</v>
      </c>
      <c r="F1235">
        <v>3</v>
      </c>
      <c r="G1235" t="s">
        <v>1534</v>
      </c>
      <c r="H1235" t="s">
        <v>1530</v>
      </c>
      <c r="I1235" t="s">
        <v>1516</v>
      </c>
      <c r="J1235" t="s">
        <v>1566</v>
      </c>
      <c r="K1235" t="s">
        <v>1514</v>
      </c>
      <c r="L1235" s="2">
        <v>2</v>
      </c>
      <c r="M1235" s="10">
        <v>1961</v>
      </c>
      <c r="N1235" s="7">
        <v>3922</v>
      </c>
    </row>
    <row r="1236" spans="1:14" x14ac:dyDescent="0.3">
      <c r="A1236">
        <v>1234</v>
      </c>
      <c r="B1236" s="1">
        <v>45892</v>
      </c>
      <c r="C1236">
        <v>2025</v>
      </c>
      <c r="D1236">
        <v>8</v>
      </c>
      <c r="E1236" t="str">
        <f t="shared" si="19"/>
        <v>Agustus</v>
      </c>
      <c r="F1236">
        <v>3</v>
      </c>
      <c r="G1236" t="s">
        <v>1519</v>
      </c>
      <c r="H1236" t="s">
        <v>1520</v>
      </c>
      <c r="I1236" t="s">
        <v>1528</v>
      </c>
      <c r="J1236" t="s">
        <v>1517</v>
      </c>
      <c r="K1236" t="s">
        <v>1514</v>
      </c>
      <c r="L1236" s="2">
        <v>3</v>
      </c>
      <c r="M1236" s="10">
        <v>3843</v>
      </c>
      <c r="N1236" s="7">
        <v>11529</v>
      </c>
    </row>
    <row r="1237" spans="1:14" x14ac:dyDescent="0.3">
      <c r="A1237">
        <v>1235</v>
      </c>
      <c r="B1237" s="1">
        <v>45893</v>
      </c>
      <c r="C1237">
        <v>2025</v>
      </c>
      <c r="D1237">
        <v>8</v>
      </c>
      <c r="E1237" t="str">
        <f t="shared" si="19"/>
        <v>Agustus</v>
      </c>
      <c r="F1237">
        <v>3</v>
      </c>
      <c r="G1237" t="s">
        <v>1522</v>
      </c>
      <c r="H1237" t="s">
        <v>1520</v>
      </c>
      <c r="I1237" t="s">
        <v>1535</v>
      </c>
      <c r="J1237" t="s">
        <v>1566</v>
      </c>
      <c r="K1237" t="s">
        <v>1525</v>
      </c>
      <c r="L1237" s="2">
        <v>2</v>
      </c>
      <c r="M1237" s="10">
        <v>515</v>
      </c>
      <c r="N1237" s="7">
        <v>1030</v>
      </c>
    </row>
    <row r="1238" spans="1:14" x14ac:dyDescent="0.3">
      <c r="A1238">
        <v>1236</v>
      </c>
      <c r="B1238" s="1">
        <v>45894</v>
      </c>
      <c r="C1238">
        <v>2025</v>
      </c>
      <c r="D1238">
        <v>8</v>
      </c>
      <c r="E1238" t="str">
        <f t="shared" si="19"/>
        <v>Agustus</v>
      </c>
      <c r="F1238">
        <v>3</v>
      </c>
      <c r="G1238" t="s">
        <v>1523</v>
      </c>
      <c r="H1238" t="s">
        <v>1512</v>
      </c>
      <c r="I1238" t="s">
        <v>1528</v>
      </c>
      <c r="J1238" t="s">
        <v>1517</v>
      </c>
      <c r="K1238" t="s">
        <v>1525</v>
      </c>
      <c r="L1238" s="2">
        <v>2</v>
      </c>
      <c r="M1238" s="10">
        <v>18773</v>
      </c>
      <c r="N1238" s="7">
        <v>37546</v>
      </c>
    </row>
    <row r="1239" spans="1:14" x14ac:dyDescent="0.3">
      <c r="A1239">
        <v>1237</v>
      </c>
      <c r="B1239" s="1">
        <v>45895</v>
      </c>
      <c r="C1239">
        <v>2025</v>
      </c>
      <c r="D1239">
        <v>8</v>
      </c>
      <c r="E1239" t="str">
        <f t="shared" si="19"/>
        <v>Agustus</v>
      </c>
      <c r="F1239">
        <v>3</v>
      </c>
      <c r="G1239" t="s">
        <v>1526</v>
      </c>
      <c r="H1239" t="s">
        <v>1527</v>
      </c>
      <c r="I1239" t="s">
        <v>1528</v>
      </c>
      <c r="J1239" t="s">
        <v>1517</v>
      </c>
      <c r="K1239" t="s">
        <v>1514</v>
      </c>
      <c r="L1239" s="2">
        <v>2</v>
      </c>
      <c r="M1239" s="10">
        <v>418</v>
      </c>
      <c r="N1239" s="7">
        <v>836</v>
      </c>
    </row>
    <row r="1240" spans="1:14" x14ac:dyDescent="0.3">
      <c r="A1240">
        <v>1238</v>
      </c>
      <c r="B1240" s="1">
        <v>45896</v>
      </c>
      <c r="C1240">
        <v>2025</v>
      </c>
      <c r="D1240">
        <v>8</v>
      </c>
      <c r="E1240" t="str">
        <f t="shared" si="19"/>
        <v>Agustus</v>
      </c>
      <c r="F1240">
        <v>3</v>
      </c>
      <c r="G1240" t="s">
        <v>1529</v>
      </c>
      <c r="H1240" t="s">
        <v>1530</v>
      </c>
      <c r="I1240" t="s">
        <v>1535</v>
      </c>
      <c r="J1240" t="s">
        <v>1524</v>
      </c>
      <c r="K1240" t="s">
        <v>1514</v>
      </c>
      <c r="L1240" s="2">
        <v>2</v>
      </c>
      <c r="M1240" s="10">
        <v>996</v>
      </c>
      <c r="N1240" s="7">
        <v>1992</v>
      </c>
    </row>
    <row r="1241" spans="1:14" x14ac:dyDescent="0.3">
      <c r="A1241">
        <v>1239</v>
      </c>
      <c r="B1241" s="1">
        <v>45897</v>
      </c>
      <c r="C1241">
        <v>2025</v>
      </c>
      <c r="D1241">
        <v>8</v>
      </c>
      <c r="E1241" t="str">
        <f t="shared" si="19"/>
        <v>Agustus</v>
      </c>
      <c r="F1241">
        <v>3</v>
      </c>
      <c r="G1241" t="s">
        <v>1532</v>
      </c>
      <c r="H1241" t="s">
        <v>1512</v>
      </c>
      <c r="I1241" t="s">
        <v>1528</v>
      </c>
      <c r="J1241" t="s">
        <v>1566</v>
      </c>
      <c r="K1241" t="s">
        <v>1518</v>
      </c>
      <c r="L1241" s="2">
        <v>2</v>
      </c>
      <c r="M1241" s="10">
        <v>12569</v>
      </c>
      <c r="N1241" s="7">
        <v>25138</v>
      </c>
    </row>
    <row r="1242" spans="1:14" x14ac:dyDescent="0.3">
      <c r="A1242">
        <v>1240</v>
      </c>
      <c r="B1242" s="1">
        <v>45898</v>
      </c>
      <c r="C1242">
        <v>2025</v>
      </c>
      <c r="D1242">
        <v>8</v>
      </c>
      <c r="E1242" t="str">
        <f t="shared" si="19"/>
        <v>Agustus</v>
      </c>
      <c r="F1242">
        <v>3</v>
      </c>
      <c r="G1242" t="s">
        <v>1533</v>
      </c>
      <c r="H1242" t="s">
        <v>1520</v>
      </c>
      <c r="I1242" t="s">
        <v>1516</v>
      </c>
      <c r="J1242" t="s">
        <v>1524</v>
      </c>
      <c r="K1242" t="s">
        <v>1514</v>
      </c>
      <c r="L1242" s="2">
        <v>3</v>
      </c>
      <c r="M1242" s="10">
        <v>241</v>
      </c>
      <c r="N1242" s="7">
        <v>723</v>
      </c>
    </row>
    <row r="1243" spans="1:14" x14ac:dyDescent="0.3">
      <c r="A1243">
        <v>1241</v>
      </c>
      <c r="B1243" s="1">
        <v>45899</v>
      </c>
      <c r="C1243">
        <v>2025</v>
      </c>
      <c r="D1243">
        <v>8</v>
      </c>
      <c r="E1243" t="str">
        <f t="shared" si="19"/>
        <v>Agustus</v>
      </c>
      <c r="F1243">
        <v>3</v>
      </c>
      <c r="G1243" t="s">
        <v>1511</v>
      </c>
      <c r="H1243" t="s">
        <v>1512</v>
      </c>
      <c r="I1243" t="s">
        <v>1521</v>
      </c>
      <c r="J1243" t="s">
        <v>1517</v>
      </c>
      <c r="K1243" t="s">
        <v>1518</v>
      </c>
      <c r="L1243" s="2">
        <v>1</v>
      </c>
      <c r="M1243" s="10">
        <v>51561</v>
      </c>
      <c r="N1243" s="7">
        <v>51561</v>
      </c>
    </row>
    <row r="1244" spans="1:14" x14ac:dyDescent="0.3">
      <c r="A1244">
        <v>1242</v>
      </c>
      <c r="B1244" s="1">
        <v>45900</v>
      </c>
      <c r="C1244">
        <v>2025</v>
      </c>
      <c r="D1244">
        <v>8</v>
      </c>
      <c r="E1244" t="str">
        <f t="shared" si="19"/>
        <v>Agustus</v>
      </c>
      <c r="F1244">
        <v>3</v>
      </c>
      <c r="G1244" t="s">
        <v>1515</v>
      </c>
      <c r="H1244" t="s">
        <v>1512</v>
      </c>
      <c r="I1244" t="s">
        <v>1516</v>
      </c>
      <c r="J1244" t="s">
        <v>1566</v>
      </c>
      <c r="K1244" t="s">
        <v>1514</v>
      </c>
      <c r="L1244" s="2">
        <v>3</v>
      </c>
      <c r="M1244" s="10">
        <v>2846</v>
      </c>
      <c r="N1244" s="7">
        <v>8538</v>
      </c>
    </row>
    <row r="1245" spans="1:14" x14ac:dyDescent="0.3">
      <c r="A1245">
        <v>1243</v>
      </c>
      <c r="B1245" s="1">
        <v>45901</v>
      </c>
      <c r="C1245">
        <v>2025</v>
      </c>
      <c r="D1245">
        <v>9</v>
      </c>
      <c r="E1245" t="str">
        <f t="shared" si="19"/>
        <v>September</v>
      </c>
      <c r="F1245">
        <v>3</v>
      </c>
      <c r="G1245" t="s">
        <v>1534</v>
      </c>
      <c r="H1245" t="s">
        <v>1530</v>
      </c>
      <c r="I1245" t="s">
        <v>1528</v>
      </c>
      <c r="J1245" t="s">
        <v>1566</v>
      </c>
      <c r="K1245" t="s">
        <v>1518</v>
      </c>
      <c r="L1245" s="2">
        <v>2</v>
      </c>
      <c r="M1245" s="10">
        <v>1792</v>
      </c>
      <c r="N1245" s="7">
        <v>3584</v>
      </c>
    </row>
    <row r="1246" spans="1:14" x14ac:dyDescent="0.3">
      <c r="A1246">
        <v>1244</v>
      </c>
      <c r="B1246" s="1">
        <v>45902</v>
      </c>
      <c r="C1246">
        <v>2025</v>
      </c>
      <c r="D1246">
        <v>9</v>
      </c>
      <c r="E1246" t="str">
        <f t="shared" si="19"/>
        <v>September</v>
      </c>
      <c r="F1246">
        <v>3</v>
      </c>
      <c r="G1246" t="s">
        <v>1519</v>
      </c>
      <c r="H1246" t="s">
        <v>1520</v>
      </c>
      <c r="I1246" t="s">
        <v>1528</v>
      </c>
      <c r="J1246" t="s">
        <v>1566</v>
      </c>
      <c r="K1246" t="s">
        <v>1518</v>
      </c>
      <c r="L1246" s="2">
        <v>1</v>
      </c>
      <c r="M1246" s="10">
        <v>17414</v>
      </c>
      <c r="N1246" s="7">
        <v>17414</v>
      </c>
    </row>
    <row r="1247" spans="1:14" x14ac:dyDescent="0.3">
      <c r="A1247">
        <v>1245</v>
      </c>
      <c r="B1247" s="1">
        <v>45903</v>
      </c>
      <c r="C1247">
        <v>2025</v>
      </c>
      <c r="D1247">
        <v>9</v>
      </c>
      <c r="E1247" t="str">
        <f t="shared" si="19"/>
        <v>September</v>
      </c>
      <c r="F1247">
        <v>3</v>
      </c>
      <c r="G1247" t="s">
        <v>1522</v>
      </c>
      <c r="H1247" t="s">
        <v>1520</v>
      </c>
      <c r="I1247" t="s">
        <v>1535</v>
      </c>
      <c r="J1247" t="s">
        <v>1517</v>
      </c>
      <c r="K1247" t="s">
        <v>1525</v>
      </c>
      <c r="L1247" s="2">
        <v>5</v>
      </c>
      <c r="M1247" s="10">
        <v>417</v>
      </c>
      <c r="N1247" s="7">
        <v>2085</v>
      </c>
    </row>
    <row r="1248" spans="1:14" x14ac:dyDescent="0.3">
      <c r="A1248">
        <v>1246</v>
      </c>
      <c r="B1248" s="1">
        <v>45904</v>
      </c>
      <c r="C1248">
        <v>2025</v>
      </c>
      <c r="D1248">
        <v>9</v>
      </c>
      <c r="E1248" t="str">
        <f t="shared" si="19"/>
        <v>September</v>
      </c>
      <c r="F1248">
        <v>3</v>
      </c>
      <c r="G1248" t="s">
        <v>1523</v>
      </c>
      <c r="H1248" t="s">
        <v>1512</v>
      </c>
      <c r="I1248" t="s">
        <v>1521</v>
      </c>
      <c r="J1248" t="s">
        <v>1566</v>
      </c>
      <c r="K1248" t="s">
        <v>1518</v>
      </c>
      <c r="L1248" s="2">
        <v>1</v>
      </c>
      <c r="M1248" s="10">
        <v>32293</v>
      </c>
      <c r="N1248" s="7">
        <v>32293</v>
      </c>
    </row>
    <row r="1249" spans="1:14" x14ac:dyDescent="0.3">
      <c r="A1249">
        <v>1247</v>
      </c>
      <c r="B1249" s="1">
        <v>45905</v>
      </c>
      <c r="C1249">
        <v>2025</v>
      </c>
      <c r="D1249">
        <v>9</v>
      </c>
      <c r="E1249" t="str">
        <f t="shared" si="19"/>
        <v>September</v>
      </c>
      <c r="F1249">
        <v>3</v>
      </c>
      <c r="G1249" t="s">
        <v>1526</v>
      </c>
      <c r="H1249" t="s">
        <v>1527</v>
      </c>
      <c r="I1249" t="s">
        <v>1535</v>
      </c>
      <c r="J1249" t="s">
        <v>1524</v>
      </c>
      <c r="K1249" t="s">
        <v>1525</v>
      </c>
      <c r="L1249" s="2">
        <v>2</v>
      </c>
      <c r="M1249" s="10">
        <v>750</v>
      </c>
      <c r="N1249" s="7">
        <v>1500</v>
      </c>
    </row>
    <row r="1250" spans="1:14" x14ac:dyDescent="0.3">
      <c r="A1250">
        <v>1248</v>
      </c>
      <c r="B1250" s="1">
        <v>45906</v>
      </c>
      <c r="C1250">
        <v>2025</v>
      </c>
      <c r="D1250">
        <v>9</v>
      </c>
      <c r="E1250" t="str">
        <f t="shared" si="19"/>
        <v>September</v>
      </c>
      <c r="F1250">
        <v>3</v>
      </c>
      <c r="G1250" t="s">
        <v>1529</v>
      </c>
      <c r="H1250" t="s">
        <v>1530</v>
      </c>
      <c r="I1250" t="s">
        <v>1535</v>
      </c>
      <c r="J1250" t="s">
        <v>1566</v>
      </c>
      <c r="K1250" t="s">
        <v>1525</v>
      </c>
      <c r="L1250" s="2">
        <v>3</v>
      </c>
      <c r="M1250" s="10">
        <v>1702</v>
      </c>
      <c r="N1250" s="7">
        <v>5106</v>
      </c>
    </row>
    <row r="1251" spans="1:14" x14ac:dyDescent="0.3">
      <c r="A1251">
        <v>1249</v>
      </c>
      <c r="B1251" s="1">
        <v>45907</v>
      </c>
      <c r="C1251">
        <v>2025</v>
      </c>
      <c r="D1251">
        <v>9</v>
      </c>
      <c r="E1251" t="str">
        <f t="shared" si="19"/>
        <v>September</v>
      </c>
      <c r="F1251">
        <v>3</v>
      </c>
      <c r="G1251" t="s">
        <v>1532</v>
      </c>
      <c r="H1251" t="s">
        <v>1512</v>
      </c>
      <c r="I1251" t="s">
        <v>1516</v>
      </c>
      <c r="J1251" t="s">
        <v>1517</v>
      </c>
      <c r="K1251" t="s">
        <v>1514</v>
      </c>
      <c r="L1251" s="2">
        <v>1</v>
      </c>
      <c r="M1251" s="10">
        <v>10698</v>
      </c>
      <c r="N1251" s="7">
        <v>10698</v>
      </c>
    </row>
    <row r="1252" spans="1:14" x14ac:dyDescent="0.3">
      <c r="A1252">
        <v>1250</v>
      </c>
      <c r="B1252" s="1">
        <v>45908</v>
      </c>
      <c r="C1252">
        <v>2025</v>
      </c>
      <c r="D1252">
        <v>9</v>
      </c>
      <c r="E1252" t="str">
        <f t="shared" si="19"/>
        <v>September</v>
      </c>
      <c r="F1252">
        <v>3</v>
      </c>
      <c r="G1252" t="s">
        <v>1533</v>
      </c>
      <c r="H1252" t="s">
        <v>1520</v>
      </c>
      <c r="I1252" t="s">
        <v>1516</v>
      </c>
      <c r="J1252" t="s">
        <v>1566</v>
      </c>
      <c r="K1252" t="s">
        <v>1518</v>
      </c>
      <c r="L1252" s="2">
        <v>3</v>
      </c>
      <c r="M1252" s="10">
        <v>468</v>
      </c>
      <c r="N1252" s="7">
        <v>1404</v>
      </c>
    </row>
    <row r="1253" spans="1:14" x14ac:dyDescent="0.3">
      <c r="A1253">
        <v>1251</v>
      </c>
      <c r="B1253" s="1">
        <v>45909</v>
      </c>
      <c r="C1253">
        <v>2025</v>
      </c>
      <c r="D1253">
        <v>9</v>
      </c>
      <c r="E1253" t="str">
        <f t="shared" si="19"/>
        <v>September</v>
      </c>
      <c r="F1253">
        <v>3</v>
      </c>
      <c r="G1253" t="s">
        <v>1511</v>
      </c>
      <c r="H1253" t="s">
        <v>1512</v>
      </c>
      <c r="I1253" t="s">
        <v>1521</v>
      </c>
      <c r="J1253" t="s">
        <v>1517</v>
      </c>
      <c r="K1253" t="s">
        <v>1525</v>
      </c>
      <c r="L1253" s="2">
        <v>2</v>
      </c>
      <c r="M1253" s="10">
        <v>57310</v>
      </c>
      <c r="N1253" s="7">
        <v>114620</v>
      </c>
    </row>
    <row r="1254" spans="1:14" x14ac:dyDescent="0.3">
      <c r="A1254">
        <v>1252</v>
      </c>
      <c r="B1254" s="1">
        <v>45910</v>
      </c>
      <c r="C1254">
        <v>2025</v>
      </c>
      <c r="D1254">
        <v>9</v>
      </c>
      <c r="E1254" t="str">
        <f t="shared" si="19"/>
        <v>September</v>
      </c>
      <c r="F1254">
        <v>3</v>
      </c>
      <c r="G1254" t="s">
        <v>1515</v>
      </c>
      <c r="H1254" t="s">
        <v>1512</v>
      </c>
      <c r="I1254" t="s">
        <v>1535</v>
      </c>
      <c r="J1254" t="s">
        <v>1517</v>
      </c>
      <c r="K1254" t="s">
        <v>1525</v>
      </c>
      <c r="L1254" s="2">
        <v>1</v>
      </c>
      <c r="M1254" s="10">
        <v>1155</v>
      </c>
      <c r="N1254" s="7">
        <v>1155</v>
      </c>
    </row>
    <row r="1255" spans="1:14" x14ac:dyDescent="0.3">
      <c r="A1255">
        <v>1253</v>
      </c>
      <c r="B1255" s="1">
        <v>45911</v>
      </c>
      <c r="C1255">
        <v>2025</v>
      </c>
      <c r="D1255">
        <v>9</v>
      </c>
      <c r="E1255" t="str">
        <f t="shared" si="19"/>
        <v>September</v>
      </c>
      <c r="F1255">
        <v>3</v>
      </c>
      <c r="G1255" t="s">
        <v>1534</v>
      </c>
      <c r="H1255" t="s">
        <v>1530</v>
      </c>
      <c r="I1255" t="s">
        <v>1521</v>
      </c>
      <c r="J1255" t="s">
        <v>1517</v>
      </c>
      <c r="K1255" t="s">
        <v>1518</v>
      </c>
      <c r="L1255" s="2">
        <v>1</v>
      </c>
      <c r="M1255" s="10">
        <v>3955</v>
      </c>
      <c r="N1255" s="7">
        <v>3955</v>
      </c>
    </row>
    <row r="1256" spans="1:14" x14ac:dyDescent="0.3">
      <c r="A1256">
        <v>1254</v>
      </c>
      <c r="B1256" s="1">
        <v>45912</v>
      </c>
      <c r="C1256">
        <v>2025</v>
      </c>
      <c r="D1256">
        <v>9</v>
      </c>
      <c r="E1256" t="str">
        <f t="shared" si="19"/>
        <v>September</v>
      </c>
      <c r="F1256">
        <v>3</v>
      </c>
      <c r="G1256" t="s">
        <v>1519</v>
      </c>
      <c r="H1256" t="s">
        <v>1520</v>
      </c>
      <c r="I1256" t="s">
        <v>1521</v>
      </c>
      <c r="J1256" t="s">
        <v>1524</v>
      </c>
      <c r="K1256" t="s">
        <v>1525</v>
      </c>
      <c r="L1256" s="2">
        <v>2</v>
      </c>
      <c r="M1256" s="10">
        <v>11560</v>
      </c>
      <c r="N1256" s="7">
        <v>23120</v>
      </c>
    </row>
    <row r="1257" spans="1:14" x14ac:dyDescent="0.3">
      <c r="A1257">
        <v>1255</v>
      </c>
      <c r="B1257" s="1">
        <v>45913</v>
      </c>
      <c r="C1257">
        <v>2025</v>
      </c>
      <c r="D1257">
        <v>9</v>
      </c>
      <c r="E1257" t="str">
        <f t="shared" si="19"/>
        <v>September</v>
      </c>
      <c r="F1257">
        <v>3</v>
      </c>
      <c r="G1257" t="s">
        <v>1522</v>
      </c>
      <c r="H1257" t="s">
        <v>1520</v>
      </c>
      <c r="I1257" t="s">
        <v>1521</v>
      </c>
      <c r="J1257" t="s">
        <v>1517</v>
      </c>
      <c r="K1257" t="s">
        <v>1518</v>
      </c>
      <c r="L1257" s="2">
        <v>3</v>
      </c>
      <c r="M1257" s="10">
        <v>457</v>
      </c>
      <c r="N1257" s="7">
        <v>1371</v>
      </c>
    </row>
    <row r="1258" spans="1:14" x14ac:dyDescent="0.3">
      <c r="A1258">
        <v>1256</v>
      </c>
      <c r="B1258" s="1">
        <v>45914</v>
      </c>
      <c r="C1258">
        <v>2025</v>
      </c>
      <c r="D1258">
        <v>9</v>
      </c>
      <c r="E1258" t="str">
        <f t="shared" si="19"/>
        <v>September</v>
      </c>
      <c r="F1258">
        <v>3</v>
      </c>
      <c r="G1258" t="s">
        <v>1523</v>
      </c>
      <c r="H1258" t="s">
        <v>1512</v>
      </c>
      <c r="I1258" t="s">
        <v>1535</v>
      </c>
      <c r="J1258" t="s">
        <v>1517</v>
      </c>
      <c r="K1258" t="s">
        <v>1514</v>
      </c>
      <c r="L1258" s="2">
        <v>2</v>
      </c>
      <c r="M1258" s="10">
        <v>22337</v>
      </c>
      <c r="N1258" s="7">
        <v>44674</v>
      </c>
    </row>
    <row r="1259" spans="1:14" x14ac:dyDescent="0.3">
      <c r="A1259">
        <v>1257</v>
      </c>
      <c r="B1259" s="1">
        <v>45915</v>
      </c>
      <c r="C1259">
        <v>2025</v>
      </c>
      <c r="D1259">
        <v>9</v>
      </c>
      <c r="E1259" t="str">
        <f t="shared" si="19"/>
        <v>September</v>
      </c>
      <c r="F1259">
        <v>3</v>
      </c>
      <c r="G1259" t="s">
        <v>1526</v>
      </c>
      <c r="H1259" t="s">
        <v>1527</v>
      </c>
      <c r="I1259" t="s">
        <v>1535</v>
      </c>
      <c r="J1259" t="s">
        <v>1524</v>
      </c>
      <c r="K1259" t="s">
        <v>1525</v>
      </c>
      <c r="L1259" s="2">
        <v>5</v>
      </c>
      <c r="M1259" s="10">
        <v>379</v>
      </c>
      <c r="N1259" s="7">
        <v>1895</v>
      </c>
    </row>
    <row r="1260" spans="1:14" x14ac:dyDescent="0.3">
      <c r="A1260">
        <v>1258</v>
      </c>
      <c r="B1260" s="1">
        <v>45916</v>
      </c>
      <c r="C1260">
        <v>2025</v>
      </c>
      <c r="D1260">
        <v>9</v>
      </c>
      <c r="E1260" t="str">
        <f t="shared" si="19"/>
        <v>September</v>
      </c>
      <c r="F1260">
        <v>3</v>
      </c>
      <c r="G1260" t="s">
        <v>1529</v>
      </c>
      <c r="H1260" t="s">
        <v>1530</v>
      </c>
      <c r="I1260" t="s">
        <v>1513</v>
      </c>
      <c r="J1260" t="s">
        <v>1517</v>
      </c>
      <c r="K1260" t="s">
        <v>1514</v>
      </c>
      <c r="L1260" s="2">
        <v>5</v>
      </c>
      <c r="M1260" s="10">
        <v>667</v>
      </c>
      <c r="N1260" s="7">
        <v>3335</v>
      </c>
    </row>
    <row r="1261" spans="1:14" x14ac:dyDescent="0.3">
      <c r="A1261">
        <v>1259</v>
      </c>
      <c r="B1261" s="1">
        <v>45917</v>
      </c>
      <c r="C1261">
        <v>2025</v>
      </c>
      <c r="D1261">
        <v>9</v>
      </c>
      <c r="E1261" t="str">
        <f t="shared" si="19"/>
        <v>September</v>
      </c>
      <c r="F1261">
        <v>3</v>
      </c>
      <c r="G1261" t="s">
        <v>1532</v>
      </c>
      <c r="H1261" t="s">
        <v>1512</v>
      </c>
      <c r="I1261" t="s">
        <v>1528</v>
      </c>
      <c r="J1261" t="s">
        <v>1517</v>
      </c>
      <c r="K1261" t="s">
        <v>1518</v>
      </c>
      <c r="L1261" s="2">
        <v>2</v>
      </c>
      <c r="M1261" s="10">
        <v>13263</v>
      </c>
      <c r="N1261" s="7">
        <v>26526</v>
      </c>
    </row>
    <row r="1262" spans="1:14" x14ac:dyDescent="0.3">
      <c r="A1262">
        <v>1260</v>
      </c>
      <c r="B1262" s="1">
        <v>45918</v>
      </c>
      <c r="C1262">
        <v>2025</v>
      </c>
      <c r="D1262">
        <v>9</v>
      </c>
      <c r="E1262" t="str">
        <f t="shared" si="19"/>
        <v>September</v>
      </c>
      <c r="F1262">
        <v>3</v>
      </c>
      <c r="G1262" t="s">
        <v>1533</v>
      </c>
      <c r="H1262" t="s">
        <v>1520</v>
      </c>
      <c r="I1262" t="s">
        <v>1521</v>
      </c>
      <c r="J1262" t="s">
        <v>1566</v>
      </c>
      <c r="K1262" t="s">
        <v>1518</v>
      </c>
      <c r="L1262" s="2">
        <v>4</v>
      </c>
      <c r="M1262" s="10">
        <v>503</v>
      </c>
      <c r="N1262" s="7">
        <v>2012</v>
      </c>
    </row>
    <row r="1263" spans="1:14" x14ac:dyDescent="0.3">
      <c r="A1263">
        <v>1261</v>
      </c>
      <c r="B1263" s="1">
        <v>45919</v>
      </c>
      <c r="C1263">
        <v>2025</v>
      </c>
      <c r="D1263">
        <v>9</v>
      </c>
      <c r="E1263" t="str">
        <f t="shared" si="19"/>
        <v>September</v>
      </c>
      <c r="F1263">
        <v>3</v>
      </c>
      <c r="G1263" t="s">
        <v>1511</v>
      </c>
      <c r="H1263" t="s">
        <v>1512</v>
      </c>
      <c r="I1263" t="s">
        <v>1513</v>
      </c>
      <c r="J1263" t="s">
        <v>1566</v>
      </c>
      <c r="K1263" t="s">
        <v>1514</v>
      </c>
      <c r="L1263" s="2">
        <v>1</v>
      </c>
      <c r="M1263" s="10">
        <v>53499</v>
      </c>
      <c r="N1263" s="7">
        <v>53499</v>
      </c>
    </row>
    <row r="1264" spans="1:14" x14ac:dyDescent="0.3">
      <c r="A1264">
        <v>1262</v>
      </c>
      <c r="B1264" s="1">
        <v>45920</v>
      </c>
      <c r="C1264">
        <v>2025</v>
      </c>
      <c r="D1264">
        <v>9</v>
      </c>
      <c r="E1264" t="str">
        <f t="shared" si="19"/>
        <v>September</v>
      </c>
      <c r="F1264">
        <v>3</v>
      </c>
      <c r="G1264" t="s">
        <v>1515</v>
      </c>
      <c r="H1264" t="s">
        <v>1512</v>
      </c>
      <c r="I1264" t="s">
        <v>1531</v>
      </c>
      <c r="J1264" t="s">
        <v>1566</v>
      </c>
      <c r="K1264" t="s">
        <v>1518</v>
      </c>
      <c r="L1264" s="2">
        <v>1</v>
      </c>
      <c r="M1264" s="10">
        <v>3910</v>
      </c>
      <c r="N1264" s="7">
        <v>3910</v>
      </c>
    </row>
    <row r="1265" spans="1:14" x14ac:dyDescent="0.3">
      <c r="A1265">
        <v>1263</v>
      </c>
      <c r="B1265" s="1">
        <v>45921</v>
      </c>
      <c r="C1265">
        <v>2025</v>
      </c>
      <c r="D1265">
        <v>9</v>
      </c>
      <c r="E1265" t="str">
        <f t="shared" si="19"/>
        <v>September</v>
      </c>
      <c r="F1265">
        <v>3</v>
      </c>
      <c r="G1265" t="s">
        <v>1534</v>
      </c>
      <c r="H1265" t="s">
        <v>1530</v>
      </c>
      <c r="I1265" t="s">
        <v>1528</v>
      </c>
      <c r="J1265" t="s">
        <v>1524</v>
      </c>
      <c r="K1265" t="s">
        <v>1514</v>
      </c>
      <c r="L1265" s="2">
        <v>1</v>
      </c>
      <c r="M1265" s="10">
        <v>3590</v>
      </c>
      <c r="N1265" s="7">
        <v>3590</v>
      </c>
    </row>
    <row r="1266" spans="1:14" x14ac:dyDescent="0.3">
      <c r="A1266">
        <v>1264</v>
      </c>
      <c r="B1266" s="1">
        <v>45922</v>
      </c>
      <c r="C1266">
        <v>2025</v>
      </c>
      <c r="D1266">
        <v>9</v>
      </c>
      <c r="E1266" t="str">
        <f t="shared" si="19"/>
        <v>September</v>
      </c>
      <c r="F1266">
        <v>3</v>
      </c>
      <c r="G1266" t="s">
        <v>1519</v>
      </c>
      <c r="H1266" t="s">
        <v>1520</v>
      </c>
      <c r="I1266" t="s">
        <v>1531</v>
      </c>
      <c r="J1266" t="s">
        <v>1524</v>
      </c>
      <c r="K1266" t="s">
        <v>1518</v>
      </c>
      <c r="L1266" s="2">
        <v>5</v>
      </c>
      <c r="M1266" s="10">
        <v>4354</v>
      </c>
      <c r="N1266" s="7">
        <v>21770</v>
      </c>
    </row>
    <row r="1267" spans="1:14" x14ac:dyDescent="0.3">
      <c r="A1267">
        <v>1265</v>
      </c>
      <c r="B1267" s="1">
        <v>45923</v>
      </c>
      <c r="C1267">
        <v>2025</v>
      </c>
      <c r="D1267">
        <v>9</v>
      </c>
      <c r="E1267" t="str">
        <f t="shared" si="19"/>
        <v>September</v>
      </c>
      <c r="F1267">
        <v>3</v>
      </c>
      <c r="G1267" t="s">
        <v>1522</v>
      </c>
      <c r="H1267" t="s">
        <v>1520</v>
      </c>
      <c r="I1267" t="s">
        <v>1513</v>
      </c>
      <c r="J1267" t="s">
        <v>1566</v>
      </c>
      <c r="K1267" t="s">
        <v>1514</v>
      </c>
      <c r="L1267" s="2">
        <v>1</v>
      </c>
      <c r="M1267" s="10">
        <v>878</v>
      </c>
      <c r="N1267" s="7">
        <v>878</v>
      </c>
    </row>
    <row r="1268" spans="1:14" x14ac:dyDescent="0.3">
      <c r="A1268">
        <v>1266</v>
      </c>
      <c r="B1268" s="1">
        <v>45924</v>
      </c>
      <c r="C1268">
        <v>2025</v>
      </c>
      <c r="D1268">
        <v>9</v>
      </c>
      <c r="E1268" t="str">
        <f t="shared" si="19"/>
        <v>September</v>
      </c>
      <c r="F1268">
        <v>3</v>
      </c>
      <c r="G1268" t="s">
        <v>1523</v>
      </c>
      <c r="H1268" t="s">
        <v>1512</v>
      </c>
      <c r="I1268" t="s">
        <v>1535</v>
      </c>
      <c r="J1268" t="s">
        <v>1524</v>
      </c>
      <c r="K1268" t="s">
        <v>1525</v>
      </c>
      <c r="L1268" s="2">
        <v>1</v>
      </c>
      <c r="M1268" s="10">
        <v>28657</v>
      </c>
      <c r="N1268" s="7">
        <v>28657</v>
      </c>
    </row>
    <row r="1269" spans="1:14" x14ac:dyDescent="0.3">
      <c r="A1269">
        <v>1267</v>
      </c>
      <c r="B1269" s="1">
        <v>45925</v>
      </c>
      <c r="C1269">
        <v>2025</v>
      </c>
      <c r="D1269">
        <v>9</v>
      </c>
      <c r="E1269" t="str">
        <f t="shared" si="19"/>
        <v>September</v>
      </c>
      <c r="F1269">
        <v>3</v>
      </c>
      <c r="G1269" t="s">
        <v>1526</v>
      </c>
      <c r="H1269" t="s">
        <v>1527</v>
      </c>
      <c r="I1269" t="s">
        <v>1516</v>
      </c>
      <c r="J1269" t="s">
        <v>1566</v>
      </c>
      <c r="K1269" t="s">
        <v>1525</v>
      </c>
      <c r="L1269" s="2">
        <v>1</v>
      </c>
      <c r="M1269" s="10">
        <v>394</v>
      </c>
      <c r="N1269" s="7">
        <v>394</v>
      </c>
    </row>
    <row r="1270" spans="1:14" x14ac:dyDescent="0.3">
      <c r="A1270">
        <v>1268</v>
      </c>
      <c r="B1270" s="1">
        <v>45926</v>
      </c>
      <c r="C1270">
        <v>2025</v>
      </c>
      <c r="D1270">
        <v>9</v>
      </c>
      <c r="E1270" t="str">
        <f t="shared" si="19"/>
        <v>September</v>
      </c>
      <c r="F1270">
        <v>3</v>
      </c>
      <c r="G1270" t="s">
        <v>1529</v>
      </c>
      <c r="H1270" t="s">
        <v>1530</v>
      </c>
      <c r="I1270" t="s">
        <v>1528</v>
      </c>
      <c r="J1270" t="s">
        <v>1566</v>
      </c>
      <c r="K1270" t="s">
        <v>1518</v>
      </c>
      <c r="L1270" s="2">
        <v>3</v>
      </c>
      <c r="M1270" s="10">
        <v>1554</v>
      </c>
      <c r="N1270" s="7">
        <v>4662</v>
      </c>
    </row>
    <row r="1271" spans="1:14" x14ac:dyDescent="0.3">
      <c r="A1271">
        <v>1269</v>
      </c>
      <c r="B1271" s="1">
        <v>45927</v>
      </c>
      <c r="C1271">
        <v>2025</v>
      </c>
      <c r="D1271">
        <v>9</v>
      </c>
      <c r="E1271" t="str">
        <f t="shared" si="19"/>
        <v>September</v>
      </c>
      <c r="F1271">
        <v>3</v>
      </c>
      <c r="G1271" t="s">
        <v>1532</v>
      </c>
      <c r="H1271" t="s">
        <v>1512</v>
      </c>
      <c r="I1271" t="s">
        <v>1531</v>
      </c>
      <c r="J1271" t="s">
        <v>1524</v>
      </c>
      <c r="K1271" t="s">
        <v>1518</v>
      </c>
      <c r="L1271" s="2">
        <v>1</v>
      </c>
      <c r="M1271" s="10">
        <v>4066</v>
      </c>
      <c r="N1271" s="7">
        <v>4066</v>
      </c>
    </row>
    <row r="1272" spans="1:14" x14ac:dyDescent="0.3">
      <c r="A1272">
        <v>1270</v>
      </c>
      <c r="B1272" s="1">
        <v>45928</v>
      </c>
      <c r="C1272">
        <v>2025</v>
      </c>
      <c r="D1272">
        <v>9</v>
      </c>
      <c r="E1272" t="str">
        <f t="shared" si="19"/>
        <v>September</v>
      </c>
      <c r="F1272">
        <v>3</v>
      </c>
      <c r="G1272" t="s">
        <v>1533</v>
      </c>
      <c r="H1272" t="s">
        <v>1520</v>
      </c>
      <c r="I1272" t="s">
        <v>1516</v>
      </c>
      <c r="J1272" t="s">
        <v>1517</v>
      </c>
      <c r="K1272" t="s">
        <v>1518</v>
      </c>
      <c r="L1272" s="2">
        <v>5</v>
      </c>
      <c r="M1272" s="10">
        <v>210</v>
      </c>
      <c r="N1272" s="7">
        <v>1050</v>
      </c>
    </row>
    <row r="1273" spans="1:14" x14ac:dyDescent="0.3">
      <c r="A1273">
        <v>1271</v>
      </c>
      <c r="B1273" s="1">
        <v>45929</v>
      </c>
      <c r="C1273">
        <v>2025</v>
      </c>
      <c r="D1273">
        <v>9</v>
      </c>
      <c r="E1273" t="str">
        <f t="shared" si="19"/>
        <v>September</v>
      </c>
      <c r="F1273">
        <v>3</v>
      </c>
      <c r="G1273" t="s">
        <v>1511</v>
      </c>
      <c r="H1273" t="s">
        <v>1512</v>
      </c>
      <c r="I1273" t="s">
        <v>1531</v>
      </c>
      <c r="J1273" t="s">
        <v>1524</v>
      </c>
      <c r="K1273" t="s">
        <v>1514</v>
      </c>
      <c r="L1273" s="2">
        <v>1</v>
      </c>
      <c r="M1273" s="10">
        <v>40792</v>
      </c>
      <c r="N1273" s="7">
        <v>40792</v>
      </c>
    </row>
    <row r="1274" spans="1:14" x14ac:dyDescent="0.3">
      <c r="A1274">
        <v>1272</v>
      </c>
      <c r="B1274" s="1">
        <v>45930</v>
      </c>
      <c r="C1274">
        <v>2025</v>
      </c>
      <c r="D1274">
        <v>9</v>
      </c>
      <c r="E1274" t="str">
        <f t="shared" si="19"/>
        <v>September</v>
      </c>
      <c r="F1274">
        <v>3</v>
      </c>
      <c r="G1274" t="s">
        <v>1515</v>
      </c>
      <c r="H1274" t="s">
        <v>1512</v>
      </c>
      <c r="I1274" t="s">
        <v>1516</v>
      </c>
      <c r="J1274" t="s">
        <v>1517</v>
      </c>
      <c r="K1274" t="s">
        <v>1514</v>
      </c>
      <c r="L1274" s="2">
        <v>2</v>
      </c>
      <c r="M1274" s="10">
        <v>3380</v>
      </c>
      <c r="N1274" s="7">
        <v>6760</v>
      </c>
    </row>
    <row r="1275" spans="1:14" x14ac:dyDescent="0.3">
      <c r="A1275">
        <v>1273</v>
      </c>
      <c r="B1275" s="1">
        <v>45931</v>
      </c>
      <c r="C1275">
        <v>2025</v>
      </c>
      <c r="D1275">
        <v>10</v>
      </c>
      <c r="E1275" t="str">
        <f t="shared" si="19"/>
        <v>Oktober</v>
      </c>
      <c r="F1275">
        <v>4</v>
      </c>
      <c r="G1275" t="s">
        <v>1534</v>
      </c>
      <c r="H1275" t="s">
        <v>1530</v>
      </c>
      <c r="I1275" t="s">
        <v>1528</v>
      </c>
      <c r="J1275" t="s">
        <v>1566</v>
      </c>
      <c r="K1275" t="s">
        <v>1514</v>
      </c>
      <c r="L1275" s="2">
        <v>2</v>
      </c>
      <c r="M1275" s="10">
        <v>1061</v>
      </c>
      <c r="N1275" s="7">
        <v>2122</v>
      </c>
    </row>
    <row r="1276" spans="1:14" x14ac:dyDescent="0.3">
      <c r="A1276">
        <v>1274</v>
      </c>
      <c r="B1276" s="1">
        <v>45932</v>
      </c>
      <c r="C1276">
        <v>2025</v>
      </c>
      <c r="D1276">
        <v>10</v>
      </c>
      <c r="E1276" t="str">
        <f t="shared" si="19"/>
        <v>Oktober</v>
      </c>
      <c r="F1276">
        <v>4</v>
      </c>
      <c r="G1276" t="s">
        <v>1519</v>
      </c>
      <c r="H1276" t="s">
        <v>1520</v>
      </c>
      <c r="I1276" t="s">
        <v>1528</v>
      </c>
      <c r="J1276" t="s">
        <v>1524</v>
      </c>
      <c r="K1276" t="s">
        <v>1518</v>
      </c>
      <c r="L1276" s="2">
        <v>5</v>
      </c>
      <c r="M1276" s="10">
        <v>9610</v>
      </c>
      <c r="N1276" s="7">
        <v>48050</v>
      </c>
    </row>
    <row r="1277" spans="1:14" x14ac:dyDescent="0.3">
      <c r="A1277">
        <v>1275</v>
      </c>
      <c r="B1277" s="1">
        <v>45933</v>
      </c>
      <c r="C1277">
        <v>2025</v>
      </c>
      <c r="D1277">
        <v>10</v>
      </c>
      <c r="E1277" t="str">
        <f t="shared" si="19"/>
        <v>Oktober</v>
      </c>
      <c r="F1277">
        <v>4</v>
      </c>
      <c r="G1277" t="s">
        <v>1522</v>
      </c>
      <c r="H1277" t="s">
        <v>1520</v>
      </c>
      <c r="I1277" t="s">
        <v>1516</v>
      </c>
      <c r="J1277" t="s">
        <v>1524</v>
      </c>
      <c r="K1277" t="s">
        <v>1518</v>
      </c>
      <c r="L1277" s="2">
        <v>1</v>
      </c>
      <c r="M1277" s="10">
        <v>901</v>
      </c>
      <c r="N1277" s="7">
        <v>901</v>
      </c>
    </row>
    <row r="1278" spans="1:14" x14ac:dyDescent="0.3">
      <c r="A1278">
        <v>1276</v>
      </c>
      <c r="B1278" s="1">
        <v>45934</v>
      </c>
      <c r="C1278">
        <v>2025</v>
      </c>
      <c r="D1278">
        <v>10</v>
      </c>
      <c r="E1278" t="str">
        <f t="shared" si="19"/>
        <v>Oktober</v>
      </c>
      <c r="F1278">
        <v>4</v>
      </c>
      <c r="G1278" t="s">
        <v>1523</v>
      </c>
      <c r="H1278" t="s">
        <v>1512</v>
      </c>
      <c r="I1278" t="s">
        <v>1521</v>
      </c>
      <c r="J1278" t="s">
        <v>1524</v>
      </c>
      <c r="K1278" t="s">
        <v>1514</v>
      </c>
      <c r="L1278" s="2">
        <v>2</v>
      </c>
      <c r="M1278" s="10">
        <v>18752</v>
      </c>
      <c r="N1278" s="7">
        <v>37504</v>
      </c>
    </row>
    <row r="1279" spans="1:14" x14ac:dyDescent="0.3">
      <c r="A1279">
        <v>1277</v>
      </c>
      <c r="B1279" s="1">
        <v>45935</v>
      </c>
      <c r="C1279">
        <v>2025</v>
      </c>
      <c r="D1279">
        <v>10</v>
      </c>
      <c r="E1279" t="str">
        <f t="shared" si="19"/>
        <v>Oktober</v>
      </c>
      <c r="F1279">
        <v>4</v>
      </c>
      <c r="G1279" t="s">
        <v>1526</v>
      </c>
      <c r="H1279" t="s">
        <v>1527</v>
      </c>
      <c r="I1279" t="s">
        <v>1516</v>
      </c>
      <c r="J1279" t="s">
        <v>1566</v>
      </c>
      <c r="K1279" t="s">
        <v>1514</v>
      </c>
      <c r="L1279" s="2">
        <v>1</v>
      </c>
      <c r="M1279" s="10">
        <v>129</v>
      </c>
      <c r="N1279" s="7">
        <v>129</v>
      </c>
    </row>
    <row r="1280" spans="1:14" x14ac:dyDescent="0.3">
      <c r="A1280">
        <v>1278</v>
      </c>
      <c r="B1280" s="1">
        <v>45936</v>
      </c>
      <c r="C1280">
        <v>2025</v>
      </c>
      <c r="D1280">
        <v>10</v>
      </c>
      <c r="E1280" t="str">
        <f t="shared" si="19"/>
        <v>Oktober</v>
      </c>
      <c r="F1280">
        <v>4</v>
      </c>
      <c r="G1280" t="s">
        <v>1529</v>
      </c>
      <c r="H1280" t="s">
        <v>1530</v>
      </c>
      <c r="I1280" t="s">
        <v>1528</v>
      </c>
      <c r="J1280" t="s">
        <v>1566</v>
      </c>
      <c r="K1280" t="s">
        <v>1518</v>
      </c>
      <c r="L1280" s="2">
        <v>1</v>
      </c>
      <c r="M1280" s="10">
        <v>828</v>
      </c>
      <c r="N1280" s="7">
        <v>828</v>
      </c>
    </row>
    <row r="1281" spans="1:14" x14ac:dyDescent="0.3">
      <c r="A1281">
        <v>1279</v>
      </c>
      <c r="B1281" s="1">
        <v>45937</v>
      </c>
      <c r="C1281">
        <v>2025</v>
      </c>
      <c r="D1281">
        <v>10</v>
      </c>
      <c r="E1281" t="str">
        <f t="shared" si="19"/>
        <v>Oktober</v>
      </c>
      <c r="F1281">
        <v>4</v>
      </c>
      <c r="G1281" t="s">
        <v>1532</v>
      </c>
      <c r="H1281" t="s">
        <v>1512</v>
      </c>
      <c r="I1281" t="s">
        <v>1531</v>
      </c>
      <c r="J1281" t="s">
        <v>1517</v>
      </c>
      <c r="K1281" t="s">
        <v>1518</v>
      </c>
      <c r="L1281" s="2">
        <v>2</v>
      </c>
      <c r="M1281" s="10">
        <v>4999</v>
      </c>
      <c r="N1281" s="7">
        <v>9998</v>
      </c>
    </row>
    <row r="1282" spans="1:14" x14ac:dyDescent="0.3">
      <c r="A1282">
        <v>1280</v>
      </c>
      <c r="B1282" s="1">
        <v>45938</v>
      </c>
      <c r="C1282">
        <v>2025</v>
      </c>
      <c r="D1282">
        <v>10</v>
      </c>
      <c r="E1282" t="str">
        <f t="shared" si="19"/>
        <v>Oktober</v>
      </c>
      <c r="F1282">
        <v>4</v>
      </c>
      <c r="G1282" t="s">
        <v>1533</v>
      </c>
      <c r="H1282" t="s">
        <v>1520</v>
      </c>
      <c r="I1282" t="s">
        <v>1521</v>
      </c>
      <c r="J1282" t="s">
        <v>1517</v>
      </c>
      <c r="K1282" t="s">
        <v>1514</v>
      </c>
      <c r="L1282" s="2">
        <v>4</v>
      </c>
      <c r="M1282" s="10">
        <v>677</v>
      </c>
      <c r="N1282" s="7">
        <v>2708</v>
      </c>
    </row>
    <row r="1283" spans="1:14" x14ac:dyDescent="0.3">
      <c r="A1283">
        <v>1281</v>
      </c>
      <c r="B1283" s="1">
        <v>45939</v>
      </c>
      <c r="C1283">
        <v>2025</v>
      </c>
      <c r="D1283">
        <v>10</v>
      </c>
      <c r="E1283" t="str">
        <f t="shared" ref="E1283:E1346" si="20">TEXT(DATE(2026, D1283, 1), "[$-id-ID]mmmm")</f>
        <v>Oktober</v>
      </c>
      <c r="F1283">
        <v>4</v>
      </c>
      <c r="G1283" t="s">
        <v>1511</v>
      </c>
      <c r="H1283" t="s">
        <v>1512</v>
      </c>
      <c r="I1283" t="s">
        <v>1528</v>
      </c>
      <c r="J1283" t="s">
        <v>1524</v>
      </c>
      <c r="K1283" t="s">
        <v>1514</v>
      </c>
      <c r="L1283" s="2">
        <v>1</v>
      </c>
      <c r="M1283" s="10">
        <v>47291</v>
      </c>
      <c r="N1283" s="7">
        <v>47291</v>
      </c>
    </row>
    <row r="1284" spans="1:14" x14ac:dyDescent="0.3">
      <c r="A1284">
        <v>1282</v>
      </c>
      <c r="B1284" s="1">
        <v>45940</v>
      </c>
      <c r="C1284">
        <v>2025</v>
      </c>
      <c r="D1284">
        <v>10</v>
      </c>
      <c r="E1284" t="str">
        <f t="shared" si="20"/>
        <v>Oktober</v>
      </c>
      <c r="F1284">
        <v>4</v>
      </c>
      <c r="G1284" t="s">
        <v>1515</v>
      </c>
      <c r="H1284" t="s">
        <v>1512</v>
      </c>
      <c r="I1284" t="s">
        <v>1521</v>
      </c>
      <c r="J1284" t="s">
        <v>1524</v>
      </c>
      <c r="K1284" t="s">
        <v>1514</v>
      </c>
      <c r="L1284" s="2">
        <v>3</v>
      </c>
      <c r="M1284" s="10">
        <v>2127</v>
      </c>
      <c r="N1284" s="7">
        <v>6381</v>
      </c>
    </row>
    <row r="1285" spans="1:14" x14ac:dyDescent="0.3">
      <c r="A1285">
        <v>1283</v>
      </c>
      <c r="B1285" s="1">
        <v>45941</v>
      </c>
      <c r="C1285">
        <v>2025</v>
      </c>
      <c r="D1285">
        <v>10</v>
      </c>
      <c r="E1285" t="str">
        <f t="shared" si="20"/>
        <v>Oktober</v>
      </c>
      <c r="F1285">
        <v>4</v>
      </c>
      <c r="G1285" t="s">
        <v>1534</v>
      </c>
      <c r="H1285" t="s">
        <v>1530</v>
      </c>
      <c r="I1285" t="s">
        <v>1516</v>
      </c>
      <c r="J1285" t="s">
        <v>1517</v>
      </c>
      <c r="K1285" t="s">
        <v>1514</v>
      </c>
      <c r="L1285" s="2">
        <v>3</v>
      </c>
      <c r="M1285" s="10">
        <v>2869</v>
      </c>
      <c r="N1285" s="7">
        <v>8607</v>
      </c>
    </row>
    <row r="1286" spans="1:14" x14ac:dyDescent="0.3">
      <c r="A1286">
        <v>1284</v>
      </c>
      <c r="B1286" s="1">
        <v>45942</v>
      </c>
      <c r="C1286">
        <v>2025</v>
      </c>
      <c r="D1286">
        <v>10</v>
      </c>
      <c r="E1286" t="str">
        <f t="shared" si="20"/>
        <v>Oktober</v>
      </c>
      <c r="F1286">
        <v>4</v>
      </c>
      <c r="G1286" t="s">
        <v>1519</v>
      </c>
      <c r="H1286" t="s">
        <v>1520</v>
      </c>
      <c r="I1286" t="s">
        <v>1531</v>
      </c>
      <c r="J1286" t="s">
        <v>1524</v>
      </c>
      <c r="K1286" t="s">
        <v>1525</v>
      </c>
      <c r="L1286" s="2">
        <v>3</v>
      </c>
      <c r="M1286" s="10">
        <v>7361</v>
      </c>
      <c r="N1286" s="7">
        <v>22083</v>
      </c>
    </row>
    <row r="1287" spans="1:14" x14ac:dyDescent="0.3">
      <c r="A1287">
        <v>1285</v>
      </c>
      <c r="B1287" s="1">
        <v>45943</v>
      </c>
      <c r="C1287">
        <v>2025</v>
      </c>
      <c r="D1287">
        <v>10</v>
      </c>
      <c r="E1287" t="str">
        <f t="shared" si="20"/>
        <v>Oktober</v>
      </c>
      <c r="F1287">
        <v>4</v>
      </c>
      <c r="G1287" t="s">
        <v>1522</v>
      </c>
      <c r="H1287" t="s">
        <v>1520</v>
      </c>
      <c r="I1287" t="s">
        <v>1516</v>
      </c>
      <c r="J1287" t="s">
        <v>1517</v>
      </c>
      <c r="K1287" t="s">
        <v>1518</v>
      </c>
      <c r="L1287" s="2">
        <v>5</v>
      </c>
      <c r="M1287" s="10">
        <v>828</v>
      </c>
      <c r="N1287" s="7">
        <v>4140</v>
      </c>
    </row>
    <row r="1288" spans="1:14" x14ac:dyDescent="0.3">
      <c r="A1288">
        <v>1286</v>
      </c>
      <c r="B1288" s="1">
        <v>45944</v>
      </c>
      <c r="C1288">
        <v>2025</v>
      </c>
      <c r="D1288">
        <v>10</v>
      </c>
      <c r="E1288" t="str">
        <f t="shared" si="20"/>
        <v>Oktober</v>
      </c>
      <c r="F1288">
        <v>4</v>
      </c>
      <c r="G1288" t="s">
        <v>1523</v>
      </c>
      <c r="H1288" t="s">
        <v>1512</v>
      </c>
      <c r="I1288" t="s">
        <v>1528</v>
      </c>
      <c r="J1288" t="s">
        <v>1517</v>
      </c>
      <c r="K1288" t="s">
        <v>1518</v>
      </c>
      <c r="L1288" s="2">
        <v>1</v>
      </c>
      <c r="M1288" s="10">
        <v>16337</v>
      </c>
      <c r="N1288" s="7">
        <v>16337</v>
      </c>
    </row>
    <row r="1289" spans="1:14" x14ac:dyDescent="0.3">
      <c r="A1289">
        <v>1287</v>
      </c>
      <c r="B1289" s="1">
        <v>45945</v>
      </c>
      <c r="C1289">
        <v>2025</v>
      </c>
      <c r="D1289">
        <v>10</v>
      </c>
      <c r="E1289" t="str">
        <f t="shared" si="20"/>
        <v>Oktober</v>
      </c>
      <c r="F1289">
        <v>4</v>
      </c>
      <c r="G1289" t="s">
        <v>1526</v>
      </c>
      <c r="H1289" t="s">
        <v>1527</v>
      </c>
      <c r="I1289" t="s">
        <v>1513</v>
      </c>
      <c r="J1289" t="s">
        <v>1566</v>
      </c>
      <c r="K1289" t="s">
        <v>1514</v>
      </c>
      <c r="L1289" s="2">
        <v>3</v>
      </c>
      <c r="M1289" s="10">
        <v>295</v>
      </c>
      <c r="N1289" s="7">
        <v>885</v>
      </c>
    </row>
    <row r="1290" spans="1:14" x14ac:dyDescent="0.3">
      <c r="A1290">
        <v>1288</v>
      </c>
      <c r="B1290" s="1">
        <v>45946</v>
      </c>
      <c r="C1290">
        <v>2025</v>
      </c>
      <c r="D1290">
        <v>10</v>
      </c>
      <c r="E1290" t="str">
        <f t="shared" si="20"/>
        <v>Oktober</v>
      </c>
      <c r="F1290">
        <v>4</v>
      </c>
      <c r="G1290" t="s">
        <v>1529</v>
      </c>
      <c r="H1290" t="s">
        <v>1530</v>
      </c>
      <c r="I1290" t="s">
        <v>1535</v>
      </c>
      <c r="J1290" t="s">
        <v>1566</v>
      </c>
      <c r="K1290" t="s">
        <v>1518</v>
      </c>
      <c r="L1290" s="2">
        <v>2</v>
      </c>
      <c r="M1290" s="10">
        <v>1486</v>
      </c>
      <c r="N1290" s="7">
        <v>2972</v>
      </c>
    </row>
    <row r="1291" spans="1:14" x14ac:dyDescent="0.3">
      <c r="A1291">
        <v>1289</v>
      </c>
      <c r="B1291" s="1">
        <v>45947</v>
      </c>
      <c r="C1291">
        <v>2025</v>
      </c>
      <c r="D1291">
        <v>10</v>
      </c>
      <c r="E1291" t="str">
        <f t="shared" si="20"/>
        <v>Oktober</v>
      </c>
      <c r="F1291">
        <v>4</v>
      </c>
      <c r="G1291" t="s">
        <v>1532</v>
      </c>
      <c r="H1291" t="s">
        <v>1512</v>
      </c>
      <c r="I1291" t="s">
        <v>1535</v>
      </c>
      <c r="J1291" t="s">
        <v>1566</v>
      </c>
      <c r="K1291" t="s">
        <v>1525</v>
      </c>
      <c r="L1291" s="2">
        <v>2</v>
      </c>
      <c r="M1291" s="10">
        <v>12872</v>
      </c>
      <c r="N1291" s="7">
        <v>25744</v>
      </c>
    </row>
    <row r="1292" spans="1:14" x14ac:dyDescent="0.3">
      <c r="A1292">
        <v>1290</v>
      </c>
      <c r="B1292" s="1">
        <v>45948</v>
      </c>
      <c r="C1292">
        <v>2025</v>
      </c>
      <c r="D1292">
        <v>10</v>
      </c>
      <c r="E1292" t="str">
        <f t="shared" si="20"/>
        <v>Oktober</v>
      </c>
      <c r="F1292">
        <v>4</v>
      </c>
      <c r="G1292" t="s">
        <v>1533</v>
      </c>
      <c r="H1292" t="s">
        <v>1520</v>
      </c>
      <c r="I1292" t="s">
        <v>1521</v>
      </c>
      <c r="J1292" t="s">
        <v>1517</v>
      </c>
      <c r="K1292" t="s">
        <v>1518</v>
      </c>
      <c r="L1292" s="2">
        <v>3</v>
      </c>
      <c r="M1292" s="10">
        <v>740</v>
      </c>
      <c r="N1292" s="7">
        <v>2220</v>
      </c>
    </row>
    <row r="1293" spans="1:14" x14ac:dyDescent="0.3">
      <c r="A1293">
        <v>1291</v>
      </c>
      <c r="B1293" s="1">
        <v>45949</v>
      </c>
      <c r="C1293">
        <v>2025</v>
      </c>
      <c r="D1293">
        <v>10</v>
      </c>
      <c r="E1293" t="str">
        <f t="shared" si="20"/>
        <v>Oktober</v>
      </c>
      <c r="F1293">
        <v>4</v>
      </c>
      <c r="G1293" t="s">
        <v>1511</v>
      </c>
      <c r="H1293" t="s">
        <v>1512</v>
      </c>
      <c r="I1293" t="s">
        <v>1535</v>
      </c>
      <c r="J1293" t="s">
        <v>1517</v>
      </c>
      <c r="K1293" t="s">
        <v>1514</v>
      </c>
      <c r="L1293" s="2">
        <v>1</v>
      </c>
      <c r="M1293" s="10">
        <v>69296</v>
      </c>
      <c r="N1293" s="7">
        <v>69296</v>
      </c>
    </row>
    <row r="1294" spans="1:14" x14ac:dyDescent="0.3">
      <c r="A1294">
        <v>1292</v>
      </c>
      <c r="B1294" s="1">
        <v>45950</v>
      </c>
      <c r="C1294">
        <v>2025</v>
      </c>
      <c r="D1294">
        <v>10</v>
      </c>
      <c r="E1294" t="str">
        <f t="shared" si="20"/>
        <v>Oktober</v>
      </c>
      <c r="F1294">
        <v>4</v>
      </c>
      <c r="G1294" t="s">
        <v>1515</v>
      </c>
      <c r="H1294" t="s">
        <v>1512</v>
      </c>
      <c r="I1294" t="s">
        <v>1531</v>
      </c>
      <c r="J1294" t="s">
        <v>1566</v>
      </c>
      <c r="K1294" t="s">
        <v>1518</v>
      </c>
      <c r="L1294" s="2">
        <v>1</v>
      </c>
      <c r="M1294" s="10">
        <v>3960</v>
      </c>
      <c r="N1294" s="7">
        <v>3960</v>
      </c>
    </row>
    <row r="1295" spans="1:14" x14ac:dyDescent="0.3">
      <c r="A1295">
        <v>1293</v>
      </c>
      <c r="B1295" s="1">
        <v>45951</v>
      </c>
      <c r="C1295">
        <v>2025</v>
      </c>
      <c r="D1295">
        <v>10</v>
      </c>
      <c r="E1295" t="str">
        <f t="shared" si="20"/>
        <v>Oktober</v>
      </c>
      <c r="F1295">
        <v>4</v>
      </c>
      <c r="G1295" t="s">
        <v>1534</v>
      </c>
      <c r="H1295" t="s">
        <v>1530</v>
      </c>
      <c r="I1295" t="s">
        <v>1535</v>
      </c>
      <c r="J1295" t="s">
        <v>1566</v>
      </c>
      <c r="K1295" t="s">
        <v>1518</v>
      </c>
      <c r="L1295" s="2">
        <v>3</v>
      </c>
      <c r="M1295" s="10">
        <v>4486</v>
      </c>
      <c r="N1295" s="7">
        <v>13458</v>
      </c>
    </row>
    <row r="1296" spans="1:14" x14ac:dyDescent="0.3">
      <c r="A1296">
        <v>1294</v>
      </c>
      <c r="B1296" s="1">
        <v>45952</v>
      </c>
      <c r="C1296">
        <v>2025</v>
      </c>
      <c r="D1296">
        <v>10</v>
      </c>
      <c r="E1296" t="str">
        <f t="shared" si="20"/>
        <v>Oktober</v>
      </c>
      <c r="F1296">
        <v>4</v>
      </c>
      <c r="G1296" t="s">
        <v>1519</v>
      </c>
      <c r="H1296" t="s">
        <v>1520</v>
      </c>
      <c r="I1296" t="s">
        <v>1535</v>
      </c>
      <c r="J1296" t="s">
        <v>1566</v>
      </c>
      <c r="K1296" t="s">
        <v>1518</v>
      </c>
      <c r="L1296" s="2">
        <v>1</v>
      </c>
      <c r="M1296" s="10">
        <v>18146</v>
      </c>
      <c r="N1296" s="7">
        <v>18146</v>
      </c>
    </row>
    <row r="1297" spans="1:14" x14ac:dyDescent="0.3">
      <c r="A1297">
        <v>1295</v>
      </c>
      <c r="B1297" s="1">
        <v>45953</v>
      </c>
      <c r="C1297">
        <v>2025</v>
      </c>
      <c r="D1297">
        <v>10</v>
      </c>
      <c r="E1297" t="str">
        <f t="shared" si="20"/>
        <v>Oktober</v>
      </c>
      <c r="F1297">
        <v>4</v>
      </c>
      <c r="G1297" t="s">
        <v>1522</v>
      </c>
      <c r="H1297" t="s">
        <v>1520</v>
      </c>
      <c r="I1297" t="s">
        <v>1516</v>
      </c>
      <c r="J1297" t="s">
        <v>1517</v>
      </c>
      <c r="K1297" t="s">
        <v>1525</v>
      </c>
      <c r="L1297" s="2">
        <v>1</v>
      </c>
      <c r="M1297" s="10">
        <v>274</v>
      </c>
      <c r="N1297" s="7">
        <v>274</v>
      </c>
    </row>
    <row r="1298" spans="1:14" x14ac:dyDescent="0.3">
      <c r="A1298">
        <v>1296</v>
      </c>
      <c r="B1298" s="1">
        <v>45954</v>
      </c>
      <c r="C1298">
        <v>2025</v>
      </c>
      <c r="D1298">
        <v>10</v>
      </c>
      <c r="E1298" t="str">
        <f t="shared" si="20"/>
        <v>Oktober</v>
      </c>
      <c r="F1298">
        <v>4</v>
      </c>
      <c r="G1298" t="s">
        <v>1523</v>
      </c>
      <c r="H1298" t="s">
        <v>1512</v>
      </c>
      <c r="I1298" t="s">
        <v>1516</v>
      </c>
      <c r="J1298" t="s">
        <v>1524</v>
      </c>
      <c r="K1298" t="s">
        <v>1518</v>
      </c>
      <c r="L1298" s="2">
        <v>1</v>
      </c>
      <c r="M1298" s="10">
        <v>34548</v>
      </c>
      <c r="N1298" s="7">
        <v>34548</v>
      </c>
    </row>
    <row r="1299" spans="1:14" x14ac:dyDescent="0.3">
      <c r="A1299">
        <v>1297</v>
      </c>
      <c r="B1299" s="1">
        <v>45955</v>
      </c>
      <c r="C1299">
        <v>2025</v>
      </c>
      <c r="D1299">
        <v>10</v>
      </c>
      <c r="E1299" t="str">
        <f t="shared" si="20"/>
        <v>Oktober</v>
      </c>
      <c r="F1299">
        <v>4</v>
      </c>
      <c r="G1299" t="s">
        <v>1526</v>
      </c>
      <c r="H1299" t="s">
        <v>1527</v>
      </c>
      <c r="I1299" t="s">
        <v>1531</v>
      </c>
      <c r="J1299" t="s">
        <v>1524</v>
      </c>
      <c r="K1299" t="s">
        <v>1525</v>
      </c>
      <c r="L1299" s="2">
        <v>1</v>
      </c>
      <c r="M1299" s="10">
        <v>925</v>
      </c>
      <c r="N1299" s="7">
        <v>925</v>
      </c>
    </row>
    <row r="1300" spans="1:14" x14ac:dyDescent="0.3">
      <c r="A1300">
        <v>1298</v>
      </c>
      <c r="B1300" s="1">
        <v>45956</v>
      </c>
      <c r="C1300">
        <v>2025</v>
      </c>
      <c r="D1300">
        <v>10</v>
      </c>
      <c r="E1300" t="str">
        <f t="shared" si="20"/>
        <v>Oktober</v>
      </c>
      <c r="F1300">
        <v>4</v>
      </c>
      <c r="G1300" t="s">
        <v>1529</v>
      </c>
      <c r="H1300" t="s">
        <v>1530</v>
      </c>
      <c r="I1300" t="s">
        <v>1535</v>
      </c>
      <c r="J1300" t="s">
        <v>1517</v>
      </c>
      <c r="K1300" t="s">
        <v>1525</v>
      </c>
      <c r="L1300" s="2">
        <v>4</v>
      </c>
      <c r="M1300" s="10">
        <v>899</v>
      </c>
      <c r="N1300" s="7">
        <v>3596</v>
      </c>
    </row>
    <row r="1301" spans="1:14" x14ac:dyDescent="0.3">
      <c r="A1301">
        <v>1299</v>
      </c>
      <c r="B1301" s="1">
        <v>45957</v>
      </c>
      <c r="C1301">
        <v>2025</v>
      </c>
      <c r="D1301">
        <v>10</v>
      </c>
      <c r="E1301" t="str">
        <f t="shared" si="20"/>
        <v>Oktober</v>
      </c>
      <c r="F1301">
        <v>4</v>
      </c>
      <c r="G1301" t="s">
        <v>1532</v>
      </c>
      <c r="H1301" t="s">
        <v>1512</v>
      </c>
      <c r="I1301" t="s">
        <v>1528</v>
      </c>
      <c r="J1301" t="s">
        <v>1517</v>
      </c>
      <c r="K1301" t="s">
        <v>1514</v>
      </c>
      <c r="L1301" s="2">
        <v>2</v>
      </c>
      <c r="M1301" s="10">
        <v>11888</v>
      </c>
      <c r="N1301" s="7">
        <v>23776</v>
      </c>
    </row>
    <row r="1302" spans="1:14" x14ac:dyDescent="0.3">
      <c r="A1302">
        <v>1300</v>
      </c>
      <c r="B1302" s="1">
        <v>45958</v>
      </c>
      <c r="C1302">
        <v>2025</v>
      </c>
      <c r="D1302">
        <v>10</v>
      </c>
      <c r="E1302" t="str">
        <f t="shared" si="20"/>
        <v>Oktober</v>
      </c>
      <c r="F1302">
        <v>4</v>
      </c>
      <c r="G1302" t="s">
        <v>1533</v>
      </c>
      <c r="H1302" t="s">
        <v>1520</v>
      </c>
      <c r="I1302" t="s">
        <v>1528</v>
      </c>
      <c r="J1302" t="s">
        <v>1524</v>
      </c>
      <c r="K1302" t="s">
        <v>1514</v>
      </c>
      <c r="L1302" s="2">
        <v>3</v>
      </c>
      <c r="M1302" s="10">
        <v>551</v>
      </c>
      <c r="N1302" s="7">
        <v>1653</v>
      </c>
    </row>
    <row r="1303" spans="1:14" x14ac:dyDescent="0.3">
      <c r="A1303">
        <v>1301</v>
      </c>
      <c r="B1303" s="1">
        <v>45959</v>
      </c>
      <c r="C1303">
        <v>2025</v>
      </c>
      <c r="D1303">
        <v>10</v>
      </c>
      <c r="E1303" t="str">
        <f t="shared" si="20"/>
        <v>Oktober</v>
      </c>
      <c r="F1303">
        <v>4</v>
      </c>
      <c r="G1303" t="s">
        <v>1511</v>
      </c>
      <c r="H1303" t="s">
        <v>1512</v>
      </c>
      <c r="I1303" t="s">
        <v>1516</v>
      </c>
      <c r="J1303" t="s">
        <v>1517</v>
      </c>
      <c r="K1303" t="s">
        <v>1525</v>
      </c>
      <c r="L1303" s="2">
        <v>1</v>
      </c>
      <c r="M1303" s="10">
        <v>57645</v>
      </c>
      <c r="N1303" s="7">
        <v>57645</v>
      </c>
    </row>
    <row r="1304" spans="1:14" x14ac:dyDescent="0.3">
      <c r="A1304">
        <v>1302</v>
      </c>
      <c r="B1304" s="1">
        <v>45960</v>
      </c>
      <c r="C1304">
        <v>2025</v>
      </c>
      <c r="D1304">
        <v>10</v>
      </c>
      <c r="E1304" t="str">
        <f t="shared" si="20"/>
        <v>Oktober</v>
      </c>
      <c r="F1304">
        <v>4</v>
      </c>
      <c r="G1304" t="s">
        <v>1515</v>
      </c>
      <c r="H1304" t="s">
        <v>1512</v>
      </c>
      <c r="I1304" t="s">
        <v>1516</v>
      </c>
      <c r="J1304" t="s">
        <v>1566</v>
      </c>
      <c r="K1304" t="s">
        <v>1514</v>
      </c>
      <c r="L1304" s="2">
        <v>2</v>
      </c>
      <c r="M1304" s="10">
        <v>3967</v>
      </c>
      <c r="N1304" s="7">
        <v>7934</v>
      </c>
    </row>
    <row r="1305" spans="1:14" x14ac:dyDescent="0.3">
      <c r="A1305">
        <v>1303</v>
      </c>
      <c r="B1305" s="1">
        <v>45961</v>
      </c>
      <c r="C1305">
        <v>2025</v>
      </c>
      <c r="D1305">
        <v>10</v>
      </c>
      <c r="E1305" t="str">
        <f t="shared" si="20"/>
        <v>Oktober</v>
      </c>
      <c r="F1305">
        <v>4</v>
      </c>
      <c r="G1305" t="s">
        <v>1534</v>
      </c>
      <c r="H1305" t="s">
        <v>1530</v>
      </c>
      <c r="I1305" t="s">
        <v>1516</v>
      </c>
      <c r="J1305" t="s">
        <v>1566</v>
      </c>
      <c r="K1305" t="s">
        <v>1518</v>
      </c>
      <c r="L1305" s="2">
        <v>1</v>
      </c>
      <c r="M1305" s="10">
        <v>4593</v>
      </c>
      <c r="N1305" s="7">
        <v>4593</v>
      </c>
    </row>
    <row r="1306" spans="1:14" x14ac:dyDescent="0.3">
      <c r="A1306">
        <v>1304</v>
      </c>
      <c r="B1306" s="1">
        <v>45962</v>
      </c>
      <c r="C1306">
        <v>2025</v>
      </c>
      <c r="D1306">
        <v>11</v>
      </c>
      <c r="E1306" t="str">
        <f t="shared" si="20"/>
        <v>November</v>
      </c>
      <c r="F1306">
        <v>4</v>
      </c>
      <c r="G1306" t="s">
        <v>1519</v>
      </c>
      <c r="H1306" t="s">
        <v>1520</v>
      </c>
      <c r="I1306" t="s">
        <v>1516</v>
      </c>
      <c r="J1306" t="s">
        <v>1517</v>
      </c>
      <c r="K1306" t="s">
        <v>1525</v>
      </c>
      <c r="L1306" s="2">
        <v>4</v>
      </c>
      <c r="M1306" s="10">
        <v>5728</v>
      </c>
      <c r="N1306" s="7">
        <v>22912</v>
      </c>
    </row>
    <row r="1307" spans="1:14" x14ac:dyDescent="0.3">
      <c r="A1307">
        <v>1305</v>
      </c>
      <c r="B1307" s="1">
        <v>45963</v>
      </c>
      <c r="C1307">
        <v>2025</v>
      </c>
      <c r="D1307">
        <v>11</v>
      </c>
      <c r="E1307" t="str">
        <f t="shared" si="20"/>
        <v>November</v>
      </c>
      <c r="F1307">
        <v>4</v>
      </c>
      <c r="G1307" t="s">
        <v>1522</v>
      </c>
      <c r="H1307" t="s">
        <v>1520</v>
      </c>
      <c r="I1307" t="s">
        <v>1535</v>
      </c>
      <c r="J1307" t="s">
        <v>1517</v>
      </c>
      <c r="K1307" t="s">
        <v>1525</v>
      </c>
      <c r="L1307" s="2">
        <v>2</v>
      </c>
      <c r="M1307" s="10">
        <v>498</v>
      </c>
      <c r="N1307" s="7">
        <v>996</v>
      </c>
    </row>
    <row r="1308" spans="1:14" x14ac:dyDescent="0.3">
      <c r="A1308">
        <v>1306</v>
      </c>
      <c r="B1308" s="1">
        <v>45964</v>
      </c>
      <c r="C1308">
        <v>2025</v>
      </c>
      <c r="D1308">
        <v>11</v>
      </c>
      <c r="E1308" t="str">
        <f t="shared" si="20"/>
        <v>November</v>
      </c>
      <c r="F1308">
        <v>4</v>
      </c>
      <c r="G1308" t="s">
        <v>1523</v>
      </c>
      <c r="H1308" t="s">
        <v>1512</v>
      </c>
      <c r="I1308" t="s">
        <v>1531</v>
      </c>
      <c r="J1308" t="s">
        <v>1517</v>
      </c>
      <c r="K1308" t="s">
        <v>1518</v>
      </c>
      <c r="L1308" s="2">
        <v>2</v>
      </c>
      <c r="M1308" s="10">
        <v>39710</v>
      </c>
      <c r="N1308" s="7">
        <v>79420</v>
      </c>
    </row>
    <row r="1309" spans="1:14" x14ac:dyDescent="0.3">
      <c r="A1309">
        <v>1307</v>
      </c>
      <c r="B1309" s="1">
        <v>45965</v>
      </c>
      <c r="C1309">
        <v>2025</v>
      </c>
      <c r="D1309">
        <v>11</v>
      </c>
      <c r="E1309" t="str">
        <f t="shared" si="20"/>
        <v>November</v>
      </c>
      <c r="F1309">
        <v>4</v>
      </c>
      <c r="G1309" t="s">
        <v>1526</v>
      </c>
      <c r="H1309" t="s">
        <v>1527</v>
      </c>
      <c r="I1309" t="s">
        <v>1516</v>
      </c>
      <c r="J1309" t="s">
        <v>1566</v>
      </c>
      <c r="K1309" t="s">
        <v>1514</v>
      </c>
      <c r="L1309" s="2">
        <v>3</v>
      </c>
      <c r="M1309" s="10">
        <v>197</v>
      </c>
      <c r="N1309" s="7">
        <v>591</v>
      </c>
    </row>
    <row r="1310" spans="1:14" x14ac:dyDescent="0.3">
      <c r="A1310">
        <v>1308</v>
      </c>
      <c r="B1310" s="1">
        <v>45966</v>
      </c>
      <c r="C1310">
        <v>2025</v>
      </c>
      <c r="D1310">
        <v>11</v>
      </c>
      <c r="E1310" t="str">
        <f t="shared" si="20"/>
        <v>November</v>
      </c>
      <c r="F1310">
        <v>4</v>
      </c>
      <c r="G1310" t="s">
        <v>1529</v>
      </c>
      <c r="H1310" t="s">
        <v>1530</v>
      </c>
      <c r="I1310" t="s">
        <v>1528</v>
      </c>
      <c r="J1310" t="s">
        <v>1517</v>
      </c>
      <c r="K1310" t="s">
        <v>1518</v>
      </c>
      <c r="L1310" s="2">
        <v>2</v>
      </c>
      <c r="M1310" s="10">
        <v>1815</v>
      </c>
      <c r="N1310" s="7">
        <v>3630</v>
      </c>
    </row>
    <row r="1311" spans="1:14" x14ac:dyDescent="0.3">
      <c r="A1311">
        <v>1309</v>
      </c>
      <c r="B1311" s="1">
        <v>45967</v>
      </c>
      <c r="C1311">
        <v>2025</v>
      </c>
      <c r="D1311">
        <v>11</v>
      </c>
      <c r="E1311" t="str">
        <f t="shared" si="20"/>
        <v>November</v>
      </c>
      <c r="F1311">
        <v>4</v>
      </c>
      <c r="G1311" t="s">
        <v>1532</v>
      </c>
      <c r="H1311" t="s">
        <v>1512</v>
      </c>
      <c r="I1311" t="s">
        <v>1513</v>
      </c>
      <c r="J1311" t="s">
        <v>1566</v>
      </c>
      <c r="K1311" t="s">
        <v>1518</v>
      </c>
      <c r="L1311" s="2">
        <v>2</v>
      </c>
      <c r="M1311" s="10">
        <v>3949</v>
      </c>
      <c r="N1311" s="7">
        <v>7898</v>
      </c>
    </row>
    <row r="1312" spans="1:14" x14ac:dyDescent="0.3">
      <c r="A1312">
        <v>1310</v>
      </c>
      <c r="B1312" s="1">
        <v>45968</v>
      </c>
      <c r="C1312">
        <v>2025</v>
      </c>
      <c r="D1312">
        <v>11</v>
      </c>
      <c r="E1312" t="str">
        <f t="shared" si="20"/>
        <v>November</v>
      </c>
      <c r="F1312">
        <v>4</v>
      </c>
      <c r="G1312" t="s">
        <v>1533</v>
      </c>
      <c r="H1312" t="s">
        <v>1520</v>
      </c>
      <c r="I1312" t="s">
        <v>1531</v>
      </c>
      <c r="J1312" t="s">
        <v>1517</v>
      </c>
      <c r="K1312" t="s">
        <v>1525</v>
      </c>
      <c r="L1312" s="2">
        <v>1</v>
      </c>
      <c r="M1312" s="10">
        <v>208</v>
      </c>
      <c r="N1312" s="7">
        <v>208</v>
      </c>
    </row>
    <row r="1313" spans="1:14" x14ac:dyDescent="0.3">
      <c r="A1313">
        <v>1311</v>
      </c>
      <c r="B1313" s="1">
        <v>45969</v>
      </c>
      <c r="C1313">
        <v>2025</v>
      </c>
      <c r="D1313">
        <v>11</v>
      </c>
      <c r="E1313" t="str">
        <f t="shared" si="20"/>
        <v>November</v>
      </c>
      <c r="F1313">
        <v>4</v>
      </c>
      <c r="G1313" t="s">
        <v>1511</v>
      </c>
      <c r="H1313" t="s">
        <v>1512</v>
      </c>
      <c r="I1313" t="s">
        <v>1531</v>
      </c>
      <c r="J1313" t="s">
        <v>1517</v>
      </c>
      <c r="K1313" t="s">
        <v>1525</v>
      </c>
      <c r="L1313" s="2">
        <v>1</v>
      </c>
      <c r="M1313" s="10">
        <v>50605</v>
      </c>
      <c r="N1313" s="7">
        <v>50605</v>
      </c>
    </row>
    <row r="1314" spans="1:14" x14ac:dyDescent="0.3">
      <c r="A1314">
        <v>1312</v>
      </c>
      <c r="B1314" s="1">
        <v>45970</v>
      </c>
      <c r="C1314">
        <v>2025</v>
      </c>
      <c r="D1314">
        <v>11</v>
      </c>
      <c r="E1314" t="str">
        <f t="shared" si="20"/>
        <v>November</v>
      </c>
      <c r="F1314">
        <v>4</v>
      </c>
      <c r="G1314" t="s">
        <v>1515</v>
      </c>
      <c r="H1314" t="s">
        <v>1512</v>
      </c>
      <c r="I1314" t="s">
        <v>1528</v>
      </c>
      <c r="J1314" t="s">
        <v>1517</v>
      </c>
      <c r="K1314" t="s">
        <v>1525</v>
      </c>
      <c r="L1314" s="2">
        <v>3</v>
      </c>
      <c r="M1314" s="10">
        <v>4319</v>
      </c>
      <c r="N1314" s="7">
        <v>12957</v>
      </c>
    </row>
    <row r="1315" spans="1:14" x14ac:dyDescent="0.3">
      <c r="A1315">
        <v>1313</v>
      </c>
      <c r="B1315" s="1">
        <v>45971</v>
      </c>
      <c r="C1315">
        <v>2025</v>
      </c>
      <c r="D1315">
        <v>11</v>
      </c>
      <c r="E1315" t="str">
        <f t="shared" si="20"/>
        <v>November</v>
      </c>
      <c r="F1315">
        <v>4</v>
      </c>
      <c r="G1315" t="s">
        <v>1534</v>
      </c>
      <c r="H1315" t="s">
        <v>1530</v>
      </c>
      <c r="I1315" t="s">
        <v>1516</v>
      </c>
      <c r="J1315" t="s">
        <v>1517</v>
      </c>
      <c r="K1315" t="s">
        <v>1514</v>
      </c>
      <c r="L1315" s="2">
        <v>1</v>
      </c>
      <c r="M1315" s="10">
        <v>3721</v>
      </c>
      <c r="N1315" s="7">
        <v>3721</v>
      </c>
    </row>
    <row r="1316" spans="1:14" x14ac:dyDescent="0.3">
      <c r="A1316">
        <v>1314</v>
      </c>
      <c r="B1316" s="1">
        <v>45972</v>
      </c>
      <c r="C1316">
        <v>2025</v>
      </c>
      <c r="D1316">
        <v>11</v>
      </c>
      <c r="E1316" t="str">
        <f t="shared" si="20"/>
        <v>November</v>
      </c>
      <c r="F1316">
        <v>4</v>
      </c>
      <c r="G1316" t="s">
        <v>1519</v>
      </c>
      <c r="H1316" t="s">
        <v>1520</v>
      </c>
      <c r="I1316" t="s">
        <v>1521</v>
      </c>
      <c r="J1316" t="s">
        <v>1566</v>
      </c>
      <c r="K1316" t="s">
        <v>1518</v>
      </c>
      <c r="L1316" s="2">
        <v>2</v>
      </c>
      <c r="M1316" s="10">
        <v>12930</v>
      </c>
      <c r="N1316" s="7">
        <v>25860</v>
      </c>
    </row>
    <row r="1317" spans="1:14" x14ac:dyDescent="0.3">
      <c r="A1317">
        <v>1315</v>
      </c>
      <c r="B1317" s="1">
        <v>45973</v>
      </c>
      <c r="C1317">
        <v>2025</v>
      </c>
      <c r="D1317">
        <v>11</v>
      </c>
      <c r="E1317" t="str">
        <f t="shared" si="20"/>
        <v>November</v>
      </c>
      <c r="F1317">
        <v>4</v>
      </c>
      <c r="G1317" t="s">
        <v>1522</v>
      </c>
      <c r="H1317" t="s">
        <v>1520</v>
      </c>
      <c r="I1317" t="s">
        <v>1521</v>
      </c>
      <c r="J1317" t="s">
        <v>1524</v>
      </c>
      <c r="K1317" t="s">
        <v>1514</v>
      </c>
      <c r="L1317" s="2">
        <v>4</v>
      </c>
      <c r="M1317" s="10">
        <v>707</v>
      </c>
      <c r="N1317" s="7">
        <v>2828</v>
      </c>
    </row>
    <row r="1318" spans="1:14" x14ac:dyDescent="0.3">
      <c r="A1318">
        <v>1316</v>
      </c>
      <c r="B1318" s="1">
        <v>45974</v>
      </c>
      <c r="C1318">
        <v>2025</v>
      </c>
      <c r="D1318">
        <v>11</v>
      </c>
      <c r="E1318" t="str">
        <f t="shared" si="20"/>
        <v>November</v>
      </c>
      <c r="F1318">
        <v>4</v>
      </c>
      <c r="G1318" t="s">
        <v>1523</v>
      </c>
      <c r="H1318" t="s">
        <v>1512</v>
      </c>
      <c r="I1318" t="s">
        <v>1528</v>
      </c>
      <c r="J1318" t="s">
        <v>1524</v>
      </c>
      <c r="K1318" t="s">
        <v>1514</v>
      </c>
      <c r="L1318" s="2">
        <v>2</v>
      </c>
      <c r="M1318" s="10">
        <v>36907</v>
      </c>
      <c r="N1318" s="7">
        <v>73814</v>
      </c>
    </row>
    <row r="1319" spans="1:14" x14ac:dyDescent="0.3">
      <c r="A1319">
        <v>1317</v>
      </c>
      <c r="B1319" s="1">
        <v>45975</v>
      </c>
      <c r="C1319">
        <v>2025</v>
      </c>
      <c r="D1319">
        <v>11</v>
      </c>
      <c r="E1319" t="str">
        <f t="shared" si="20"/>
        <v>November</v>
      </c>
      <c r="F1319">
        <v>4</v>
      </c>
      <c r="G1319" t="s">
        <v>1526</v>
      </c>
      <c r="H1319" t="s">
        <v>1527</v>
      </c>
      <c r="I1319" t="s">
        <v>1516</v>
      </c>
      <c r="J1319" t="s">
        <v>1517</v>
      </c>
      <c r="K1319" t="s">
        <v>1525</v>
      </c>
      <c r="L1319" s="2">
        <v>1</v>
      </c>
      <c r="M1319" s="10">
        <v>942</v>
      </c>
      <c r="N1319" s="7">
        <v>942</v>
      </c>
    </row>
    <row r="1320" spans="1:14" x14ac:dyDescent="0.3">
      <c r="A1320">
        <v>1318</v>
      </c>
      <c r="B1320" s="1">
        <v>45976</v>
      </c>
      <c r="C1320">
        <v>2025</v>
      </c>
      <c r="D1320">
        <v>11</v>
      </c>
      <c r="E1320" t="str">
        <f t="shared" si="20"/>
        <v>November</v>
      </c>
      <c r="F1320">
        <v>4</v>
      </c>
      <c r="G1320" t="s">
        <v>1529</v>
      </c>
      <c r="H1320" t="s">
        <v>1530</v>
      </c>
      <c r="I1320" t="s">
        <v>1531</v>
      </c>
      <c r="J1320" t="s">
        <v>1566</v>
      </c>
      <c r="K1320" t="s">
        <v>1518</v>
      </c>
      <c r="L1320" s="2">
        <v>3</v>
      </c>
      <c r="M1320" s="10">
        <v>826</v>
      </c>
      <c r="N1320" s="7">
        <v>2478</v>
      </c>
    </row>
    <row r="1321" spans="1:14" x14ac:dyDescent="0.3">
      <c r="A1321">
        <v>1319</v>
      </c>
      <c r="B1321" s="1">
        <v>45977</v>
      </c>
      <c r="C1321">
        <v>2025</v>
      </c>
      <c r="D1321">
        <v>11</v>
      </c>
      <c r="E1321" t="str">
        <f t="shared" si="20"/>
        <v>November</v>
      </c>
      <c r="F1321">
        <v>4</v>
      </c>
      <c r="G1321" t="s">
        <v>1532</v>
      </c>
      <c r="H1321" t="s">
        <v>1512</v>
      </c>
      <c r="I1321" t="s">
        <v>1528</v>
      </c>
      <c r="J1321" t="s">
        <v>1524</v>
      </c>
      <c r="K1321" t="s">
        <v>1514</v>
      </c>
      <c r="L1321" s="2">
        <v>1</v>
      </c>
      <c r="M1321" s="10">
        <v>3941</v>
      </c>
      <c r="N1321" s="7">
        <v>3941</v>
      </c>
    </row>
    <row r="1322" spans="1:14" x14ac:dyDescent="0.3">
      <c r="A1322">
        <v>1320</v>
      </c>
      <c r="B1322" s="1">
        <v>45978</v>
      </c>
      <c r="C1322">
        <v>2025</v>
      </c>
      <c r="D1322">
        <v>11</v>
      </c>
      <c r="E1322" t="str">
        <f t="shared" si="20"/>
        <v>November</v>
      </c>
      <c r="F1322">
        <v>4</v>
      </c>
      <c r="G1322" t="s">
        <v>1533</v>
      </c>
      <c r="H1322" t="s">
        <v>1520</v>
      </c>
      <c r="I1322" t="s">
        <v>1513</v>
      </c>
      <c r="J1322" t="s">
        <v>1517</v>
      </c>
      <c r="K1322" t="s">
        <v>1514</v>
      </c>
      <c r="L1322" s="2">
        <v>2</v>
      </c>
      <c r="M1322" s="10">
        <v>476</v>
      </c>
      <c r="N1322" s="7">
        <v>952</v>
      </c>
    </row>
    <row r="1323" spans="1:14" x14ac:dyDescent="0.3">
      <c r="A1323">
        <v>1321</v>
      </c>
      <c r="B1323" s="1">
        <v>45979</v>
      </c>
      <c r="C1323">
        <v>2025</v>
      </c>
      <c r="D1323">
        <v>11</v>
      </c>
      <c r="E1323" t="str">
        <f t="shared" si="20"/>
        <v>November</v>
      </c>
      <c r="F1323">
        <v>4</v>
      </c>
      <c r="G1323" t="s">
        <v>1511</v>
      </c>
      <c r="H1323" t="s">
        <v>1512</v>
      </c>
      <c r="I1323" t="s">
        <v>1521</v>
      </c>
      <c r="J1323" t="s">
        <v>1566</v>
      </c>
      <c r="K1323" t="s">
        <v>1525</v>
      </c>
      <c r="L1323" s="2">
        <v>2</v>
      </c>
      <c r="M1323" s="10">
        <v>41658</v>
      </c>
      <c r="N1323" s="7">
        <v>83316</v>
      </c>
    </row>
    <row r="1324" spans="1:14" x14ac:dyDescent="0.3">
      <c r="A1324">
        <v>1322</v>
      </c>
      <c r="B1324" s="1">
        <v>45980</v>
      </c>
      <c r="C1324">
        <v>2025</v>
      </c>
      <c r="D1324">
        <v>11</v>
      </c>
      <c r="E1324" t="str">
        <f t="shared" si="20"/>
        <v>November</v>
      </c>
      <c r="F1324">
        <v>4</v>
      </c>
      <c r="G1324" t="s">
        <v>1515</v>
      </c>
      <c r="H1324" t="s">
        <v>1512</v>
      </c>
      <c r="I1324" t="s">
        <v>1535</v>
      </c>
      <c r="J1324" t="s">
        <v>1524</v>
      </c>
      <c r="K1324" t="s">
        <v>1518</v>
      </c>
      <c r="L1324" s="2">
        <v>1</v>
      </c>
      <c r="M1324" s="10">
        <v>4084</v>
      </c>
      <c r="N1324" s="7">
        <v>4084</v>
      </c>
    </row>
    <row r="1325" spans="1:14" x14ac:dyDescent="0.3">
      <c r="A1325">
        <v>1323</v>
      </c>
      <c r="B1325" s="1">
        <v>45981</v>
      </c>
      <c r="C1325">
        <v>2025</v>
      </c>
      <c r="D1325">
        <v>11</v>
      </c>
      <c r="E1325" t="str">
        <f t="shared" si="20"/>
        <v>November</v>
      </c>
      <c r="F1325">
        <v>4</v>
      </c>
      <c r="G1325" t="s">
        <v>1534</v>
      </c>
      <c r="H1325" t="s">
        <v>1530</v>
      </c>
      <c r="I1325" t="s">
        <v>1521</v>
      </c>
      <c r="J1325" t="s">
        <v>1524</v>
      </c>
      <c r="K1325" t="s">
        <v>1518</v>
      </c>
      <c r="L1325" s="2">
        <v>3</v>
      </c>
      <c r="M1325" s="10">
        <v>3098</v>
      </c>
      <c r="N1325" s="7">
        <v>9294</v>
      </c>
    </row>
    <row r="1326" spans="1:14" x14ac:dyDescent="0.3">
      <c r="A1326">
        <v>1324</v>
      </c>
      <c r="B1326" s="1">
        <v>45982</v>
      </c>
      <c r="C1326">
        <v>2025</v>
      </c>
      <c r="D1326">
        <v>11</v>
      </c>
      <c r="E1326" t="str">
        <f t="shared" si="20"/>
        <v>November</v>
      </c>
      <c r="F1326">
        <v>4</v>
      </c>
      <c r="G1326" t="s">
        <v>1519</v>
      </c>
      <c r="H1326" t="s">
        <v>1520</v>
      </c>
      <c r="I1326" t="s">
        <v>1531</v>
      </c>
      <c r="J1326" t="s">
        <v>1566</v>
      </c>
      <c r="K1326" t="s">
        <v>1525</v>
      </c>
      <c r="L1326" s="2">
        <v>5</v>
      </c>
      <c r="M1326" s="10">
        <v>18226</v>
      </c>
      <c r="N1326" s="7">
        <v>91130</v>
      </c>
    </row>
    <row r="1327" spans="1:14" x14ac:dyDescent="0.3">
      <c r="A1327">
        <v>1325</v>
      </c>
      <c r="B1327" s="1">
        <v>45983</v>
      </c>
      <c r="C1327">
        <v>2025</v>
      </c>
      <c r="D1327">
        <v>11</v>
      </c>
      <c r="E1327" t="str">
        <f t="shared" si="20"/>
        <v>November</v>
      </c>
      <c r="F1327">
        <v>4</v>
      </c>
      <c r="G1327" t="s">
        <v>1522</v>
      </c>
      <c r="H1327" t="s">
        <v>1520</v>
      </c>
      <c r="I1327" t="s">
        <v>1513</v>
      </c>
      <c r="J1327" t="s">
        <v>1524</v>
      </c>
      <c r="K1327" t="s">
        <v>1525</v>
      </c>
      <c r="L1327" s="2">
        <v>5</v>
      </c>
      <c r="M1327" s="10">
        <v>298</v>
      </c>
      <c r="N1327" s="7">
        <v>1490</v>
      </c>
    </row>
    <row r="1328" spans="1:14" x14ac:dyDescent="0.3">
      <c r="A1328">
        <v>1326</v>
      </c>
      <c r="B1328" s="1">
        <v>45984</v>
      </c>
      <c r="C1328">
        <v>2025</v>
      </c>
      <c r="D1328">
        <v>11</v>
      </c>
      <c r="E1328" t="str">
        <f t="shared" si="20"/>
        <v>November</v>
      </c>
      <c r="F1328">
        <v>4</v>
      </c>
      <c r="G1328" t="s">
        <v>1523</v>
      </c>
      <c r="H1328" t="s">
        <v>1512</v>
      </c>
      <c r="I1328" t="s">
        <v>1528</v>
      </c>
      <c r="J1328" t="s">
        <v>1517</v>
      </c>
      <c r="K1328" t="s">
        <v>1525</v>
      </c>
      <c r="L1328" s="2">
        <v>2</v>
      </c>
      <c r="M1328" s="10">
        <v>12992</v>
      </c>
      <c r="N1328" s="7">
        <v>25984</v>
      </c>
    </row>
    <row r="1329" spans="1:14" x14ac:dyDescent="0.3">
      <c r="A1329">
        <v>1327</v>
      </c>
      <c r="B1329" s="1">
        <v>45985</v>
      </c>
      <c r="C1329">
        <v>2025</v>
      </c>
      <c r="D1329">
        <v>11</v>
      </c>
      <c r="E1329" t="str">
        <f t="shared" si="20"/>
        <v>November</v>
      </c>
      <c r="F1329">
        <v>4</v>
      </c>
      <c r="G1329" t="s">
        <v>1526</v>
      </c>
      <c r="H1329" t="s">
        <v>1527</v>
      </c>
      <c r="I1329" t="s">
        <v>1516</v>
      </c>
      <c r="J1329" t="s">
        <v>1517</v>
      </c>
      <c r="K1329" t="s">
        <v>1525</v>
      </c>
      <c r="L1329" s="2">
        <v>5</v>
      </c>
      <c r="M1329" s="10">
        <v>984</v>
      </c>
      <c r="N1329" s="7">
        <v>4920</v>
      </c>
    </row>
    <row r="1330" spans="1:14" x14ac:dyDescent="0.3">
      <c r="A1330">
        <v>1328</v>
      </c>
      <c r="B1330" s="1">
        <v>45986</v>
      </c>
      <c r="C1330">
        <v>2025</v>
      </c>
      <c r="D1330">
        <v>11</v>
      </c>
      <c r="E1330" t="str">
        <f t="shared" si="20"/>
        <v>November</v>
      </c>
      <c r="F1330">
        <v>4</v>
      </c>
      <c r="G1330" t="s">
        <v>1529</v>
      </c>
      <c r="H1330" t="s">
        <v>1530</v>
      </c>
      <c r="I1330" t="s">
        <v>1513</v>
      </c>
      <c r="J1330" t="s">
        <v>1566</v>
      </c>
      <c r="K1330" t="s">
        <v>1514</v>
      </c>
      <c r="L1330" s="2">
        <v>5</v>
      </c>
      <c r="M1330" s="10">
        <v>1432</v>
      </c>
      <c r="N1330" s="7">
        <v>7160</v>
      </c>
    </row>
    <row r="1331" spans="1:14" x14ac:dyDescent="0.3">
      <c r="A1331">
        <v>1329</v>
      </c>
      <c r="B1331" s="1">
        <v>45987</v>
      </c>
      <c r="C1331">
        <v>2025</v>
      </c>
      <c r="D1331">
        <v>11</v>
      </c>
      <c r="E1331" t="str">
        <f t="shared" si="20"/>
        <v>November</v>
      </c>
      <c r="F1331">
        <v>4</v>
      </c>
      <c r="G1331" t="s">
        <v>1532</v>
      </c>
      <c r="H1331" t="s">
        <v>1512</v>
      </c>
      <c r="I1331" t="s">
        <v>1528</v>
      </c>
      <c r="J1331" t="s">
        <v>1517</v>
      </c>
      <c r="K1331" t="s">
        <v>1525</v>
      </c>
      <c r="L1331" s="2">
        <v>2</v>
      </c>
      <c r="M1331" s="10">
        <v>12324</v>
      </c>
      <c r="N1331" s="7">
        <v>24648</v>
      </c>
    </row>
    <row r="1332" spans="1:14" x14ac:dyDescent="0.3">
      <c r="A1332">
        <v>1330</v>
      </c>
      <c r="B1332" s="1">
        <v>45988</v>
      </c>
      <c r="C1332">
        <v>2025</v>
      </c>
      <c r="D1332">
        <v>11</v>
      </c>
      <c r="E1332" t="str">
        <f t="shared" si="20"/>
        <v>November</v>
      </c>
      <c r="F1332">
        <v>4</v>
      </c>
      <c r="G1332" t="s">
        <v>1533</v>
      </c>
      <c r="H1332" t="s">
        <v>1520</v>
      </c>
      <c r="I1332" t="s">
        <v>1535</v>
      </c>
      <c r="J1332" t="s">
        <v>1524</v>
      </c>
      <c r="K1332" t="s">
        <v>1525</v>
      </c>
      <c r="L1332" s="2">
        <v>4</v>
      </c>
      <c r="M1332" s="10">
        <v>705</v>
      </c>
      <c r="N1332" s="7">
        <v>2820</v>
      </c>
    </row>
    <row r="1333" spans="1:14" x14ac:dyDescent="0.3">
      <c r="A1333">
        <v>1331</v>
      </c>
      <c r="B1333" s="1">
        <v>45989</v>
      </c>
      <c r="C1333">
        <v>2025</v>
      </c>
      <c r="D1333">
        <v>11</v>
      </c>
      <c r="E1333" t="str">
        <f t="shared" si="20"/>
        <v>November</v>
      </c>
      <c r="F1333">
        <v>4</v>
      </c>
      <c r="G1333" t="s">
        <v>1511</v>
      </c>
      <c r="H1333" t="s">
        <v>1512</v>
      </c>
      <c r="I1333" t="s">
        <v>1531</v>
      </c>
      <c r="J1333" t="s">
        <v>1517</v>
      </c>
      <c r="K1333" t="s">
        <v>1525</v>
      </c>
      <c r="L1333" s="2">
        <v>2</v>
      </c>
      <c r="M1333" s="10">
        <v>66703</v>
      </c>
      <c r="N1333" s="7">
        <v>133406</v>
      </c>
    </row>
    <row r="1334" spans="1:14" x14ac:dyDescent="0.3">
      <c r="A1334">
        <v>1332</v>
      </c>
      <c r="B1334" s="1">
        <v>45990</v>
      </c>
      <c r="C1334">
        <v>2025</v>
      </c>
      <c r="D1334">
        <v>11</v>
      </c>
      <c r="E1334" t="str">
        <f t="shared" si="20"/>
        <v>November</v>
      </c>
      <c r="F1334">
        <v>4</v>
      </c>
      <c r="G1334" t="s">
        <v>1515</v>
      </c>
      <c r="H1334" t="s">
        <v>1512</v>
      </c>
      <c r="I1334" t="s">
        <v>1535</v>
      </c>
      <c r="J1334" t="s">
        <v>1524</v>
      </c>
      <c r="K1334" t="s">
        <v>1518</v>
      </c>
      <c r="L1334" s="2">
        <v>1</v>
      </c>
      <c r="M1334" s="10">
        <v>2242</v>
      </c>
      <c r="N1334" s="7">
        <v>2242</v>
      </c>
    </row>
    <row r="1335" spans="1:14" x14ac:dyDescent="0.3">
      <c r="A1335">
        <v>1333</v>
      </c>
      <c r="B1335" s="1">
        <v>45991</v>
      </c>
      <c r="C1335">
        <v>2025</v>
      </c>
      <c r="D1335">
        <v>11</v>
      </c>
      <c r="E1335" t="str">
        <f t="shared" si="20"/>
        <v>November</v>
      </c>
      <c r="F1335">
        <v>4</v>
      </c>
      <c r="G1335" t="s">
        <v>1534</v>
      </c>
      <c r="H1335" t="s">
        <v>1530</v>
      </c>
      <c r="I1335" t="s">
        <v>1521</v>
      </c>
      <c r="J1335" t="s">
        <v>1524</v>
      </c>
      <c r="K1335" t="s">
        <v>1514</v>
      </c>
      <c r="L1335" s="2">
        <v>3</v>
      </c>
      <c r="M1335" s="10">
        <v>3095</v>
      </c>
      <c r="N1335" s="7">
        <v>9285</v>
      </c>
    </row>
    <row r="1336" spans="1:14" x14ac:dyDescent="0.3">
      <c r="A1336">
        <v>1334</v>
      </c>
      <c r="B1336" s="1">
        <v>45992</v>
      </c>
      <c r="C1336">
        <v>2025</v>
      </c>
      <c r="D1336">
        <v>12</v>
      </c>
      <c r="E1336" t="str">
        <f t="shared" si="20"/>
        <v>Desember</v>
      </c>
      <c r="F1336">
        <v>4</v>
      </c>
      <c r="G1336" t="s">
        <v>1519</v>
      </c>
      <c r="H1336" t="s">
        <v>1520</v>
      </c>
      <c r="I1336" t="s">
        <v>1516</v>
      </c>
      <c r="J1336" t="s">
        <v>1524</v>
      </c>
      <c r="K1336" t="s">
        <v>1514</v>
      </c>
      <c r="L1336" s="2">
        <v>3</v>
      </c>
      <c r="M1336" s="10">
        <v>4016</v>
      </c>
      <c r="N1336" s="7">
        <v>12048</v>
      </c>
    </row>
    <row r="1337" spans="1:14" x14ac:dyDescent="0.3">
      <c r="A1337">
        <v>1335</v>
      </c>
      <c r="B1337" s="1">
        <v>45993</v>
      </c>
      <c r="C1337">
        <v>2025</v>
      </c>
      <c r="D1337">
        <v>12</v>
      </c>
      <c r="E1337" t="str">
        <f t="shared" si="20"/>
        <v>Desember</v>
      </c>
      <c r="F1337">
        <v>4</v>
      </c>
      <c r="G1337" t="s">
        <v>1522</v>
      </c>
      <c r="H1337" t="s">
        <v>1520</v>
      </c>
      <c r="I1337" t="s">
        <v>1516</v>
      </c>
      <c r="J1337" t="s">
        <v>1517</v>
      </c>
      <c r="K1337" t="s">
        <v>1514</v>
      </c>
      <c r="L1337" s="2">
        <v>4</v>
      </c>
      <c r="M1337" s="10">
        <v>258</v>
      </c>
      <c r="N1337" s="7">
        <v>1032</v>
      </c>
    </row>
    <row r="1338" spans="1:14" x14ac:dyDescent="0.3">
      <c r="A1338">
        <v>1336</v>
      </c>
      <c r="B1338" s="1">
        <v>45994</v>
      </c>
      <c r="C1338">
        <v>2025</v>
      </c>
      <c r="D1338">
        <v>12</v>
      </c>
      <c r="E1338" t="str">
        <f t="shared" si="20"/>
        <v>Desember</v>
      </c>
      <c r="F1338">
        <v>4</v>
      </c>
      <c r="G1338" t="s">
        <v>1523</v>
      </c>
      <c r="H1338" t="s">
        <v>1512</v>
      </c>
      <c r="I1338" t="s">
        <v>1535</v>
      </c>
      <c r="J1338" t="s">
        <v>1517</v>
      </c>
      <c r="K1338" t="s">
        <v>1525</v>
      </c>
      <c r="L1338" s="2">
        <v>1</v>
      </c>
      <c r="M1338" s="10">
        <v>38061</v>
      </c>
      <c r="N1338" s="7">
        <v>38061</v>
      </c>
    </row>
    <row r="1339" spans="1:14" x14ac:dyDescent="0.3">
      <c r="A1339">
        <v>1337</v>
      </c>
      <c r="B1339" s="1">
        <v>45995</v>
      </c>
      <c r="C1339">
        <v>2025</v>
      </c>
      <c r="D1339">
        <v>12</v>
      </c>
      <c r="E1339" t="str">
        <f t="shared" si="20"/>
        <v>Desember</v>
      </c>
      <c r="F1339">
        <v>4</v>
      </c>
      <c r="G1339" t="s">
        <v>1526</v>
      </c>
      <c r="H1339" t="s">
        <v>1527</v>
      </c>
      <c r="I1339" t="s">
        <v>1516</v>
      </c>
      <c r="J1339" t="s">
        <v>1517</v>
      </c>
      <c r="K1339" t="s">
        <v>1518</v>
      </c>
      <c r="L1339" s="2">
        <v>2</v>
      </c>
      <c r="M1339" s="10">
        <v>366</v>
      </c>
      <c r="N1339" s="7">
        <v>732</v>
      </c>
    </row>
    <row r="1340" spans="1:14" x14ac:dyDescent="0.3">
      <c r="A1340">
        <v>1338</v>
      </c>
      <c r="B1340" s="1">
        <v>45996</v>
      </c>
      <c r="C1340">
        <v>2025</v>
      </c>
      <c r="D1340">
        <v>12</v>
      </c>
      <c r="E1340" t="str">
        <f t="shared" si="20"/>
        <v>Desember</v>
      </c>
      <c r="F1340">
        <v>4</v>
      </c>
      <c r="G1340" t="s">
        <v>1529</v>
      </c>
      <c r="H1340" t="s">
        <v>1530</v>
      </c>
      <c r="I1340" t="s">
        <v>1516</v>
      </c>
      <c r="J1340" t="s">
        <v>1524</v>
      </c>
      <c r="K1340" t="s">
        <v>1514</v>
      </c>
      <c r="L1340" s="2">
        <v>1</v>
      </c>
      <c r="M1340" s="10">
        <v>1827</v>
      </c>
      <c r="N1340" s="7">
        <v>1827</v>
      </c>
    </row>
    <row r="1341" spans="1:14" x14ac:dyDescent="0.3">
      <c r="A1341">
        <v>1339</v>
      </c>
      <c r="B1341" s="1">
        <v>45997</v>
      </c>
      <c r="C1341">
        <v>2025</v>
      </c>
      <c r="D1341">
        <v>12</v>
      </c>
      <c r="E1341" t="str">
        <f t="shared" si="20"/>
        <v>Desember</v>
      </c>
      <c r="F1341">
        <v>4</v>
      </c>
      <c r="G1341" t="s">
        <v>1532</v>
      </c>
      <c r="H1341" t="s">
        <v>1512</v>
      </c>
      <c r="I1341" t="s">
        <v>1528</v>
      </c>
      <c r="J1341" t="s">
        <v>1566</v>
      </c>
      <c r="K1341" t="s">
        <v>1518</v>
      </c>
      <c r="L1341" s="2">
        <v>1</v>
      </c>
      <c r="M1341" s="10">
        <v>6196</v>
      </c>
      <c r="N1341" s="7">
        <v>6196</v>
      </c>
    </row>
    <row r="1342" spans="1:14" x14ac:dyDescent="0.3">
      <c r="A1342">
        <v>1340</v>
      </c>
      <c r="B1342" s="1">
        <v>45998</v>
      </c>
      <c r="C1342">
        <v>2025</v>
      </c>
      <c r="D1342">
        <v>12</v>
      </c>
      <c r="E1342" t="str">
        <f t="shared" si="20"/>
        <v>Desember</v>
      </c>
      <c r="F1342">
        <v>4</v>
      </c>
      <c r="G1342" t="s">
        <v>1533</v>
      </c>
      <c r="H1342" t="s">
        <v>1520</v>
      </c>
      <c r="I1342" t="s">
        <v>1521</v>
      </c>
      <c r="J1342" t="s">
        <v>1524</v>
      </c>
      <c r="K1342" t="s">
        <v>1514</v>
      </c>
      <c r="L1342" s="2">
        <v>5</v>
      </c>
      <c r="M1342" s="10">
        <v>254</v>
      </c>
      <c r="N1342" s="7">
        <v>1270</v>
      </c>
    </row>
    <row r="1343" spans="1:14" x14ac:dyDescent="0.3">
      <c r="A1343">
        <v>1341</v>
      </c>
      <c r="B1343" s="1">
        <v>45999</v>
      </c>
      <c r="C1343">
        <v>2025</v>
      </c>
      <c r="D1343">
        <v>12</v>
      </c>
      <c r="E1343" t="str">
        <f t="shared" si="20"/>
        <v>Desember</v>
      </c>
      <c r="F1343">
        <v>4</v>
      </c>
      <c r="G1343" t="s">
        <v>1511</v>
      </c>
      <c r="H1343" t="s">
        <v>1512</v>
      </c>
      <c r="I1343" t="s">
        <v>1535</v>
      </c>
      <c r="J1343" t="s">
        <v>1524</v>
      </c>
      <c r="K1343" t="s">
        <v>1518</v>
      </c>
      <c r="L1343" s="2">
        <v>2</v>
      </c>
      <c r="M1343" s="10">
        <v>57783</v>
      </c>
      <c r="N1343" s="7">
        <v>115566</v>
      </c>
    </row>
    <row r="1344" spans="1:14" x14ac:dyDescent="0.3">
      <c r="A1344">
        <v>1342</v>
      </c>
      <c r="B1344" s="1">
        <v>46000</v>
      </c>
      <c r="C1344">
        <v>2025</v>
      </c>
      <c r="D1344">
        <v>12</v>
      </c>
      <c r="E1344" t="str">
        <f t="shared" si="20"/>
        <v>Desember</v>
      </c>
      <c r="F1344">
        <v>4</v>
      </c>
      <c r="G1344" t="s">
        <v>1515</v>
      </c>
      <c r="H1344" t="s">
        <v>1512</v>
      </c>
      <c r="I1344" t="s">
        <v>1516</v>
      </c>
      <c r="J1344" t="s">
        <v>1517</v>
      </c>
      <c r="K1344" t="s">
        <v>1525</v>
      </c>
      <c r="L1344" s="2">
        <v>3</v>
      </c>
      <c r="M1344" s="10">
        <v>1302</v>
      </c>
      <c r="N1344" s="7">
        <v>3906</v>
      </c>
    </row>
    <row r="1345" spans="1:14" x14ac:dyDescent="0.3">
      <c r="A1345">
        <v>1343</v>
      </c>
      <c r="B1345" s="1">
        <v>46001</v>
      </c>
      <c r="C1345">
        <v>2025</v>
      </c>
      <c r="D1345">
        <v>12</v>
      </c>
      <c r="E1345" t="str">
        <f t="shared" si="20"/>
        <v>Desember</v>
      </c>
      <c r="F1345">
        <v>4</v>
      </c>
      <c r="G1345" t="s">
        <v>1534</v>
      </c>
      <c r="H1345" t="s">
        <v>1530</v>
      </c>
      <c r="I1345" t="s">
        <v>1516</v>
      </c>
      <c r="J1345" t="s">
        <v>1517</v>
      </c>
      <c r="K1345" t="s">
        <v>1518</v>
      </c>
      <c r="L1345" s="2">
        <v>1</v>
      </c>
      <c r="M1345" s="10">
        <v>1283</v>
      </c>
      <c r="N1345" s="7">
        <v>1283</v>
      </c>
    </row>
    <row r="1346" spans="1:14" x14ac:dyDescent="0.3">
      <c r="A1346">
        <v>1344</v>
      </c>
      <c r="B1346" s="1">
        <v>46002</v>
      </c>
      <c r="C1346">
        <v>2025</v>
      </c>
      <c r="D1346">
        <v>12</v>
      </c>
      <c r="E1346" t="str">
        <f t="shared" si="20"/>
        <v>Desember</v>
      </c>
      <c r="F1346">
        <v>4</v>
      </c>
      <c r="G1346" t="s">
        <v>1519</v>
      </c>
      <c r="H1346" t="s">
        <v>1520</v>
      </c>
      <c r="I1346" t="s">
        <v>1528</v>
      </c>
      <c r="J1346" t="s">
        <v>1517</v>
      </c>
      <c r="K1346" t="s">
        <v>1518</v>
      </c>
      <c r="L1346" s="2">
        <v>2</v>
      </c>
      <c r="M1346" s="10">
        <v>10838</v>
      </c>
      <c r="N1346" s="7">
        <v>21676</v>
      </c>
    </row>
    <row r="1347" spans="1:14" x14ac:dyDescent="0.3">
      <c r="A1347">
        <v>1345</v>
      </c>
      <c r="B1347" s="1">
        <v>46003</v>
      </c>
      <c r="C1347">
        <v>2025</v>
      </c>
      <c r="D1347">
        <v>12</v>
      </c>
      <c r="E1347" t="str">
        <f t="shared" ref="E1347:E1410" si="21">TEXT(DATE(2026, D1347, 1), "[$-id-ID]mmmm")</f>
        <v>Desember</v>
      </c>
      <c r="F1347">
        <v>4</v>
      </c>
      <c r="G1347" t="s">
        <v>1522</v>
      </c>
      <c r="H1347" t="s">
        <v>1520</v>
      </c>
      <c r="I1347" t="s">
        <v>1516</v>
      </c>
      <c r="J1347" t="s">
        <v>1524</v>
      </c>
      <c r="K1347" t="s">
        <v>1514</v>
      </c>
      <c r="L1347" s="2">
        <v>1</v>
      </c>
      <c r="M1347" s="10">
        <v>895</v>
      </c>
      <c r="N1347" s="7">
        <v>895</v>
      </c>
    </row>
    <row r="1348" spans="1:14" x14ac:dyDescent="0.3">
      <c r="A1348">
        <v>1346</v>
      </c>
      <c r="B1348" s="1">
        <v>46004</v>
      </c>
      <c r="C1348">
        <v>2025</v>
      </c>
      <c r="D1348">
        <v>12</v>
      </c>
      <c r="E1348" t="str">
        <f t="shared" si="21"/>
        <v>Desember</v>
      </c>
      <c r="F1348">
        <v>4</v>
      </c>
      <c r="G1348" t="s">
        <v>1523</v>
      </c>
      <c r="H1348" t="s">
        <v>1512</v>
      </c>
      <c r="I1348" t="s">
        <v>1531</v>
      </c>
      <c r="J1348" t="s">
        <v>1566</v>
      </c>
      <c r="K1348" t="s">
        <v>1514</v>
      </c>
      <c r="L1348" s="2">
        <v>2</v>
      </c>
      <c r="M1348" s="10">
        <v>14574</v>
      </c>
      <c r="N1348" s="7">
        <v>29148</v>
      </c>
    </row>
    <row r="1349" spans="1:14" x14ac:dyDescent="0.3">
      <c r="A1349">
        <v>1347</v>
      </c>
      <c r="B1349" s="1">
        <v>46005</v>
      </c>
      <c r="C1349">
        <v>2025</v>
      </c>
      <c r="D1349">
        <v>12</v>
      </c>
      <c r="E1349" t="str">
        <f t="shared" si="21"/>
        <v>Desember</v>
      </c>
      <c r="F1349">
        <v>4</v>
      </c>
      <c r="G1349" t="s">
        <v>1526</v>
      </c>
      <c r="H1349" t="s">
        <v>1527</v>
      </c>
      <c r="I1349" t="s">
        <v>1528</v>
      </c>
      <c r="J1349" t="s">
        <v>1517</v>
      </c>
      <c r="K1349" t="s">
        <v>1514</v>
      </c>
      <c r="L1349" s="2">
        <v>2</v>
      </c>
      <c r="M1349" s="10">
        <v>348</v>
      </c>
      <c r="N1349" s="7">
        <v>696</v>
      </c>
    </row>
    <row r="1350" spans="1:14" x14ac:dyDescent="0.3">
      <c r="A1350">
        <v>1348</v>
      </c>
      <c r="B1350" s="1">
        <v>46006</v>
      </c>
      <c r="C1350">
        <v>2025</v>
      </c>
      <c r="D1350">
        <v>12</v>
      </c>
      <c r="E1350" t="str">
        <f t="shared" si="21"/>
        <v>Desember</v>
      </c>
      <c r="F1350">
        <v>4</v>
      </c>
      <c r="G1350" t="s">
        <v>1529</v>
      </c>
      <c r="H1350" t="s">
        <v>1530</v>
      </c>
      <c r="I1350" t="s">
        <v>1535</v>
      </c>
      <c r="J1350" t="s">
        <v>1566</v>
      </c>
      <c r="K1350" t="s">
        <v>1518</v>
      </c>
      <c r="L1350" s="2">
        <v>4</v>
      </c>
      <c r="M1350" s="10">
        <v>544</v>
      </c>
      <c r="N1350" s="7">
        <v>2176</v>
      </c>
    </row>
    <row r="1351" spans="1:14" x14ac:dyDescent="0.3">
      <c r="A1351">
        <v>1349</v>
      </c>
      <c r="B1351" s="1">
        <v>46007</v>
      </c>
      <c r="C1351">
        <v>2025</v>
      </c>
      <c r="D1351">
        <v>12</v>
      </c>
      <c r="E1351" t="str">
        <f t="shared" si="21"/>
        <v>Desember</v>
      </c>
      <c r="F1351">
        <v>4</v>
      </c>
      <c r="G1351" t="s">
        <v>1532</v>
      </c>
      <c r="H1351" t="s">
        <v>1512</v>
      </c>
      <c r="I1351" t="s">
        <v>1521</v>
      </c>
      <c r="J1351" t="s">
        <v>1566</v>
      </c>
      <c r="K1351" t="s">
        <v>1514</v>
      </c>
      <c r="L1351" s="2">
        <v>1</v>
      </c>
      <c r="M1351" s="10">
        <v>13858</v>
      </c>
      <c r="N1351" s="7">
        <v>13858</v>
      </c>
    </row>
    <row r="1352" spans="1:14" x14ac:dyDescent="0.3">
      <c r="A1352">
        <v>1350</v>
      </c>
      <c r="B1352" s="1">
        <v>46008</v>
      </c>
      <c r="C1352">
        <v>2025</v>
      </c>
      <c r="D1352">
        <v>12</v>
      </c>
      <c r="E1352" t="str">
        <f t="shared" si="21"/>
        <v>Desember</v>
      </c>
      <c r="F1352">
        <v>4</v>
      </c>
      <c r="G1352" t="s">
        <v>1533</v>
      </c>
      <c r="H1352" t="s">
        <v>1520</v>
      </c>
      <c r="I1352" t="s">
        <v>1531</v>
      </c>
      <c r="J1352" t="s">
        <v>1524</v>
      </c>
      <c r="K1352" t="s">
        <v>1518</v>
      </c>
      <c r="L1352" s="2">
        <v>3</v>
      </c>
      <c r="M1352" s="10">
        <v>215</v>
      </c>
      <c r="N1352" s="7">
        <v>645</v>
      </c>
    </row>
    <row r="1353" spans="1:14" x14ac:dyDescent="0.3">
      <c r="A1353">
        <v>1351</v>
      </c>
      <c r="B1353" s="1">
        <v>46009</v>
      </c>
      <c r="C1353">
        <v>2025</v>
      </c>
      <c r="D1353">
        <v>12</v>
      </c>
      <c r="E1353" t="str">
        <f t="shared" si="21"/>
        <v>Desember</v>
      </c>
      <c r="F1353">
        <v>4</v>
      </c>
      <c r="G1353" t="s">
        <v>1511</v>
      </c>
      <c r="H1353" t="s">
        <v>1512</v>
      </c>
      <c r="I1353" t="s">
        <v>1535</v>
      </c>
      <c r="J1353" t="s">
        <v>1566</v>
      </c>
      <c r="K1353" t="s">
        <v>1525</v>
      </c>
      <c r="L1353" s="2">
        <v>2</v>
      </c>
      <c r="M1353" s="10">
        <v>57831</v>
      </c>
      <c r="N1353" s="7">
        <v>115662</v>
      </c>
    </row>
    <row r="1354" spans="1:14" x14ac:dyDescent="0.3">
      <c r="A1354">
        <v>1352</v>
      </c>
      <c r="B1354" s="1">
        <v>46010</v>
      </c>
      <c r="C1354">
        <v>2025</v>
      </c>
      <c r="D1354">
        <v>12</v>
      </c>
      <c r="E1354" t="str">
        <f t="shared" si="21"/>
        <v>Desember</v>
      </c>
      <c r="F1354">
        <v>4</v>
      </c>
      <c r="G1354" t="s">
        <v>1515</v>
      </c>
      <c r="H1354" t="s">
        <v>1512</v>
      </c>
      <c r="I1354" t="s">
        <v>1528</v>
      </c>
      <c r="J1354" t="s">
        <v>1517</v>
      </c>
      <c r="K1354" t="s">
        <v>1525</v>
      </c>
      <c r="L1354" s="2">
        <v>1</v>
      </c>
      <c r="M1354" s="10">
        <v>2608</v>
      </c>
      <c r="N1354" s="7">
        <v>2608</v>
      </c>
    </row>
    <row r="1355" spans="1:14" x14ac:dyDescent="0.3">
      <c r="A1355">
        <v>1353</v>
      </c>
      <c r="B1355" s="1">
        <v>46011</v>
      </c>
      <c r="C1355">
        <v>2025</v>
      </c>
      <c r="D1355">
        <v>12</v>
      </c>
      <c r="E1355" t="str">
        <f t="shared" si="21"/>
        <v>Desember</v>
      </c>
      <c r="F1355">
        <v>4</v>
      </c>
      <c r="G1355" t="s">
        <v>1534</v>
      </c>
      <c r="H1355" t="s">
        <v>1530</v>
      </c>
      <c r="I1355" t="s">
        <v>1535</v>
      </c>
      <c r="J1355" t="s">
        <v>1524</v>
      </c>
      <c r="K1355" t="s">
        <v>1514</v>
      </c>
      <c r="L1355" s="2">
        <v>1</v>
      </c>
      <c r="M1355" s="10">
        <v>3751</v>
      </c>
      <c r="N1355" s="7">
        <v>3751</v>
      </c>
    </row>
    <row r="1356" spans="1:14" x14ac:dyDescent="0.3">
      <c r="A1356">
        <v>1354</v>
      </c>
      <c r="B1356" s="1">
        <v>46012</v>
      </c>
      <c r="C1356">
        <v>2025</v>
      </c>
      <c r="D1356">
        <v>12</v>
      </c>
      <c r="E1356" t="str">
        <f t="shared" si="21"/>
        <v>Desember</v>
      </c>
      <c r="F1356">
        <v>4</v>
      </c>
      <c r="G1356" t="s">
        <v>1519</v>
      </c>
      <c r="H1356" t="s">
        <v>1520</v>
      </c>
      <c r="I1356" t="s">
        <v>1531</v>
      </c>
      <c r="J1356" t="s">
        <v>1524</v>
      </c>
      <c r="K1356" t="s">
        <v>1518</v>
      </c>
      <c r="L1356" s="2">
        <v>5</v>
      </c>
      <c r="M1356" s="10">
        <v>11976</v>
      </c>
      <c r="N1356" s="7">
        <v>59880</v>
      </c>
    </row>
    <row r="1357" spans="1:14" x14ac:dyDescent="0.3">
      <c r="A1357">
        <v>1355</v>
      </c>
      <c r="B1357" s="1">
        <v>46013</v>
      </c>
      <c r="C1357">
        <v>2025</v>
      </c>
      <c r="D1357">
        <v>12</v>
      </c>
      <c r="E1357" t="str">
        <f t="shared" si="21"/>
        <v>Desember</v>
      </c>
      <c r="F1357">
        <v>4</v>
      </c>
      <c r="G1357" t="s">
        <v>1522</v>
      </c>
      <c r="H1357" t="s">
        <v>1520</v>
      </c>
      <c r="I1357" t="s">
        <v>1531</v>
      </c>
      <c r="J1357" t="s">
        <v>1566</v>
      </c>
      <c r="K1357" t="s">
        <v>1518</v>
      </c>
      <c r="L1357" s="2">
        <v>1</v>
      </c>
      <c r="M1357" s="10">
        <v>542</v>
      </c>
      <c r="N1357" s="7">
        <v>542</v>
      </c>
    </row>
    <row r="1358" spans="1:14" x14ac:dyDescent="0.3">
      <c r="A1358">
        <v>1356</v>
      </c>
      <c r="B1358" s="1">
        <v>46014</v>
      </c>
      <c r="C1358">
        <v>2025</v>
      </c>
      <c r="D1358">
        <v>12</v>
      </c>
      <c r="E1358" t="str">
        <f t="shared" si="21"/>
        <v>Desember</v>
      </c>
      <c r="F1358">
        <v>4</v>
      </c>
      <c r="G1358" t="s">
        <v>1523</v>
      </c>
      <c r="H1358" t="s">
        <v>1512</v>
      </c>
      <c r="I1358" t="s">
        <v>1535</v>
      </c>
      <c r="J1358" t="s">
        <v>1566</v>
      </c>
      <c r="K1358" t="s">
        <v>1514</v>
      </c>
      <c r="L1358" s="2">
        <v>2</v>
      </c>
      <c r="M1358" s="10">
        <v>34854</v>
      </c>
      <c r="N1358" s="7">
        <v>69708</v>
      </c>
    </row>
    <row r="1359" spans="1:14" x14ac:dyDescent="0.3">
      <c r="A1359">
        <v>1357</v>
      </c>
      <c r="B1359" s="1">
        <v>46015</v>
      </c>
      <c r="C1359">
        <v>2025</v>
      </c>
      <c r="D1359">
        <v>12</v>
      </c>
      <c r="E1359" t="str">
        <f t="shared" si="21"/>
        <v>Desember</v>
      </c>
      <c r="F1359">
        <v>4</v>
      </c>
      <c r="G1359" t="s">
        <v>1526</v>
      </c>
      <c r="H1359" t="s">
        <v>1527</v>
      </c>
      <c r="I1359" t="s">
        <v>1516</v>
      </c>
      <c r="J1359" t="s">
        <v>1517</v>
      </c>
      <c r="K1359" t="s">
        <v>1518</v>
      </c>
      <c r="L1359" s="2">
        <v>4</v>
      </c>
      <c r="M1359" s="10">
        <v>821</v>
      </c>
      <c r="N1359" s="7">
        <v>3284</v>
      </c>
    </row>
    <row r="1360" spans="1:14" x14ac:dyDescent="0.3">
      <c r="A1360">
        <v>1358</v>
      </c>
      <c r="B1360" s="1">
        <v>46016</v>
      </c>
      <c r="C1360">
        <v>2025</v>
      </c>
      <c r="D1360">
        <v>12</v>
      </c>
      <c r="E1360" t="str">
        <f t="shared" si="21"/>
        <v>Desember</v>
      </c>
      <c r="F1360">
        <v>4</v>
      </c>
      <c r="G1360" t="s">
        <v>1529</v>
      </c>
      <c r="H1360" t="s">
        <v>1530</v>
      </c>
      <c r="I1360" t="s">
        <v>1535</v>
      </c>
      <c r="J1360" t="s">
        <v>1524</v>
      </c>
      <c r="K1360" t="s">
        <v>1525</v>
      </c>
      <c r="L1360" s="2">
        <v>5</v>
      </c>
      <c r="M1360" s="10">
        <v>1003</v>
      </c>
      <c r="N1360" s="7">
        <v>5015</v>
      </c>
    </row>
    <row r="1361" spans="1:14" x14ac:dyDescent="0.3">
      <c r="A1361">
        <v>1359</v>
      </c>
      <c r="B1361" s="1">
        <v>46017</v>
      </c>
      <c r="C1361">
        <v>2025</v>
      </c>
      <c r="D1361">
        <v>12</v>
      </c>
      <c r="E1361" t="str">
        <f t="shared" si="21"/>
        <v>Desember</v>
      </c>
      <c r="F1361">
        <v>4</v>
      </c>
      <c r="G1361" t="s">
        <v>1532</v>
      </c>
      <c r="H1361" t="s">
        <v>1512</v>
      </c>
      <c r="I1361" t="s">
        <v>1535</v>
      </c>
      <c r="J1361" t="s">
        <v>1566</v>
      </c>
      <c r="K1361" t="s">
        <v>1518</v>
      </c>
      <c r="L1361" s="2">
        <v>1</v>
      </c>
      <c r="M1361" s="10">
        <v>9526</v>
      </c>
      <c r="N1361" s="7">
        <v>9526</v>
      </c>
    </row>
    <row r="1362" spans="1:14" x14ac:dyDescent="0.3">
      <c r="A1362">
        <v>1360</v>
      </c>
      <c r="B1362" s="1">
        <v>46018</v>
      </c>
      <c r="C1362">
        <v>2025</v>
      </c>
      <c r="D1362">
        <v>12</v>
      </c>
      <c r="E1362" t="str">
        <f t="shared" si="21"/>
        <v>Desember</v>
      </c>
      <c r="F1362">
        <v>4</v>
      </c>
      <c r="G1362" t="s">
        <v>1533</v>
      </c>
      <c r="H1362" t="s">
        <v>1520</v>
      </c>
      <c r="I1362" t="s">
        <v>1513</v>
      </c>
      <c r="J1362" t="s">
        <v>1524</v>
      </c>
      <c r="K1362" t="s">
        <v>1525</v>
      </c>
      <c r="L1362" s="2">
        <v>5</v>
      </c>
      <c r="M1362" s="10">
        <v>317</v>
      </c>
      <c r="N1362" s="7">
        <v>1585</v>
      </c>
    </row>
    <row r="1363" spans="1:14" x14ac:dyDescent="0.3">
      <c r="A1363">
        <v>1361</v>
      </c>
      <c r="B1363" s="1">
        <v>46019</v>
      </c>
      <c r="C1363">
        <v>2025</v>
      </c>
      <c r="D1363">
        <v>12</v>
      </c>
      <c r="E1363" t="str">
        <f t="shared" si="21"/>
        <v>Desember</v>
      </c>
      <c r="F1363">
        <v>4</v>
      </c>
      <c r="G1363" t="s">
        <v>1511</v>
      </c>
      <c r="H1363" t="s">
        <v>1512</v>
      </c>
      <c r="I1363" t="s">
        <v>1535</v>
      </c>
      <c r="J1363" t="s">
        <v>1566</v>
      </c>
      <c r="K1363" t="s">
        <v>1525</v>
      </c>
      <c r="L1363" s="2">
        <v>1</v>
      </c>
      <c r="M1363" s="10">
        <v>53373</v>
      </c>
      <c r="N1363" s="7">
        <v>53373</v>
      </c>
    </row>
    <row r="1364" spans="1:14" x14ac:dyDescent="0.3">
      <c r="A1364">
        <v>1362</v>
      </c>
      <c r="B1364" s="1">
        <v>46020</v>
      </c>
      <c r="C1364">
        <v>2025</v>
      </c>
      <c r="D1364">
        <v>12</v>
      </c>
      <c r="E1364" t="str">
        <f t="shared" si="21"/>
        <v>Desember</v>
      </c>
      <c r="F1364">
        <v>4</v>
      </c>
      <c r="G1364" t="s">
        <v>1515</v>
      </c>
      <c r="H1364" t="s">
        <v>1512</v>
      </c>
      <c r="I1364" t="s">
        <v>1513</v>
      </c>
      <c r="J1364" t="s">
        <v>1517</v>
      </c>
      <c r="K1364" t="s">
        <v>1514</v>
      </c>
      <c r="L1364" s="2">
        <v>2</v>
      </c>
      <c r="M1364" s="10">
        <v>4853</v>
      </c>
      <c r="N1364" s="7">
        <v>9706</v>
      </c>
    </row>
    <row r="1365" spans="1:14" x14ac:dyDescent="0.3">
      <c r="A1365">
        <v>1363</v>
      </c>
      <c r="B1365" s="1">
        <v>46021</v>
      </c>
      <c r="C1365">
        <v>2025</v>
      </c>
      <c r="D1365">
        <v>12</v>
      </c>
      <c r="E1365" t="str">
        <f t="shared" si="21"/>
        <v>Desember</v>
      </c>
      <c r="F1365">
        <v>4</v>
      </c>
      <c r="G1365" t="s">
        <v>1534</v>
      </c>
      <c r="H1365" t="s">
        <v>1530</v>
      </c>
      <c r="I1365" t="s">
        <v>1521</v>
      </c>
      <c r="J1365" t="s">
        <v>1566</v>
      </c>
      <c r="K1365" t="s">
        <v>1514</v>
      </c>
      <c r="L1365" s="2">
        <v>2</v>
      </c>
      <c r="M1365" s="10">
        <v>4788</v>
      </c>
      <c r="N1365" s="7">
        <v>9576</v>
      </c>
    </row>
    <row r="1366" spans="1:14" x14ac:dyDescent="0.3">
      <c r="A1366">
        <v>1364</v>
      </c>
      <c r="B1366" s="1">
        <v>46022</v>
      </c>
      <c r="C1366">
        <v>2025</v>
      </c>
      <c r="D1366">
        <v>12</v>
      </c>
      <c r="E1366" t="str">
        <f t="shared" si="21"/>
        <v>Desember</v>
      </c>
      <c r="F1366">
        <v>4</v>
      </c>
      <c r="G1366" t="s">
        <v>1519</v>
      </c>
      <c r="H1366" t="s">
        <v>1520</v>
      </c>
      <c r="I1366" t="s">
        <v>1528</v>
      </c>
      <c r="J1366" t="s">
        <v>1524</v>
      </c>
      <c r="K1366" t="s">
        <v>1525</v>
      </c>
      <c r="L1366" s="2">
        <v>5</v>
      </c>
      <c r="M1366" s="10">
        <v>17252</v>
      </c>
      <c r="N1366" s="7">
        <v>86260</v>
      </c>
    </row>
    <row r="1367" spans="1:14" x14ac:dyDescent="0.3">
      <c r="A1367">
        <v>1365</v>
      </c>
      <c r="B1367" s="1">
        <v>46023</v>
      </c>
      <c r="C1367">
        <v>2026</v>
      </c>
      <c r="D1367">
        <v>1</v>
      </c>
      <c r="E1367" t="str">
        <f t="shared" si="21"/>
        <v>Januari</v>
      </c>
      <c r="F1367">
        <v>1</v>
      </c>
      <c r="G1367" t="s">
        <v>1522</v>
      </c>
      <c r="H1367" t="s">
        <v>1520</v>
      </c>
      <c r="I1367" t="s">
        <v>1516</v>
      </c>
      <c r="J1367" t="s">
        <v>1566</v>
      </c>
      <c r="K1367" t="s">
        <v>1525</v>
      </c>
      <c r="L1367" s="2">
        <v>5</v>
      </c>
      <c r="M1367" s="10">
        <v>179</v>
      </c>
      <c r="N1367" s="7">
        <v>895</v>
      </c>
    </row>
    <row r="1368" spans="1:14" x14ac:dyDescent="0.3">
      <c r="A1368">
        <v>1366</v>
      </c>
      <c r="B1368" s="1">
        <v>46024</v>
      </c>
      <c r="C1368">
        <v>2026</v>
      </c>
      <c r="D1368">
        <v>1</v>
      </c>
      <c r="E1368" t="str">
        <f t="shared" si="21"/>
        <v>Januari</v>
      </c>
      <c r="F1368">
        <v>1</v>
      </c>
      <c r="G1368" t="s">
        <v>1523</v>
      </c>
      <c r="H1368" t="s">
        <v>1512</v>
      </c>
      <c r="I1368" t="s">
        <v>1516</v>
      </c>
      <c r="J1368" t="s">
        <v>1517</v>
      </c>
      <c r="K1368" t="s">
        <v>1514</v>
      </c>
      <c r="L1368" s="2">
        <v>1</v>
      </c>
      <c r="M1368" s="10">
        <v>29151</v>
      </c>
      <c r="N1368" s="7">
        <v>29151</v>
      </c>
    </row>
    <row r="1369" spans="1:14" x14ac:dyDescent="0.3">
      <c r="A1369">
        <v>1367</v>
      </c>
      <c r="B1369" s="1">
        <v>46025</v>
      </c>
      <c r="C1369">
        <v>2026</v>
      </c>
      <c r="D1369">
        <v>1</v>
      </c>
      <c r="E1369" t="str">
        <f t="shared" si="21"/>
        <v>Januari</v>
      </c>
      <c r="F1369">
        <v>1</v>
      </c>
      <c r="G1369" t="s">
        <v>1526</v>
      </c>
      <c r="H1369" t="s">
        <v>1527</v>
      </c>
      <c r="I1369" t="s">
        <v>1513</v>
      </c>
      <c r="J1369" t="s">
        <v>1524</v>
      </c>
      <c r="K1369" t="s">
        <v>1514</v>
      </c>
      <c r="L1369" s="2">
        <v>4</v>
      </c>
      <c r="M1369" s="10">
        <v>474</v>
      </c>
      <c r="N1369" s="7">
        <v>1896</v>
      </c>
    </row>
    <row r="1370" spans="1:14" x14ac:dyDescent="0.3">
      <c r="A1370">
        <v>1368</v>
      </c>
      <c r="B1370" s="1">
        <v>46026</v>
      </c>
      <c r="C1370">
        <v>2026</v>
      </c>
      <c r="D1370">
        <v>1</v>
      </c>
      <c r="E1370" t="str">
        <f t="shared" si="21"/>
        <v>Januari</v>
      </c>
      <c r="F1370">
        <v>1</v>
      </c>
      <c r="G1370" t="s">
        <v>1529</v>
      </c>
      <c r="H1370" t="s">
        <v>1530</v>
      </c>
      <c r="I1370" t="s">
        <v>1531</v>
      </c>
      <c r="J1370" t="s">
        <v>1524</v>
      </c>
      <c r="K1370" t="s">
        <v>1514</v>
      </c>
      <c r="L1370" s="2">
        <v>1</v>
      </c>
      <c r="M1370" s="10">
        <v>1670</v>
      </c>
      <c r="N1370" s="7">
        <v>1670</v>
      </c>
    </row>
    <row r="1371" spans="1:14" x14ac:dyDescent="0.3">
      <c r="A1371">
        <v>1369</v>
      </c>
      <c r="B1371" s="1">
        <v>46027</v>
      </c>
      <c r="C1371">
        <v>2026</v>
      </c>
      <c r="D1371">
        <v>1</v>
      </c>
      <c r="E1371" t="str">
        <f t="shared" si="21"/>
        <v>Januari</v>
      </c>
      <c r="F1371">
        <v>1</v>
      </c>
      <c r="G1371" t="s">
        <v>1532</v>
      </c>
      <c r="H1371" t="s">
        <v>1512</v>
      </c>
      <c r="I1371" t="s">
        <v>1531</v>
      </c>
      <c r="J1371" t="s">
        <v>1566</v>
      </c>
      <c r="K1371" t="s">
        <v>1514</v>
      </c>
      <c r="L1371" s="2">
        <v>2</v>
      </c>
      <c r="M1371" s="10">
        <v>14676</v>
      </c>
      <c r="N1371" s="7">
        <v>29352</v>
      </c>
    </row>
    <row r="1372" spans="1:14" x14ac:dyDescent="0.3">
      <c r="A1372">
        <v>1370</v>
      </c>
      <c r="B1372" s="1">
        <v>46028</v>
      </c>
      <c r="C1372">
        <v>2026</v>
      </c>
      <c r="D1372">
        <v>1</v>
      </c>
      <c r="E1372" t="str">
        <f t="shared" si="21"/>
        <v>Januari</v>
      </c>
      <c r="F1372">
        <v>1</v>
      </c>
      <c r="G1372" t="s">
        <v>1533</v>
      </c>
      <c r="H1372" t="s">
        <v>1520</v>
      </c>
      <c r="I1372" t="s">
        <v>1531</v>
      </c>
      <c r="J1372" t="s">
        <v>1566</v>
      </c>
      <c r="K1372" t="s">
        <v>1518</v>
      </c>
      <c r="L1372" s="2">
        <v>3</v>
      </c>
      <c r="M1372" s="10">
        <v>635</v>
      </c>
      <c r="N1372" s="7">
        <v>1905</v>
      </c>
    </row>
    <row r="1373" spans="1:14" x14ac:dyDescent="0.3">
      <c r="A1373">
        <v>1371</v>
      </c>
      <c r="B1373" s="1">
        <v>46029</v>
      </c>
      <c r="C1373">
        <v>2026</v>
      </c>
      <c r="D1373">
        <v>1</v>
      </c>
      <c r="E1373" t="str">
        <f t="shared" si="21"/>
        <v>Januari</v>
      </c>
      <c r="F1373">
        <v>1</v>
      </c>
      <c r="G1373" t="s">
        <v>1511</v>
      </c>
      <c r="H1373" t="s">
        <v>1512</v>
      </c>
      <c r="I1373" t="s">
        <v>1528</v>
      </c>
      <c r="J1373" t="s">
        <v>1566</v>
      </c>
      <c r="K1373" t="s">
        <v>1518</v>
      </c>
      <c r="L1373" s="2">
        <v>2</v>
      </c>
      <c r="M1373" s="10">
        <v>61090</v>
      </c>
      <c r="N1373" s="7">
        <v>122180</v>
      </c>
    </row>
    <row r="1374" spans="1:14" x14ac:dyDescent="0.3">
      <c r="A1374">
        <v>1372</v>
      </c>
      <c r="B1374" s="1">
        <v>46030</v>
      </c>
      <c r="C1374">
        <v>2026</v>
      </c>
      <c r="D1374">
        <v>1</v>
      </c>
      <c r="E1374" t="str">
        <f t="shared" si="21"/>
        <v>Januari</v>
      </c>
      <c r="F1374">
        <v>1</v>
      </c>
      <c r="G1374" t="s">
        <v>1515</v>
      </c>
      <c r="H1374" t="s">
        <v>1512</v>
      </c>
      <c r="I1374" t="s">
        <v>1531</v>
      </c>
      <c r="J1374" t="s">
        <v>1524</v>
      </c>
      <c r="K1374" t="s">
        <v>1514</v>
      </c>
      <c r="L1374" s="2">
        <v>1</v>
      </c>
      <c r="M1374" s="10">
        <v>2093</v>
      </c>
      <c r="N1374" s="7">
        <v>2093</v>
      </c>
    </row>
    <row r="1375" spans="1:14" x14ac:dyDescent="0.3">
      <c r="A1375">
        <v>1373</v>
      </c>
      <c r="B1375" s="1">
        <v>46031</v>
      </c>
      <c r="C1375">
        <v>2026</v>
      </c>
      <c r="D1375">
        <v>1</v>
      </c>
      <c r="E1375" t="str">
        <f t="shared" si="21"/>
        <v>Januari</v>
      </c>
      <c r="F1375">
        <v>1</v>
      </c>
      <c r="G1375" t="s">
        <v>1534</v>
      </c>
      <c r="H1375" t="s">
        <v>1530</v>
      </c>
      <c r="I1375" t="s">
        <v>1528</v>
      </c>
      <c r="J1375" t="s">
        <v>1566</v>
      </c>
      <c r="K1375" t="s">
        <v>1514</v>
      </c>
      <c r="L1375" s="2">
        <v>3</v>
      </c>
      <c r="M1375" s="10">
        <v>4952</v>
      </c>
      <c r="N1375" s="7">
        <v>14856</v>
      </c>
    </row>
    <row r="1376" spans="1:14" x14ac:dyDescent="0.3">
      <c r="A1376">
        <v>1374</v>
      </c>
      <c r="B1376" s="1">
        <v>46032</v>
      </c>
      <c r="C1376">
        <v>2026</v>
      </c>
      <c r="D1376">
        <v>1</v>
      </c>
      <c r="E1376" t="str">
        <f t="shared" si="21"/>
        <v>Januari</v>
      </c>
      <c r="F1376">
        <v>1</v>
      </c>
      <c r="G1376" t="s">
        <v>1519</v>
      </c>
      <c r="H1376" t="s">
        <v>1520</v>
      </c>
      <c r="I1376" t="s">
        <v>1513</v>
      </c>
      <c r="J1376" t="s">
        <v>1517</v>
      </c>
      <c r="K1376" t="s">
        <v>1525</v>
      </c>
      <c r="L1376" s="2">
        <v>4</v>
      </c>
      <c r="M1376" s="10">
        <v>11582</v>
      </c>
      <c r="N1376" s="7">
        <v>46328</v>
      </c>
    </row>
    <row r="1377" spans="1:14" x14ac:dyDescent="0.3">
      <c r="A1377">
        <v>1375</v>
      </c>
      <c r="B1377" s="1">
        <v>46033</v>
      </c>
      <c r="C1377">
        <v>2026</v>
      </c>
      <c r="D1377">
        <v>1</v>
      </c>
      <c r="E1377" t="str">
        <f t="shared" si="21"/>
        <v>Januari</v>
      </c>
      <c r="F1377">
        <v>1</v>
      </c>
      <c r="G1377" t="s">
        <v>1522</v>
      </c>
      <c r="H1377" t="s">
        <v>1520</v>
      </c>
      <c r="I1377" t="s">
        <v>1513</v>
      </c>
      <c r="J1377" t="s">
        <v>1524</v>
      </c>
      <c r="K1377" t="s">
        <v>1514</v>
      </c>
      <c r="L1377" s="2">
        <v>1</v>
      </c>
      <c r="M1377" s="10">
        <v>267</v>
      </c>
      <c r="N1377" s="7">
        <v>267</v>
      </c>
    </row>
    <row r="1378" spans="1:14" x14ac:dyDescent="0.3">
      <c r="A1378">
        <v>1376</v>
      </c>
      <c r="B1378" s="1">
        <v>46034</v>
      </c>
      <c r="C1378">
        <v>2026</v>
      </c>
      <c r="D1378">
        <v>1</v>
      </c>
      <c r="E1378" t="str">
        <f t="shared" si="21"/>
        <v>Januari</v>
      </c>
      <c r="F1378">
        <v>1</v>
      </c>
      <c r="G1378" t="s">
        <v>1523</v>
      </c>
      <c r="H1378" t="s">
        <v>1512</v>
      </c>
      <c r="I1378" t="s">
        <v>1528</v>
      </c>
      <c r="J1378" t="s">
        <v>1566</v>
      </c>
      <c r="K1378" t="s">
        <v>1525</v>
      </c>
      <c r="L1378" s="2">
        <v>1</v>
      </c>
      <c r="M1378" s="10">
        <v>36468</v>
      </c>
      <c r="N1378" s="7">
        <v>36468</v>
      </c>
    </row>
    <row r="1379" spans="1:14" x14ac:dyDescent="0.3">
      <c r="A1379">
        <v>1377</v>
      </c>
      <c r="B1379" s="1">
        <v>46035</v>
      </c>
      <c r="C1379">
        <v>2026</v>
      </c>
      <c r="D1379">
        <v>1</v>
      </c>
      <c r="E1379" t="str">
        <f t="shared" si="21"/>
        <v>Januari</v>
      </c>
      <c r="F1379">
        <v>1</v>
      </c>
      <c r="G1379" t="s">
        <v>1526</v>
      </c>
      <c r="H1379" t="s">
        <v>1527</v>
      </c>
      <c r="I1379" t="s">
        <v>1521</v>
      </c>
      <c r="J1379" t="s">
        <v>1517</v>
      </c>
      <c r="K1379" t="s">
        <v>1525</v>
      </c>
      <c r="L1379" s="2">
        <v>4</v>
      </c>
      <c r="M1379" s="10">
        <v>506</v>
      </c>
      <c r="N1379" s="7">
        <v>2024</v>
      </c>
    </row>
    <row r="1380" spans="1:14" x14ac:dyDescent="0.3">
      <c r="A1380">
        <v>1378</v>
      </c>
      <c r="B1380" s="1">
        <v>46036</v>
      </c>
      <c r="C1380">
        <v>2026</v>
      </c>
      <c r="D1380">
        <v>1</v>
      </c>
      <c r="E1380" t="str">
        <f t="shared" si="21"/>
        <v>Januari</v>
      </c>
      <c r="F1380">
        <v>1</v>
      </c>
      <c r="G1380" t="s">
        <v>1529</v>
      </c>
      <c r="H1380" t="s">
        <v>1530</v>
      </c>
      <c r="I1380" t="s">
        <v>1521</v>
      </c>
      <c r="J1380" t="s">
        <v>1517</v>
      </c>
      <c r="K1380" t="s">
        <v>1525</v>
      </c>
      <c r="L1380" s="2">
        <v>1</v>
      </c>
      <c r="M1380" s="10">
        <v>640</v>
      </c>
      <c r="N1380" s="7">
        <v>640</v>
      </c>
    </row>
    <row r="1381" spans="1:14" x14ac:dyDescent="0.3">
      <c r="A1381">
        <v>1379</v>
      </c>
      <c r="B1381" s="1">
        <v>46037</v>
      </c>
      <c r="C1381">
        <v>2026</v>
      </c>
      <c r="D1381">
        <v>1</v>
      </c>
      <c r="E1381" t="str">
        <f t="shared" si="21"/>
        <v>Januari</v>
      </c>
      <c r="F1381">
        <v>1</v>
      </c>
      <c r="G1381" t="s">
        <v>1532</v>
      </c>
      <c r="H1381" t="s">
        <v>1512</v>
      </c>
      <c r="I1381" t="s">
        <v>1531</v>
      </c>
      <c r="J1381" t="s">
        <v>1524</v>
      </c>
      <c r="K1381" t="s">
        <v>1518</v>
      </c>
      <c r="L1381" s="2">
        <v>2</v>
      </c>
      <c r="M1381" s="10">
        <v>7951</v>
      </c>
      <c r="N1381" s="7">
        <v>15902</v>
      </c>
    </row>
    <row r="1382" spans="1:14" x14ac:dyDescent="0.3">
      <c r="A1382">
        <v>1380</v>
      </c>
      <c r="B1382" s="1">
        <v>46038</v>
      </c>
      <c r="C1382">
        <v>2026</v>
      </c>
      <c r="D1382">
        <v>1</v>
      </c>
      <c r="E1382" t="str">
        <f t="shared" si="21"/>
        <v>Januari</v>
      </c>
      <c r="F1382">
        <v>1</v>
      </c>
      <c r="G1382" t="s">
        <v>1533</v>
      </c>
      <c r="H1382" t="s">
        <v>1520</v>
      </c>
      <c r="I1382" t="s">
        <v>1516</v>
      </c>
      <c r="J1382" t="s">
        <v>1524</v>
      </c>
      <c r="K1382" t="s">
        <v>1518</v>
      </c>
      <c r="L1382" s="2">
        <v>2</v>
      </c>
      <c r="M1382" s="10">
        <v>547</v>
      </c>
      <c r="N1382" s="7">
        <v>1094</v>
      </c>
    </row>
    <row r="1383" spans="1:14" x14ac:dyDescent="0.3">
      <c r="A1383">
        <v>1381</v>
      </c>
      <c r="B1383" s="1">
        <v>46039</v>
      </c>
      <c r="C1383">
        <v>2026</v>
      </c>
      <c r="D1383">
        <v>1</v>
      </c>
      <c r="E1383" t="str">
        <f t="shared" si="21"/>
        <v>Januari</v>
      </c>
      <c r="F1383">
        <v>1</v>
      </c>
      <c r="G1383" t="s">
        <v>1511</v>
      </c>
      <c r="H1383" t="s">
        <v>1512</v>
      </c>
      <c r="I1383" t="s">
        <v>1513</v>
      </c>
      <c r="J1383" t="s">
        <v>1524</v>
      </c>
      <c r="K1383" t="s">
        <v>1518</v>
      </c>
      <c r="L1383" s="2">
        <v>2</v>
      </c>
      <c r="M1383" s="10">
        <v>44128</v>
      </c>
      <c r="N1383" s="7">
        <v>88256</v>
      </c>
    </row>
    <row r="1384" spans="1:14" x14ac:dyDescent="0.3">
      <c r="A1384">
        <v>1382</v>
      </c>
      <c r="B1384" s="1">
        <v>46040</v>
      </c>
      <c r="C1384">
        <v>2026</v>
      </c>
      <c r="D1384">
        <v>1</v>
      </c>
      <c r="E1384" t="str">
        <f t="shared" si="21"/>
        <v>Januari</v>
      </c>
      <c r="F1384">
        <v>1</v>
      </c>
      <c r="G1384" t="s">
        <v>1515</v>
      </c>
      <c r="H1384" t="s">
        <v>1512</v>
      </c>
      <c r="I1384" t="s">
        <v>1535</v>
      </c>
      <c r="J1384" t="s">
        <v>1517</v>
      </c>
      <c r="K1384" t="s">
        <v>1525</v>
      </c>
      <c r="L1384" s="2">
        <v>1</v>
      </c>
      <c r="M1384" s="10">
        <v>2236</v>
      </c>
      <c r="N1384" s="7">
        <v>2236</v>
      </c>
    </row>
    <row r="1385" spans="1:14" x14ac:dyDescent="0.3">
      <c r="A1385">
        <v>1383</v>
      </c>
      <c r="B1385" s="1">
        <v>46041</v>
      </c>
      <c r="C1385">
        <v>2026</v>
      </c>
      <c r="D1385">
        <v>1</v>
      </c>
      <c r="E1385" t="str">
        <f t="shared" si="21"/>
        <v>Januari</v>
      </c>
      <c r="F1385">
        <v>1</v>
      </c>
      <c r="G1385" t="s">
        <v>1534</v>
      </c>
      <c r="H1385" t="s">
        <v>1530</v>
      </c>
      <c r="I1385" t="s">
        <v>1535</v>
      </c>
      <c r="J1385" t="s">
        <v>1566</v>
      </c>
      <c r="K1385" t="s">
        <v>1518</v>
      </c>
      <c r="L1385" s="2">
        <v>1</v>
      </c>
      <c r="M1385" s="10">
        <v>2086</v>
      </c>
      <c r="N1385" s="7">
        <v>2086</v>
      </c>
    </row>
    <row r="1386" spans="1:14" x14ac:dyDescent="0.3">
      <c r="A1386">
        <v>1384</v>
      </c>
      <c r="B1386" s="1">
        <v>46042</v>
      </c>
      <c r="C1386">
        <v>2026</v>
      </c>
      <c r="D1386">
        <v>1</v>
      </c>
      <c r="E1386" t="str">
        <f t="shared" si="21"/>
        <v>Januari</v>
      </c>
      <c r="F1386">
        <v>1</v>
      </c>
      <c r="G1386" t="s">
        <v>1519</v>
      </c>
      <c r="H1386" t="s">
        <v>1520</v>
      </c>
      <c r="I1386" t="s">
        <v>1513</v>
      </c>
      <c r="J1386" t="s">
        <v>1524</v>
      </c>
      <c r="K1386" t="s">
        <v>1514</v>
      </c>
      <c r="L1386" s="2">
        <v>5</v>
      </c>
      <c r="M1386" s="10">
        <v>2776</v>
      </c>
      <c r="N1386" s="7">
        <v>13880</v>
      </c>
    </row>
    <row r="1387" spans="1:14" x14ac:dyDescent="0.3">
      <c r="A1387">
        <v>1385</v>
      </c>
      <c r="B1387" s="1">
        <v>46043</v>
      </c>
      <c r="C1387">
        <v>2026</v>
      </c>
      <c r="D1387">
        <v>1</v>
      </c>
      <c r="E1387" t="str">
        <f t="shared" si="21"/>
        <v>Januari</v>
      </c>
      <c r="F1387">
        <v>1</v>
      </c>
      <c r="G1387" t="s">
        <v>1522</v>
      </c>
      <c r="H1387" t="s">
        <v>1520</v>
      </c>
      <c r="I1387" t="s">
        <v>1528</v>
      </c>
      <c r="J1387" t="s">
        <v>1517</v>
      </c>
      <c r="K1387" t="s">
        <v>1518</v>
      </c>
      <c r="L1387" s="2">
        <v>3</v>
      </c>
      <c r="M1387" s="10">
        <v>950</v>
      </c>
      <c r="N1387" s="7">
        <v>2850</v>
      </c>
    </row>
    <row r="1388" spans="1:14" x14ac:dyDescent="0.3">
      <c r="A1388">
        <v>1386</v>
      </c>
      <c r="B1388" s="1">
        <v>46044</v>
      </c>
      <c r="C1388">
        <v>2026</v>
      </c>
      <c r="D1388">
        <v>1</v>
      </c>
      <c r="E1388" t="str">
        <f t="shared" si="21"/>
        <v>Januari</v>
      </c>
      <c r="F1388">
        <v>1</v>
      </c>
      <c r="G1388" t="s">
        <v>1523</v>
      </c>
      <c r="H1388" t="s">
        <v>1512</v>
      </c>
      <c r="I1388" t="s">
        <v>1513</v>
      </c>
      <c r="J1388" t="s">
        <v>1524</v>
      </c>
      <c r="K1388" t="s">
        <v>1525</v>
      </c>
      <c r="L1388" s="2">
        <v>2</v>
      </c>
      <c r="M1388" s="10">
        <v>35262</v>
      </c>
      <c r="N1388" s="7">
        <v>70524</v>
      </c>
    </row>
    <row r="1389" spans="1:14" x14ac:dyDescent="0.3">
      <c r="A1389">
        <v>1387</v>
      </c>
      <c r="B1389" s="1">
        <v>46045</v>
      </c>
      <c r="C1389">
        <v>2026</v>
      </c>
      <c r="D1389">
        <v>1</v>
      </c>
      <c r="E1389" t="str">
        <f t="shared" si="21"/>
        <v>Januari</v>
      </c>
      <c r="F1389">
        <v>1</v>
      </c>
      <c r="G1389" t="s">
        <v>1526</v>
      </c>
      <c r="H1389" t="s">
        <v>1527</v>
      </c>
      <c r="I1389" t="s">
        <v>1531</v>
      </c>
      <c r="J1389" t="s">
        <v>1566</v>
      </c>
      <c r="K1389" t="s">
        <v>1514</v>
      </c>
      <c r="L1389" s="2">
        <v>2</v>
      </c>
      <c r="M1389" s="10">
        <v>987</v>
      </c>
      <c r="N1389" s="7">
        <v>1974</v>
      </c>
    </row>
    <row r="1390" spans="1:14" x14ac:dyDescent="0.3">
      <c r="A1390">
        <v>1388</v>
      </c>
      <c r="B1390" s="1">
        <v>46046</v>
      </c>
      <c r="C1390">
        <v>2026</v>
      </c>
      <c r="D1390">
        <v>1</v>
      </c>
      <c r="E1390" t="str">
        <f t="shared" si="21"/>
        <v>Januari</v>
      </c>
      <c r="F1390">
        <v>1</v>
      </c>
      <c r="G1390" t="s">
        <v>1529</v>
      </c>
      <c r="H1390" t="s">
        <v>1530</v>
      </c>
      <c r="I1390" t="s">
        <v>1516</v>
      </c>
      <c r="J1390" t="s">
        <v>1517</v>
      </c>
      <c r="K1390" t="s">
        <v>1518</v>
      </c>
      <c r="L1390" s="2">
        <v>4</v>
      </c>
      <c r="M1390" s="10">
        <v>1738</v>
      </c>
      <c r="N1390" s="7">
        <v>6952</v>
      </c>
    </row>
    <row r="1391" spans="1:14" x14ac:dyDescent="0.3">
      <c r="A1391">
        <v>1389</v>
      </c>
      <c r="B1391" s="1">
        <v>46047</v>
      </c>
      <c r="C1391">
        <v>2026</v>
      </c>
      <c r="D1391">
        <v>1</v>
      </c>
      <c r="E1391" t="str">
        <f t="shared" si="21"/>
        <v>Januari</v>
      </c>
      <c r="F1391">
        <v>1</v>
      </c>
      <c r="G1391" t="s">
        <v>1532</v>
      </c>
      <c r="H1391" t="s">
        <v>1512</v>
      </c>
      <c r="I1391" t="s">
        <v>1535</v>
      </c>
      <c r="J1391" t="s">
        <v>1517</v>
      </c>
      <c r="K1391" t="s">
        <v>1518</v>
      </c>
      <c r="L1391" s="2">
        <v>2</v>
      </c>
      <c r="M1391" s="10">
        <v>12489</v>
      </c>
      <c r="N1391" s="7">
        <v>24978</v>
      </c>
    </row>
    <row r="1392" spans="1:14" x14ac:dyDescent="0.3">
      <c r="A1392">
        <v>1390</v>
      </c>
      <c r="B1392" s="1">
        <v>46048</v>
      </c>
      <c r="C1392">
        <v>2026</v>
      </c>
      <c r="D1392">
        <v>1</v>
      </c>
      <c r="E1392" t="str">
        <f t="shared" si="21"/>
        <v>Januari</v>
      </c>
      <c r="F1392">
        <v>1</v>
      </c>
      <c r="G1392" t="s">
        <v>1533</v>
      </c>
      <c r="H1392" t="s">
        <v>1520</v>
      </c>
      <c r="I1392" t="s">
        <v>1535</v>
      </c>
      <c r="J1392" t="s">
        <v>1524</v>
      </c>
      <c r="K1392" t="s">
        <v>1514</v>
      </c>
      <c r="L1392" s="2">
        <v>1</v>
      </c>
      <c r="M1392" s="10">
        <v>655</v>
      </c>
      <c r="N1392" s="7">
        <v>655</v>
      </c>
    </row>
    <row r="1393" spans="1:14" x14ac:dyDescent="0.3">
      <c r="A1393">
        <v>1391</v>
      </c>
      <c r="B1393" s="1">
        <v>46049</v>
      </c>
      <c r="C1393">
        <v>2026</v>
      </c>
      <c r="D1393">
        <v>1</v>
      </c>
      <c r="E1393" t="str">
        <f t="shared" si="21"/>
        <v>Januari</v>
      </c>
      <c r="F1393">
        <v>1</v>
      </c>
      <c r="G1393" t="s">
        <v>1511</v>
      </c>
      <c r="H1393" t="s">
        <v>1512</v>
      </c>
      <c r="I1393" t="s">
        <v>1531</v>
      </c>
      <c r="J1393" t="s">
        <v>1566</v>
      </c>
      <c r="K1393" t="s">
        <v>1514</v>
      </c>
      <c r="L1393" s="2">
        <v>1</v>
      </c>
      <c r="M1393" s="10">
        <v>43749</v>
      </c>
      <c r="N1393" s="7">
        <v>43749</v>
      </c>
    </row>
    <row r="1394" spans="1:14" x14ac:dyDescent="0.3">
      <c r="A1394">
        <v>1392</v>
      </c>
      <c r="B1394" s="1">
        <v>46050</v>
      </c>
      <c r="C1394">
        <v>2026</v>
      </c>
      <c r="D1394">
        <v>1</v>
      </c>
      <c r="E1394" t="str">
        <f t="shared" si="21"/>
        <v>Januari</v>
      </c>
      <c r="F1394">
        <v>1</v>
      </c>
      <c r="G1394" t="s">
        <v>1515</v>
      </c>
      <c r="H1394" t="s">
        <v>1512</v>
      </c>
      <c r="I1394" t="s">
        <v>1535</v>
      </c>
      <c r="J1394" t="s">
        <v>1566</v>
      </c>
      <c r="K1394" t="s">
        <v>1525</v>
      </c>
      <c r="L1394" s="2">
        <v>2</v>
      </c>
      <c r="M1394" s="10">
        <v>2811</v>
      </c>
      <c r="N1394" s="7">
        <v>5622</v>
      </c>
    </row>
    <row r="1395" spans="1:14" x14ac:dyDescent="0.3">
      <c r="A1395">
        <v>1393</v>
      </c>
      <c r="B1395" s="1">
        <v>46051</v>
      </c>
      <c r="C1395">
        <v>2026</v>
      </c>
      <c r="D1395">
        <v>1</v>
      </c>
      <c r="E1395" t="str">
        <f t="shared" si="21"/>
        <v>Januari</v>
      </c>
      <c r="F1395">
        <v>1</v>
      </c>
      <c r="G1395" t="s">
        <v>1534</v>
      </c>
      <c r="H1395" t="s">
        <v>1530</v>
      </c>
      <c r="I1395" t="s">
        <v>1513</v>
      </c>
      <c r="J1395" t="s">
        <v>1566</v>
      </c>
      <c r="K1395" t="s">
        <v>1518</v>
      </c>
      <c r="L1395" s="2">
        <v>2</v>
      </c>
      <c r="M1395" s="10">
        <v>3024</v>
      </c>
      <c r="N1395" s="7">
        <v>6048</v>
      </c>
    </row>
    <row r="1396" spans="1:14" x14ac:dyDescent="0.3">
      <c r="A1396">
        <v>1394</v>
      </c>
      <c r="B1396" s="1">
        <v>46052</v>
      </c>
      <c r="C1396">
        <v>2026</v>
      </c>
      <c r="D1396">
        <v>1</v>
      </c>
      <c r="E1396" t="str">
        <f t="shared" si="21"/>
        <v>Januari</v>
      </c>
      <c r="F1396">
        <v>1</v>
      </c>
      <c r="G1396" t="s">
        <v>1519</v>
      </c>
      <c r="H1396" t="s">
        <v>1520</v>
      </c>
      <c r="I1396" t="s">
        <v>1513</v>
      </c>
      <c r="J1396" t="s">
        <v>1517</v>
      </c>
      <c r="K1396" t="s">
        <v>1518</v>
      </c>
      <c r="L1396" s="2">
        <v>2</v>
      </c>
      <c r="M1396" s="10">
        <v>3456</v>
      </c>
      <c r="N1396" s="7">
        <v>6912</v>
      </c>
    </row>
    <row r="1397" spans="1:14" x14ac:dyDescent="0.3">
      <c r="A1397">
        <v>1395</v>
      </c>
      <c r="B1397" s="1">
        <v>46053</v>
      </c>
      <c r="C1397">
        <v>2026</v>
      </c>
      <c r="D1397">
        <v>1</v>
      </c>
      <c r="E1397" t="str">
        <f t="shared" si="21"/>
        <v>Januari</v>
      </c>
      <c r="F1397">
        <v>1</v>
      </c>
      <c r="G1397" t="s">
        <v>1522</v>
      </c>
      <c r="H1397" t="s">
        <v>1520</v>
      </c>
      <c r="I1397" t="s">
        <v>1528</v>
      </c>
      <c r="J1397" t="s">
        <v>1517</v>
      </c>
      <c r="K1397" t="s">
        <v>1525</v>
      </c>
      <c r="L1397" s="2">
        <v>2</v>
      </c>
      <c r="M1397" s="10">
        <v>101</v>
      </c>
      <c r="N1397" s="7">
        <v>202</v>
      </c>
    </row>
    <row r="1398" spans="1:14" x14ac:dyDescent="0.3">
      <c r="A1398">
        <v>1396</v>
      </c>
      <c r="B1398" s="1">
        <v>46054</v>
      </c>
      <c r="C1398">
        <v>2026</v>
      </c>
      <c r="D1398">
        <v>2</v>
      </c>
      <c r="E1398" t="str">
        <f t="shared" si="21"/>
        <v>Februari</v>
      </c>
      <c r="F1398">
        <v>1</v>
      </c>
      <c r="G1398" t="s">
        <v>1523</v>
      </c>
      <c r="H1398" t="s">
        <v>1512</v>
      </c>
      <c r="I1398" t="s">
        <v>1513</v>
      </c>
      <c r="J1398" t="s">
        <v>1524</v>
      </c>
      <c r="K1398" t="s">
        <v>1525</v>
      </c>
      <c r="L1398" s="2">
        <v>1</v>
      </c>
      <c r="M1398" s="10">
        <v>12460</v>
      </c>
      <c r="N1398" s="7">
        <v>12460</v>
      </c>
    </row>
    <row r="1399" spans="1:14" x14ac:dyDescent="0.3">
      <c r="A1399">
        <v>1397</v>
      </c>
      <c r="B1399" s="1">
        <v>46055</v>
      </c>
      <c r="C1399">
        <v>2026</v>
      </c>
      <c r="D1399">
        <v>2</v>
      </c>
      <c r="E1399" t="str">
        <f t="shared" si="21"/>
        <v>Februari</v>
      </c>
      <c r="F1399">
        <v>1</v>
      </c>
      <c r="G1399" t="s">
        <v>1526</v>
      </c>
      <c r="H1399" t="s">
        <v>1527</v>
      </c>
      <c r="I1399" t="s">
        <v>1528</v>
      </c>
      <c r="J1399" t="s">
        <v>1524</v>
      </c>
      <c r="K1399" t="s">
        <v>1525</v>
      </c>
      <c r="L1399" s="2">
        <v>2</v>
      </c>
      <c r="M1399" s="10">
        <v>255</v>
      </c>
      <c r="N1399" s="7">
        <v>510</v>
      </c>
    </row>
    <row r="1400" spans="1:14" x14ac:dyDescent="0.3">
      <c r="A1400">
        <v>1398</v>
      </c>
      <c r="B1400" s="1">
        <v>46056</v>
      </c>
      <c r="C1400">
        <v>2026</v>
      </c>
      <c r="D1400">
        <v>2</v>
      </c>
      <c r="E1400" t="str">
        <f t="shared" si="21"/>
        <v>Februari</v>
      </c>
      <c r="F1400">
        <v>1</v>
      </c>
      <c r="G1400" t="s">
        <v>1529</v>
      </c>
      <c r="H1400" t="s">
        <v>1530</v>
      </c>
      <c r="I1400" t="s">
        <v>1513</v>
      </c>
      <c r="J1400" t="s">
        <v>1566</v>
      </c>
      <c r="K1400" t="s">
        <v>1514</v>
      </c>
      <c r="L1400" s="2">
        <v>4</v>
      </c>
      <c r="M1400" s="10">
        <v>688</v>
      </c>
      <c r="N1400" s="7">
        <v>2752</v>
      </c>
    </row>
    <row r="1401" spans="1:14" x14ac:dyDescent="0.3">
      <c r="A1401">
        <v>1399</v>
      </c>
      <c r="B1401" s="1">
        <v>46057</v>
      </c>
      <c r="C1401">
        <v>2026</v>
      </c>
      <c r="D1401">
        <v>2</v>
      </c>
      <c r="E1401" t="str">
        <f t="shared" si="21"/>
        <v>Februari</v>
      </c>
      <c r="F1401">
        <v>1</v>
      </c>
      <c r="G1401" t="s">
        <v>1532</v>
      </c>
      <c r="H1401" t="s">
        <v>1512</v>
      </c>
      <c r="I1401" t="s">
        <v>1516</v>
      </c>
      <c r="J1401" t="s">
        <v>1517</v>
      </c>
      <c r="K1401" t="s">
        <v>1514</v>
      </c>
      <c r="L1401" s="2">
        <v>2</v>
      </c>
      <c r="M1401" s="10">
        <v>4109</v>
      </c>
      <c r="N1401" s="7">
        <v>8218</v>
      </c>
    </row>
    <row r="1402" spans="1:14" x14ac:dyDescent="0.3">
      <c r="A1402">
        <v>1400</v>
      </c>
      <c r="B1402" s="1">
        <v>46058</v>
      </c>
      <c r="C1402">
        <v>2026</v>
      </c>
      <c r="D1402">
        <v>2</v>
      </c>
      <c r="E1402" t="str">
        <f t="shared" si="21"/>
        <v>Februari</v>
      </c>
      <c r="F1402">
        <v>1</v>
      </c>
      <c r="G1402" t="s">
        <v>1533</v>
      </c>
      <c r="H1402" t="s">
        <v>1520</v>
      </c>
      <c r="I1402" t="s">
        <v>1535</v>
      </c>
      <c r="J1402" t="s">
        <v>1524</v>
      </c>
      <c r="K1402" t="s">
        <v>1518</v>
      </c>
      <c r="L1402" s="2">
        <v>2</v>
      </c>
      <c r="M1402" s="10">
        <v>289</v>
      </c>
      <c r="N1402" s="7">
        <v>578</v>
      </c>
    </row>
    <row r="1403" spans="1:14" x14ac:dyDescent="0.3">
      <c r="A1403">
        <v>1401</v>
      </c>
      <c r="B1403" s="1">
        <v>46059</v>
      </c>
      <c r="C1403">
        <v>2026</v>
      </c>
      <c r="D1403">
        <v>2</v>
      </c>
      <c r="E1403" t="str">
        <f t="shared" si="21"/>
        <v>Februari</v>
      </c>
      <c r="F1403">
        <v>1</v>
      </c>
      <c r="G1403" t="s">
        <v>1511</v>
      </c>
      <c r="H1403" t="s">
        <v>1512</v>
      </c>
      <c r="I1403" t="s">
        <v>1528</v>
      </c>
      <c r="J1403" t="s">
        <v>1524</v>
      </c>
      <c r="K1403" t="s">
        <v>1525</v>
      </c>
      <c r="L1403" s="2">
        <v>1</v>
      </c>
      <c r="M1403" s="10">
        <v>56349</v>
      </c>
      <c r="N1403" s="7">
        <v>56349</v>
      </c>
    </row>
    <row r="1404" spans="1:14" x14ac:dyDescent="0.3">
      <c r="A1404">
        <v>1402</v>
      </c>
      <c r="B1404" s="1">
        <v>46060</v>
      </c>
      <c r="C1404">
        <v>2026</v>
      </c>
      <c r="D1404">
        <v>2</v>
      </c>
      <c r="E1404" t="str">
        <f t="shared" si="21"/>
        <v>Februari</v>
      </c>
      <c r="F1404">
        <v>1</v>
      </c>
      <c r="G1404" t="s">
        <v>1515</v>
      </c>
      <c r="H1404" t="s">
        <v>1512</v>
      </c>
      <c r="I1404" t="s">
        <v>1528</v>
      </c>
      <c r="J1404" t="s">
        <v>1524</v>
      </c>
      <c r="K1404" t="s">
        <v>1514</v>
      </c>
      <c r="L1404" s="2">
        <v>3</v>
      </c>
      <c r="M1404" s="10">
        <v>2075</v>
      </c>
      <c r="N1404" s="7">
        <v>6225</v>
      </c>
    </row>
    <row r="1405" spans="1:14" x14ac:dyDescent="0.3">
      <c r="A1405">
        <v>1403</v>
      </c>
      <c r="B1405" s="1">
        <v>46061</v>
      </c>
      <c r="C1405">
        <v>2026</v>
      </c>
      <c r="D1405">
        <v>2</v>
      </c>
      <c r="E1405" t="str">
        <f t="shared" si="21"/>
        <v>Februari</v>
      </c>
      <c r="F1405">
        <v>1</v>
      </c>
      <c r="G1405" t="s">
        <v>1534</v>
      </c>
      <c r="H1405" t="s">
        <v>1530</v>
      </c>
      <c r="I1405" t="s">
        <v>1513</v>
      </c>
      <c r="J1405" t="s">
        <v>1517</v>
      </c>
      <c r="K1405" t="s">
        <v>1518</v>
      </c>
      <c r="L1405" s="2">
        <v>3</v>
      </c>
      <c r="M1405" s="10">
        <v>3644</v>
      </c>
      <c r="N1405" s="7">
        <v>10932</v>
      </c>
    </row>
    <row r="1406" spans="1:14" x14ac:dyDescent="0.3">
      <c r="A1406">
        <v>1404</v>
      </c>
      <c r="B1406" s="1">
        <v>46062</v>
      </c>
      <c r="C1406">
        <v>2026</v>
      </c>
      <c r="D1406">
        <v>2</v>
      </c>
      <c r="E1406" t="str">
        <f t="shared" si="21"/>
        <v>Februari</v>
      </c>
      <c r="F1406">
        <v>1</v>
      </c>
      <c r="G1406" t="s">
        <v>1519</v>
      </c>
      <c r="H1406" t="s">
        <v>1520</v>
      </c>
      <c r="I1406" t="s">
        <v>1535</v>
      </c>
      <c r="J1406" t="s">
        <v>1517</v>
      </c>
      <c r="K1406" t="s">
        <v>1518</v>
      </c>
      <c r="L1406" s="2">
        <v>1</v>
      </c>
      <c r="M1406" s="10">
        <v>5904</v>
      </c>
      <c r="N1406" s="7">
        <v>5904</v>
      </c>
    </row>
    <row r="1407" spans="1:14" x14ac:dyDescent="0.3">
      <c r="A1407">
        <v>1405</v>
      </c>
      <c r="B1407" s="1">
        <v>46063</v>
      </c>
      <c r="C1407">
        <v>2026</v>
      </c>
      <c r="D1407">
        <v>2</v>
      </c>
      <c r="E1407" t="str">
        <f t="shared" si="21"/>
        <v>Februari</v>
      </c>
      <c r="F1407">
        <v>1</v>
      </c>
      <c r="G1407" t="s">
        <v>1522</v>
      </c>
      <c r="H1407" t="s">
        <v>1520</v>
      </c>
      <c r="I1407" t="s">
        <v>1531</v>
      </c>
      <c r="J1407" t="s">
        <v>1566</v>
      </c>
      <c r="K1407" t="s">
        <v>1525</v>
      </c>
      <c r="L1407" s="2">
        <v>3</v>
      </c>
      <c r="M1407" s="10">
        <v>295</v>
      </c>
      <c r="N1407" s="7">
        <v>885</v>
      </c>
    </row>
    <row r="1408" spans="1:14" x14ac:dyDescent="0.3">
      <c r="A1408">
        <v>1406</v>
      </c>
      <c r="B1408" s="1">
        <v>46064</v>
      </c>
      <c r="C1408">
        <v>2026</v>
      </c>
      <c r="D1408">
        <v>2</v>
      </c>
      <c r="E1408" t="str">
        <f t="shared" si="21"/>
        <v>Februari</v>
      </c>
      <c r="F1408">
        <v>1</v>
      </c>
      <c r="G1408" t="s">
        <v>1523</v>
      </c>
      <c r="H1408" t="s">
        <v>1512</v>
      </c>
      <c r="I1408" t="s">
        <v>1513</v>
      </c>
      <c r="J1408" t="s">
        <v>1517</v>
      </c>
      <c r="K1408" t="s">
        <v>1514</v>
      </c>
      <c r="L1408" s="2">
        <v>1</v>
      </c>
      <c r="M1408" s="10">
        <v>27414</v>
      </c>
      <c r="N1408" s="7">
        <v>27414</v>
      </c>
    </row>
    <row r="1409" spans="1:14" x14ac:dyDescent="0.3">
      <c r="A1409">
        <v>1407</v>
      </c>
      <c r="B1409" s="1">
        <v>46065</v>
      </c>
      <c r="C1409">
        <v>2026</v>
      </c>
      <c r="D1409">
        <v>2</v>
      </c>
      <c r="E1409" t="str">
        <f t="shared" si="21"/>
        <v>Februari</v>
      </c>
      <c r="F1409">
        <v>1</v>
      </c>
      <c r="G1409" t="s">
        <v>1526</v>
      </c>
      <c r="H1409" t="s">
        <v>1527</v>
      </c>
      <c r="I1409" t="s">
        <v>1531</v>
      </c>
      <c r="J1409" t="s">
        <v>1566</v>
      </c>
      <c r="K1409" t="s">
        <v>1525</v>
      </c>
      <c r="L1409" s="2">
        <v>1</v>
      </c>
      <c r="M1409" s="10">
        <v>367</v>
      </c>
      <c r="N1409" s="7">
        <v>367</v>
      </c>
    </row>
    <row r="1410" spans="1:14" x14ac:dyDescent="0.3">
      <c r="A1410">
        <v>1408</v>
      </c>
      <c r="B1410" s="1">
        <v>46066</v>
      </c>
      <c r="C1410">
        <v>2026</v>
      </c>
      <c r="D1410">
        <v>2</v>
      </c>
      <c r="E1410" t="str">
        <f t="shared" si="21"/>
        <v>Februari</v>
      </c>
      <c r="F1410">
        <v>1</v>
      </c>
      <c r="G1410" t="s">
        <v>1529</v>
      </c>
      <c r="H1410" t="s">
        <v>1530</v>
      </c>
      <c r="I1410" t="s">
        <v>1521</v>
      </c>
      <c r="J1410" t="s">
        <v>1566</v>
      </c>
      <c r="K1410" t="s">
        <v>1525</v>
      </c>
      <c r="L1410" s="2">
        <v>2</v>
      </c>
      <c r="M1410" s="10">
        <v>698</v>
      </c>
      <c r="N1410" s="7">
        <v>1396</v>
      </c>
    </row>
    <row r="1411" spans="1:14" x14ac:dyDescent="0.3">
      <c r="A1411">
        <v>1409</v>
      </c>
      <c r="B1411" s="1">
        <v>46067</v>
      </c>
      <c r="C1411">
        <v>2026</v>
      </c>
      <c r="D1411">
        <v>2</v>
      </c>
      <c r="E1411" t="str">
        <f t="shared" ref="E1411:E1474" si="22">TEXT(DATE(2026, D1411, 1), "[$-id-ID]mmmm")</f>
        <v>Februari</v>
      </c>
      <c r="F1411">
        <v>1</v>
      </c>
      <c r="G1411" t="s">
        <v>1532</v>
      </c>
      <c r="H1411" t="s">
        <v>1512</v>
      </c>
      <c r="I1411" t="s">
        <v>1531</v>
      </c>
      <c r="J1411" t="s">
        <v>1524</v>
      </c>
      <c r="K1411" t="s">
        <v>1514</v>
      </c>
      <c r="L1411" s="2">
        <v>2</v>
      </c>
      <c r="M1411" s="10">
        <v>13713</v>
      </c>
      <c r="N1411" s="7">
        <v>27426</v>
      </c>
    </row>
    <row r="1412" spans="1:14" x14ac:dyDescent="0.3">
      <c r="A1412">
        <v>1410</v>
      </c>
      <c r="B1412" s="1">
        <v>46068</v>
      </c>
      <c r="C1412">
        <v>2026</v>
      </c>
      <c r="D1412">
        <v>2</v>
      </c>
      <c r="E1412" t="str">
        <f t="shared" si="22"/>
        <v>Februari</v>
      </c>
      <c r="F1412">
        <v>1</v>
      </c>
      <c r="G1412" t="s">
        <v>1533</v>
      </c>
      <c r="H1412" t="s">
        <v>1520</v>
      </c>
      <c r="I1412" t="s">
        <v>1516</v>
      </c>
      <c r="J1412" t="s">
        <v>1566</v>
      </c>
      <c r="K1412" t="s">
        <v>1525</v>
      </c>
      <c r="L1412" s="2">
        <v>4</v>
      </c>
      <c r="M1412" s="10">
        <v>626</v>
      </c>
      <c r="N1412" s="7">
        <v>2504</v>
      </c>
    </row>
    <row r="1413" spans="1:14" x14ac:dyDescent="0.3">
      <c r="A1413">
        <v>1411</v>
      </c>
      <c r="B1413" s="1">
        <v>46069</v>
      </c>
      <c r="C1413">
        <v>2026</v>
      </c>
      <c r="D1413">
        <v>2</v>
      </c>
      <c r="E1413" t="str">
        <f t="shared" si="22"/>
        <v>Februari</v>
      </c>
      <c r="F1413">
        <v>1</v>
      </c>
      <c r="G1413" t="s">
        <v>1511</v>
      </c>
      <c r="H1413" t="s">
        <v>1512</v>
      </c>
      <c r="I1413" t="s">
        <v>1516</v>
      </c>
      <c r="J1413" t="s">
        <v>1566</v>
      </c>
      <c r="K1413" t="s">
        <v>1514</v>
      </c>
      <c r="L1413" s="2">
        <v>2</v>
      </c>
      <c r="M1413" s="10">
        <v>56913</v>
      </c>
      <c r="N1413" s="7">
        <v>113826</v>
      </c>
    </row>
    <row r="1414" spans="1:14" x14ac:dyDescent="0.3">
      <c r="A1414">
        <v>1412</v>
      </c>
      <c r="B1414" s="1">
        <v>46070</v>
      </c>
      <c r="C1414">
        <v>2026</v>
      </c>
      <c r="D1414">
        <v>2</v>
      </c>
      <c r="E1414" t="str">
        <f t="shared" si="22"/>
        <v>Februari</v>
      </c>
      <c r="F1414">
        <v>1</v>
      </c>
      <c r="G1414" t="s">
        <v>1515</v>
      </c>
      <c r="H1414" t="s">
        <v>1512</v>
      </c>
      <c r="I1414" t="s">
        <v>1535</v>
      </c>
      <c r="J1414" t="s">
        <v>1566</v>
      </c>
      <c r="K1414" t="s">
        <v>1514</v>
      </c>
      <c r="L1414" s="2">
        <v>1</v>
      </c>
      <c r="M1414" s="10">
        <v>4959</v>
      </c>
      <c r="N1414" s="7">
        <v>4959</v>
      </c>
    </row>
    <row r="1415" spans="1:14" x14ac:dyDescent="0.3">
      <c r="A1415">
        <v>1413</v>
      </c>
      <c r="B1415" s="1">
        <v>46071</v>
      </c>
      <c r="C1415">
        <v>2026</v>
      </c>
      <c r="D1415">
        <v>2</v>
      </c>
      <c r="E1415" t="str">
        <f t="shared" si="22"/>
        <v>Februari</v>
      </c>
      <c r="F1415">
        <v>1</v>
      </c>
      <c r="G1415" t="s">
        <v>1534</v>
      </c>
      <c r="H1415" t="s">
        <v>1530</v>
      </c>
      <c r="I1415" t="s">
        <v>1535</v>
      </c>
      <c r="J1415" t="s">
        <v>1566</v>
      </c>
      <c r="K1415" t="s">
        <v>1514</v>
      </c>
      <c r="L1415" s="2">
        <v>2</v>
      </c>
      <c r="M1415" s="10">
        <v>2841</v>
      </c>
      <c r="N1415" s="7">
        <v>5682</v>
      </c>
    </row>
    <row r="1416" spans="1:14" x14ac:dyDescent="0.3">
      <c r="A1416">
        <v>1414</v>
      </c>
      <c r="B1416" s="1">
        <v>46072</v>
      </c>
      <c r="C1416">
        <v>2026</v>
      </c>
      <c r="D1416">
        <v>2</v>
      </c>
      <c r="E1416" t="str">
        <f t="shared" si="22"/>
        <v>Februari</v>
      </c>
      <c r="F1416">
        <v>1</v>
      </c>
      <c r="G1416" t="s">
        <v>1519</v>
      </c>
      <c r="H1416" t="s">
        <v>1520</v>
      </c>
      <c r="I1416" t="s">
        <v>1528</v>
      </c>
      <c r="J1416" t="s">
        <v>1517</v>
      </c>
      <c r="K1416" t="s">
        <v>1514</v>
      </c>
      <c r="L1416" s="2">
        <v>4</v>
      </c>
      <c r="M1416" s="10">
        <v>13916</v>
      </c>
      <c r="N1416" s="7">
        <v>55664</v>
      </c>
    </row>
    <row r="1417" spans="1:14" x14ac:dyDescent="0.3">
      <c r="A1417">
        <v>1415</v>
      </c>
      <c r="B1417" s="1">
        <v>46073</v>
      </c>
      <c r="C1417">
        <v>2026</v>
      </c>
      <c r="D1417">
        <v>2</v>
      </c>
      <c r="E1417" t="str">
        <f t="shared" si="22"/>
        <v>Februari</v>
      </c>
      <c r="F1417">
        <v>1</v>
      </c>
      <c r="G1417" t="s">
        <v>1522</v>
      </c>
      <c r="H1417" t="s">
        <v>1520</v>
      </c>
      <c r="I1417" t="s">
        <v>1535</v>
      </c>
      <c r="J1417" t="s">
        <v>1524</v>
      </c>
      <c r="K1417" t="s">
        <v>1525</v>
      </c>
      <c r="L1417" s="2">
        <v>4</v>
      </c>
      <c r="M1417" s="10">
        <v>151</v>
      </c>
      <c r="N1417" s="7">
        <v>604</v>
      </c>
    </row>
    <row r="1418" spans="1:14" x14ac:dyDescent="0.3">
      <c r="A1418">
        <v>1416</v>
      </c>
      <c r="B1418" s="1">
        <v>46074</v>
      </c>
      <c r="C1418">
        <v>2026</v>
      </c>
      <c r="D1418">
        <v>2</v>
      </c>
      <c r="E1418" t="str">
        <f t="shared" si="22"/>
        <v>Februari</v>
      </c>
      <c r="F1418">
        <v>1</v>
      </c>
      <c r="G1418" t="s">
        <v>1523</v>
      </c>
      <c r="H1418" t="s">
        <v>1512</v>
      </c>
      <c r="I1418" t="s">
        <v>1513</v>
      </c>
      <c r="J1418" t="s">
        <v>1517</v>
      </c>
      <c r="K1418" t="s">
        <v>1525</v>
      </c>
      <c r="L1418" s="2">
        <v>1</v>
      </c>
      <c r="M1418" s="10">
        <v>17923</v>
      </c>
      <c r="N1418" s="7">
        <v>17923</v>
      </c>
    </row>
    <row r="1419" spans="1:14" x14ac:dyDescent="0.3">
      <c r="A1419">
        <v>1417</v>
      </c>
      <c r="B1419" s="1">
        <v>46075</v>
      </c>
      <c r="C1419">
        <v>2026</v>
      </c>
      <c r="D1419">
        <v>2</v>
      </c>
      <c r="E1419" t="str">
        <f t="shared" si="22"/>
        <v>Februari</v>
      </c>
      <c r="F1419">
        <v>1</v>
      </c>
      <c r="G1419" t="s">
        <v>1526</v>
      </c>
      <c r="H1419" t="s">
        <v>1527</v>
      </c>
      <c r="I1419" t="s">
        <v>1531</v>
      </c>
      <c r="J1419" t="s">
        <v>1517</v>
      </c>
      <c r="K1419" t="s">
        <v>1514</v>
      </c>
      <c r="L1419" s="2">
        <v>3</v>
      </c>
      <c r="M1419" s="10">
        <v>843</v>
      </c>
      <c r="N1419" s="7">
        <v>2529</v>
      </c>
    </row>
    <row r="1420" spans="1:14" x14ac:dyDescent="0.3">
      <c r="A1420">
        <v>1418</v>
      </c>
      <c r="B1420" s="1">
        <v>46076</v>
      </c>
      <c r="C1420">
        <v>2026</v>
      </c>
      <c r="D1420">
        <v>2</v>
      </c>
      <c r="E1420" t="str">
        <f t="shared" si="22"/>
        <v>Februari</v>
      </c>
      <c r="F1420">
        <v>1</v>
      </c>
      <c r="G1420" t="s">
        <v>1529</v>
      </c>
      <c r="H1420" t="s">
        <v>1530</v>
      </c>
      <c r="I1420" t="s">
        <v>1516</v>
      </c>
      <c r="J1420" t="s">
        <v>1517</v>
      </c>
      <c r="K1420" t="s">
        <v>1518</v>
      </c>
      <c r="L1420" s="2">
        <v>2</v>
      </c>
      <c r="M1420" s="10">
        <v>1736</v>
      </c>
      <c r="N1420" s="7">
        <v>3472</v>
      </c>
    </row>
    <row r="1421" spans="1:14" x14ac:dyDescent="0.3">
      <c r="A1421">
        <v>1419</v>
      </c>
      <c r="B1421" s="1">
        <v>46077</v>
      </c>
      <c r="C1421">
        <v>2026</v>
      </c>
      <c r="D1421">
        <v>2</v>
      </c>
      <c r="E1421" t="str">
        <f t="shared" si="22"/>
        <v>Februari</v>
      </c>
      <c r="F1421">
        <v>1</v>
      </c>
      <c r="G1421" t="s">
        <v>1532</v>
      </c>
      <c r="H1421" t="s">
        <v>1512</v>
      </c>
      <c r="I1421" t="s">
        <v>1535</v>
      </c>
      <c r="J1421" t="s">
        <v>1566</v>
      </c>
      <c r="K1421" t="s">
        <v>1518</v>
      </c>
      <c r="L1421" s="2">
        <v>1</v>
      </c>
      <c r="M1421" s="10">
        <v>13704</v>
      </c>
      <c r="N1421" s="7">
        <v>13704</v>
      </c>
    </row>
    <row r="1422" spans="1:14" x14ac:dyDescent="0.3">
      <c r="A1422">
        <v>1420</v>
      </c>
      <c r="B1422" s="1">
        <v>46078</v>
      </c>
      <c r="C1422">
        <v>2026</v>
      </c>
      <c r="D1422">
        <v>2</v>
      </c>
      <c r="E1422" t="str">
        <f t="shared" si="22"/>
        <v>Februari</v>
      </c>
      <c r="F1422">
        <v>1</v>
      </c>
      <c r="G1422" t="s">
        <v>1533</v>
      </c>
      <c r="H1422" t="s">
        <v>1520</v>
      </c>
      <c r="I1422" t="s">
        <v>1516</v>
      </c>
      <c r="J1422" t="s">
        <v>1566</v>
      </c>
      <c r="K1422" t="s">
        <v>1518</v>
      </c>
      <c r="L1422" s="2">
        <v>5</v>
      </c>
      <c r="M1422" s="10">
        <v>297</v>
      </c>
      <c r="N1422" s="7">
        <v>1485</v>
      </c>
    </row>
    <row r="1423" spans="1:14" x14ac:dyDescent="0.3">
      <c r="A1423">
        <v>1421</v>
      </c>
      <c r="B1423" s="1">
        <v>46079</v>
      </c>
      <c r="C1423">
        <v>2026</v>
      </c>
      <c r="D1423">
        <v>2</v>
      </c>
      <c r="E1423" t="str">
        <f t="shared" si="22"/>
        <v>Februari</v>
      </c>
      <c r="F1423">
        <v>1</v>
      </c>
      <c r="G1423" t="s">
        <v>1511</v>
      </c>
      <c r="H1423" t="s">
        <v>1512</v>
      </c>
      <c r="I1423" t="s">
        <v>1528</v>
      </c>
      <c r="J1423" t="s">
        <v>1524</v>
      </c>
      <c r="K1423" t="s">
        <v>1518</v>
      </c>
      <c r="L1423" s="2">
        <v>2</v>
      </c>
      <c r="M1423" s="10">
        <v>59030</v>
      </c>
      <c r="N1423" s="7">
        <v>118060</v>
      </c>
    </row>
    <row r="1424" spans="1:14" x14ac:dyDescent="0.3">
      <c r="A1424">
        <v>1422</v>
      </c>
      <c r="B1424" s="1">
        <v>46080</v>
      </c>
      <c r="C1424">
        <v>2026</v>
      </c>
      <c r="D1424">
        <v>2</v>
      </c>
      <c r="E1424" t="str">
        <f t="shared" si="22"/>
        <v>Februari</v>
      </c>
      <c r="F1424">
        <v>1</v>
      </c>
      <c r="G1424" t="s">
        <v>1515</v>
      </c>
      <c r="H1424" t="s">
        <v>1512</v>
      </c>
      <c r="I1424" t="s">
        <v>1535</v>
      </c>
      <c r="J1424" t="s">
        <v>1566</v>
      </c>
      <c r="K1424" t="s">
        <v>1518</v>
      </c>
      <c r="L1424" s="2">
        <v>1</v>
      </c>
      <c r="M1424" s="10">
        <v>1043</v>
      </c>
      <c r="N1424" s="7">
        <v>1043</v>
      </c>
    </row>
    <row r="1425" spans="1:14" x14ac:dyDescent="0.3">
      <c r="A1425">
        <v>1423</v>
      </c>
      <c r="B1425" s="1">
        <v>46081</v>
      </c>
      <c r="C1425">
        <v>2026</v>
      </c>
      <c r="D1425">
        <v>2</v>
      </c>
      <c r="E1425" t="str">
        <f t="shared" si="22"/>
        <v>Februari</v>
      </c>
      <c r="F1425">
        <v>1</v>
      </c>
      <c r="G1425" t="s">
        <v>1534</v>
      </c>
      <c r="H1425" t="s">
        <v>1530</v>
      </c>
      <c r="I1425" t="s">
        <v>1516</v>
      </c>
      <c r="J1425" t="s">
        <v>1517</v>
      </c>
      <c r="K1425" t="s">
        <v>1514</v>
      </c>
      <c r="L1425" s="2">
        <v>2</v>
      </c>
      <c r="M1425" s="10">
        <v>3714</v>
      </c>
      <c r="N1425" s="7">
        <v>7428</v>
      </c>
    </row>
    <row r="1426" spans="1:14" x14ac:dyDescent="0.3">
      <c r="A1426">
        <v>1424</v>
      </c>
      <c r="B1426" s="1">
        <v>46082</v>
      </c>
      <c r="C1426">
        <v>2026</v>
      </c>
      <c r="D1426">
        <v>3</v>
      </c>
      <c r="E1426" t="str">
        <f t="shared" si="22"/>
        <v>Maret</v>
      </c>
      <c r="F1426">
        <v>1</v>
      </c>
      <c r="G1426" t="s">
        <v>1519</v>
      </c>
      <c r="H1426" t="s">
        <v>1520</v>
      </c>
      <c r="I1426" t="s">
        <v>1528</v>
      </c>
      <c r="J1426" t="s">
        <v>1524</v>
      </c>
      <c r="K1426" t="s">
        <v>1518</v>
      </c>
      <c r="L1426" s="2">
        <v>2</v>
      </c>
      <c r="M1426" s="10">
        <v>4810</v>
      </c>
      <c r="N1426" s="7">
        <v>9620</v>
      </c>
    </row>
    <row r="1427" spans="1:14" x14ac:dyDescent="0.3">
      <c r="A1427">
        <v>1425</v>
      </c>
      <c r="B1427" s="1">
        <v>46083</v>
      </c>
      <c r="C1427">
        <v>2026</v>
      </c>
      <c r="D1427">
        <v>3</v>
      </c>
      <c r="E1427" t="str">
        <f t="shared" si="22"/>
        <v>Maret</v>
      </c>
      <c r="F1427">
        <v>1</v>
      </c>
      <c r="G1427" t="s">
        <v>1522</v>
      </c>
      <c r="H1427" t="s">
        <v>1520</v>
      </c>
      <c r="I1427" t="s">
        <v>1516</v>
      </c>
      <c r="J1427" t="s">
        <v>1524</v>
      </c>
      <c r="K1427" t="s">
        <v>1514</v>
      </c>
      <c r="L1427" s="2">
        <v>3</v>
      </c>
      <c r="M1427" s="10">
        <v>873</v>
      </c>
      <c r="N1427" s="7">
        <v>2619</v>
      </c>
    </row>
    <row r="1428" spans="1:14" x14ac:dyDescent="0.3">
      <c r="A1428">
        <v>1426</v>
      </c>
      <c r="B1428" s="1">
        <v>46084</v>
      </c>
      <c r="C1428">
        <v>2026</v>
      </c>
      <c r="D1428">
        <v>3</v>
      </c>
      <c r="E1428" t="str">
        <f t="shared" si="22"/>
        <v>Maret</v>
      </c>
      <c r="F1428">
        <v>1</v>
      </c>
      <c r="G1428" t="s">
        <v>1523</v>
      </c>
      <c r="H1428" t="s">
        <v>1512</v>
      </c>
      <c r="I1428" t="s">
        <v>1535</v>
      </c>
      <c r="J1428" t="s">
        <v>1566</v>
      </c>
      <c r="K1428" t="s">
        <v>1518</v>
      </c>
      <c r="L1428" s="2">
        <v>1</v>
      </c>
      <c r="M1428" s="10">
        <v>16801</v>
      </c>
      <c r="N1428" s="7">
        <v>16801</v>
      </c>
    </row>
    <row r="1429" spans="1:14" x14ac:dyDescent="0.3">
      <c r="A1429">
        <v>1427</v>
      </c>
      <c r="B1429" s="1">
        <v>46085</v>
      </c>
      <c r="C1429">
        <v>2026</v>
      </c>
      <c r="D1429">
        <v>3</v>
      </c>
      <c r="E1429" t="str">
        <f t="shared" si="22"/>
        <v>Maret</v>
      </c>
      <c r="F1429">
        <v>1</v>
      </c>
      <c r="G1429" t="s">
        <v>1526</v>
      </c>
      <c r="H1429" t="s">
        <v>1527</v>
      </c>
      <c r="I1429" t="s">
        <v>1521</v>
      </c>
      <c r="J1429" t="s">
        <v>1524</v>
      </c>
      <c r="K1429" t="s">
        <v>1525</v>
      </c>
      <c r="L1429" s="2">
        <v>2</v>
      </c>
      <c r="M1429" s="10">
        <v>881</v>
      </c>
      <c r="N1429" s="7">
        <v>1762</v>
      </c>
    </row>
    <row r="1430" spans="1:14" x14ac:dyDescent="0.3">
      <c r="A1430">
        <v>1428</v>
      </c>
      <c r="B1430" s="1">
        <v>46086</v>
      </c>
      <c r="C1430">
        <v>2026</v>
      </c>
      <c r="D1430">
        <v>3</v>
      </c>
      <c r="E1430" t="str">
        <f t="shared" si="22"/>
        <v>Maret</v>
      </c>
      <c r="F1430">
        <v>1</v>
      </c>
      <c r="G1430" t="s">
        <v>1529</v>
      </c>
      <c r="H1430" t="s">
        <v>1530</v>
      </c>
      <c r="I1430" t="s">
        <v>1521</v>
      </c>
      <c r="J1430" t="s">
        <v>1566</v>
      </c>
      <c r="K1430" t="s">
        <v>1514</v>
      </c>
      <c r="L1430" s="2">
        <v>1</v>
      </c>
      <c r="M1430" s="10">
        <v>1334</v>
      </c>
      <c r="N1430" s="7">
        <v>1334</v>
      </c>
    </row>
    <row r="1431" spans="1:14" x14ac:dyDescent="0.3">
      <c r="A1431">
        <v>1429</v>
      </c>
      <c r="B1431" s="1">
        <v>46087</v>
      </c>
      <c r="C1431">
        <v>2026</v>
      </c>
      <c r="D1431">
        <v>3</v>
      </c>
      <c r="E1431" t="str">
        <f t="shared" si="22"/>
        <v>Maret</v>
      </c>
      <c r="F1431">
        <v>1</v>
      </c>
      <c r="G1431" t="s">
        <v>1532</v>
      </c>
      <c r="H1431" t="s">
        <v>1512</v>
      </c>
      <c r="I1431" t="s">
        <v>1531</v>
      </c>
      <c r="J1431" t="s">
        <v>1566</v>
      </c>
      <c r="K1431" t="s">
        <v>1514</v>
      </c>
      <c r="L1431" s="2">
        <v>1</v>
      </c>
      <c r="M1431" s="10">
        <v>5467</v>
      </c>
      <c r="N1431" s="7">
        <v>5467</v>
      </c>
    </row>
    <row r="1432" spans="1:14" x14ac:dyDescent="0.3">
      <c r="A1432">
        <v>1430</v>
      </c>
      <c r="B1432" s="1">
        <v>46088</v>
      </c>
      <c r="C1432">
        <v>2026</v>
      </c>
      <c r="D1432">
        <v>3</v>
      </c>
      <c r="E1432" t="str">
        <f t="shared" si="22"/>
        <v>Maret</v>
      </c>
      <c r="F1432">
        <v>1</v>
      </c>
      <c r="G1432" t="s">
        <v>1533</v>
      </c>
      <c r="H1432" t="s">
        <v>1520</v>
      </c>
      <c r="I1432" t="s">
        <v>1516</v>
      </c>
      <c r="J1432" t="s">
        <v>1524</v>
      </c>
      <c r="K1432" t="s">
        <v>1514</v>
      </c>
      <c r="L1432" s="2">
        <v>5</v>
      </c>
      <c r="M1432" s="10">
        <v>767</v>
      </c>
      <c r="N1432" s="7">
        <v>3835</v>
      </c>
    </row>
    <row r="1433" spans="1:14" x14ac:dyDescent="0.3">
      <c r="A1433">
        <v>1431</v>
      </c>
      <c r="B1433" s="1">
        <v>46089</v>
      </c>
      <c r="C1433">
        <v>2026</v>
      </c>
      <c r="D1433">
        <v>3</v>
      </c>
      <c r="E1433" t="str">
        <f t="shared" si="22"/>
        <v>Maret</v>
      </c>
      <c r="F1433">
        <v>1</v>
      </c>
      <c r="G1433" t="s">
        <v>1511</v>
      </c>
      <c r="H1433" t="s">
        <v>1512</v>
      </c>
      <c r="I1433" t="s">
        <v>1513</v>
      </c>
      <c r="J1433" t="s">
        <v>1566</v>
      </c>
      <c r="K1433" t="s">
        <v>1518</v>
      </c>
      <c r="L1433" s="2">
        <v>2</v>
      </c>
      <c r="M1433" s="10">
        <v>45680</v>
      </c>
      <c r="N1433" s="7">
        <v>91360</v>
      </c>
    </row>
    <row r="1434" spans="1:14" x14ac:dyDescent="0.3">
      <c r="A1434">
        <v>1432</v>
      </c>
      <c r="B1434" s="1">
        <v>46090</v>
      </c>
      <c r="C1434">
        <v>2026</v>
      </c>
      <c r="D1434">
        <v>3</v>
      </c>
      <c r="E1434" t="str">
        <f t="shared" si="22"/>
        <v>Maret</v>
      </c>
      <c r="F1434">
        <v>1</v>
      </c>
      <c r="G1434" t="s">
        <v>1515</v>
      </c>
      <c r="H1434" t="s">
        <v>1512</v>
      </c>
      <c r="I1434" t="s">
        <v>1528</v>
      </c>
      <c r="J1434" t="s">
        <v>1566</v>
      </c>
      <c r="K1434" t="s">
        <v>1518</v>
      </c>
      <c r="L1434" s="2">
        <v>1</v>
      </c>
      <c r="M1434" s="10">
        <v>3500</v>
      </c>
      <c r="N1434" s="7">
        <v>3500</v>
      </c>
    </row>
    <row r="1435" spans="1:14" x14ac:dyDescent="0.3">
      <c r="A1435">
        <v>1433</v>
      </c>
      <c r="B1435" s="1">
        <v>46091</v>
      </c>
      <c r="C1435">
        <v>2026</v>
      </c>
      <c r="D1435">
        <v>3</v>
      </c>
      <c r="E1435" t="str">
        <f t="shared" si="22"/>
        <v>Maret</v>
      </c>
      <c r="F1435">
        <v>1</v>
      </c>
      <c r="G1435" t="s">
        <v>1534</v>
      </c>
      <c r="H1435" t="s">
        <v>1530</v>
      </c>
      <c r="I1435" t="s">
        <v>1528</v>
      </c>
      <c r="J1435" t="s">
        <v>1524</v>
      </c>
      <c r="K1435" t="s">
        <v>1525</v>
      </c>
      <c r="L1435" s="2">
        <v>1</v>
      </c>
      <c r="M1435" s="10">
        <v>2356</v>
      </c>
      <c r="N1435" s="7">
        <v>2356</v>
      </c>
    </row>
    <row r="1436" spans="1:14" x14ac:dyDescent="0.3">
      <c r="A1436">
        <v>1434</v>
      </c>
      <c r="B1436" s="1">
        <v>46092</v>
      </c>
      <c r="C1436">
        <v>2026</v>
      </c>
      <c r="D1436">
        <v>3</v>
      </c>
      <c r="E1436" t="str">
        <f t="shared" si="22"/>
        <v>Maret</v>
      </c>
      <c r="F1436">
        <v>1</v>
      </c>
      <c r="G1436" t="s">
        <v>1519</v>
      </c>
      <c r="H1436" t="s">
        <v>1520</v>
      </c>
      <c r="I1436" t="s">
        <v>1531</v>
      </c>
      <c r="J1436" t="s">
        <v>1566</v>
      </c>
      <c r="K1436" t="s">
        <v>1518</v>
      </c>
      <c r="L1436" s="2">
        <v>5</v>
      </c>
      <c r="M1436" s="10">
        <v>7458</v>
      </c>
      <c r="N1436" s="7">
        <v>37290</v>
      </c>
    </row>
    <row r="1437" spans="1:14" x14ac:dyDescent="0.3">
      <c r="A1437">
        <v>1435</v>
      </c>
      <c r="B1437" s="1">
        <v>46093</v>
      </c>
      <c r="C1437">
        <v>2026</v>
      </c>
      <c r="D1437">
        <v>3</v>
      </c>
      <c r="E1437" t="str">
        <f t="shared" si="22"/>
        <v>Maret</v>
      </c>
      <c r="F1437">
        <v>1</v>
      </c>
      <c r="G1437" t="s">
        <v>1522</v>
      </c>
      <c r="H1437" t="s">
        <v>1520</v>
      </c>
      <c r="I1437" t="s">
        <v>1531</v>
      </c>
      <c r="J1437" t="s">
        <v>1524</v>
      </c>
      <c r="K1437" t="s">
        <v>1518</v>
      </c>
      <c r="L1437" s="2">
        <v>3</v>
      </c>
      <c r="M1437" s="10">
        <v>365</v>
      </c>
      <c r="N1437" s="7">
        <v>1095</v>
      </c>
    </row>
    <row r="1438" spans="1:14" x14ac:dyDescent="0.3">
      <c r="A1438">
        <v>1436</v>
      </c>
      <c r="B1438" s="1">
        <v>46094</v>
      </c>
      <c r="C1438">
        <v>2026</v>
      </c>
      <c r="D1438">
        <v>3</v>
      </c>
      <c r="E1438" t="str">
        <f t="shared" si="22"/>
        <v>Maret</v>
      </c>
      <c r="F1438">
        <v>1</v>
      </c>
      <c r="G1438" t="s">
        <v>1523</v>
      </c>
      <c r="H1438" t="s">
        <v>1512</v>
      </c>
      <c r="I1438" t="s">
        <v>1531</v>
      </c>
      <c r="J1438" t="s">
        <v>1566</v>
      </c>
      <c r="K1438" t="s">
        <v>1514</v>
      </c>
      <c r="L1438" s="2">
        <v>2</v>
      </c>
      <c r="M1438" s="10">
        <v>20872</v>
      </c>
      <c r="N1438" s="7">
        <v>41744</v>
      </c>
    </row>
    <row r="1439" spans="1:14" x14ac:dyDescent="0.3">
      <c r="A1439">
        <v>1437</v>
      </c>
      <c r="B1439" s="1">
        <v>46095</v>
      </c>
      <c r="C1439">
        <v>2026</v>
      </c>
      <c r="D1439">
        <v>3</v>
      </c>
      <c r="E1439" t="str">
        <f t="shared" si="22"/>
        <v>Maret</v>
      </c>
      <c r="F1439">
        <v>1</v>
      </c>
      <c r="G1439" t="s">
        <v>1526</v>
      </c>
      <c r="H1439" t="s">
        <v>1527</v>
      </c>
      <c r="I1439" t="s">
        <v>1521</v>
      </c>
      <c r="J1439" t="s">
        <v>1566</v>
      </c>
      <c r="K1439" t="s">
        <v>1518</v>
      </c>
      <c r="L1439" s="2">
        <v>5</v>
      </c>
      <c r="M1439" s="10">
        <v>987</v>
      </c>
      <c r="N1439" s="7">
        <v>4935</v>
      </c>
    </row>
    <row r="1440" spans="1:14" x14ac:dyDescent="0.3">
      <c r="A1440">
        <v>1438</v>
      </c>
      <c r="B1440" s="1">
        <v>46096</v>
      </c>
      <c r="C1440">
        <v>2026</v>
      </c>
      <c r="D1440">
        <v>3</v>
      </c>
      <c r="E1440" t="str">
        <f t="shared" si="22"/>
        <v>Maret</v>
      </c>
      <c r="F1440">
        <v>1</v>
      </c>
      <c r="G1440" t="s">
        <v>1529</v>
      </c>
      <c r="H1440" t="s">
        <v>1530</v>
      </c>
      <c r="I1440" t="s">
        <v>1535</v>
      </c>
      <c r="J1440" t="s">
        <v>1566</v>
      </c>
      <c r="K1440" t="s">
        <v>1525</v>
      </c>
      <c r="L1440" s="2">
        <v>2</v>
      </c>
      <c r="M1440" s="10">
        <v>1861</v>
      </c>
      <c r="N1440" s="7">
        <v>3722</v>
      </c>
    </row>
    <row r="1441" spans="1:14" x14ac:dyDescent="0.3">
      <c r="A1441">
        <v>1439</v>
      </c>
      <c r="B1441" s="1">
        <v>46097</v>
      </c>
      <c r="C1441">
        <v>2026</v>
      </c>
      <c r="D1441">
        <v>3</v>
      </c>
      <c r="E1441" t="str">
        <f t="shared" si="22"/>
        <v>Maret</v>
      </c>
      <c r="F1441">
        <v>1</v>
      </c>
      <c r="G1441" t="s">
        <v>1532</v>
      </c>
      <c r="H1441" t="s">
        <v>1512</v>
      </c>
      <c r="I1441" t="s">
        <v>1528</v>
      </c>
      <c r="J1441" t="s">
        <v>1517</v>
      </c>
      <c r="K1441" t="s">
        <v>1525</v>
      </c>
      <c r="L1441" s="2">
        <v>2</v>
      </c>
      <c r="M1441" s="10">
        <v>7608</v>
      </c>
      <c r="N1441" s="7">
        <v>15216</v>
      </c>
    </row>
    <row r="1442" spans="1:14" x14ac:dyDescent="0.3">
      <c r="A1442">
        <v>1440</v>
      </c>
      <c r="B1442" s="1">
        <v>46098</v>
      </c>
      <c r="C1442">
        <v>2026</v>
      </c>
      <c r="D1442">
        <v>3</v>
      </c>
      <c r="E1442" t="str">
        <f t="shared" si="22"/>
        <v>Maret</v>
      </c>
      <c r="F1442">
        <v>1</v>
      </c>
      <c r="G1442" t="s">
        <v>1533</v>
      </c>
      <c r="H1442" t="s">
        <v>1520</v>
      </c>
      <c r="I1442" t="s">
        <v>1531</v>
      </c>
      <c r="J1442" t="s">
        <v>1517</v>
      </c>
      <c r="K1442" t="s">
        <v>1525</v>
      </c>
      <c r="L1442" s="2">
        <v>3</v>
      </c>
      <c r="M1442" s="10">
        <v>672</v>
      </c>
      <c r="N1442" s="7">
        <v>2016</v>
      </c>
    </row>
    <row r="1443" spans="1:14" x14ac:dyDescent="0.3">
      <c r="A1443">
        <v>1441</v>
      </c>
      <c r="B1443" s="1">
        <v>46099</v>
      </c>
      <c r="C1443">
        <v>2026</v>
      </c>
      <c r="D1443">
        <v>3</v>
      </c>
      <c r="E1443" t="str">
        <f t="shared" si="22"/>
        <v>Maret</v>
      </c>
      <c r="F1443">
        <v>1</v>
      </c>
      <c r="G1443" t="s">
        <v>1511</v>
      </c>
      <c r="H1443" t="s">
        <v>1512</v>
      </c>
      <c r="I1443" t="s">
        <v>1531</v>
      </c>
      <c r="J1443" t="s">
        <v>1524</v>
      </c>
      <c r="K1443" t="s">
        <v>1525</v>
      </c>
      <c r="L1443" s="2">
        <v>2</v>
      </c>
      <c r="M1443" s="10">
        <v>53902</v>
      </c>
      <c r="N1443" s="7">
        <v>107804</v>
      </c>
    </row>
    <row r="1444" spans="1:14" x14ac:dyDescent="0.3">
      <c r="A1444">
        <v>1442</v>
      </c>
      <c r="B1444" s="1">
        <v>46100</v>
      </c>
      <c r="C1444">
        <v>2026</v>
      </c>
      <c r="D1444">
        <v>3</v>
      </c>
      <c r="E1444" t="str">
        <f t="shared" si="22"/>
        <v>Maret</v>
      </c>
      <c r="F1444">
        <v>1</v>
      </c>
      <c r="G1444" t="s">
        <v>1515</v>
      </c>
      <c r="H1444" t="s">
        <v>1512</v>
      </c>
      <c r="I1444" t="s">
        <v>1516</v>
      </c>
      <c r="J1444" t="s">
        <v>1517</v>
      </c>
      <c r="K1444" t="s">
        <v>1525</v>
      </c>
      <c r="L1444" s="2">
        <v>3</v>
      </c>
      <c r="M1444" s="10">
        <v>3381</v>
      </c>
      <c r="N1444" s="7">
        <v>10143</v>
      </c>
    </row>
    <row r="1445" spans="1:14" x14ac:dyDescent="0.3">
      <c r="A1445">
        <v>1443</v>
      </c>
      <c r="B1445" s="1">
        <v>46101</v>
      </c>
      <c r="C1445">
        <v>2026</v>
      </c>
      <c r="D1445">
        <v>3</v>
      </c>
      <c r="E1445" t="str">
        <f t="shared" si="22"/>
        <v>Maret</v>
      </c>
      <c r="F1445">
        <v>1</v>
      </c>
      <c r="G1445" t="s">
        <v>1534</v>
      </c>
      <c r="H1445" t="s">
        <v>1530</v>
      </c>
      <c r="I1445" t="s">
        <v>1516</v>
      </c>
      <c r="J1445" t="s">
        <v>1517</v>
      </c>
      <c r="K1445" t="s">
        <v>1525</v>
      </c>
      <c r="L1445" s="2">
        <v>2</v>
      </c>
      <c r="M1445" s="10">
        <v>3696</v>
      </c>
      <c r="N1445" s="7">
        <v>7392</v>
      </c>
    </row>
    <row r="1446" spans="1:14" x14ac:dyDescent="0.3">
      <c r="A1446">
        <v>1444</v>
      </c>
      <c r="B1446" s="1">
        <v>46102</v>
      </c>
      <c r="C1446">
        <v>2026</v>
      </c>
      <c r="D1446">
        <v>3</v>
      </c>
      <c r="E1446" t="str">
        <f t="shared" si="22"/>
        <v>Maret</v>
      </c>
      <c r="F1446">
        <v>1</v>
      </c>
      <c r="G1446" t="s">
        <v>1519</v>
      </c>
      <c r="H1446" t="s">
        <v>1520</v>
      </c>
      <c r="I1446" t="s">
        <v>1528</v>
      </c>
      <c r="J1446" t="s">
        <v>1517</v>
      </c>
      <c r="K1446" t="s">
        <v>1514</v>
      </c>
      <c r="L1446" s="2">
        <v>4</v>
      </c>
      <c r="M1446" s="10">
        <v>19559</v>
      </c>
      <c r="N1446" s="7">
        <v>78236</v>
      </c>
    </row>
    <row r="1447" spans="1:14" x14ac:dyDescent="0.3">
      <c r="A1447">
        <v>1445</v>
      </c>
      <c r="B1447" s="1">
        <v>46103</v>
      </c>
      <c r="C1447">
        <v>2026</v>
      </c>
      <c r="D1447">
        <v>3</v>
      </c>
      <c r="E1447" t="str">
        <f t="shared" si="22"/>
        <v>Maret</v>
      </c>
      <c r="F1447">
        <v>1</v>
      </c>
      <c r="G1447" t="s">
        <v>1522</v>
      </c>
      <c r="H1447" t="s">
        <v>1520</v>
      </c>
      <c r="I1447" t="s">
        <v>1535</v>
      </c>
      <c r="J1447" t="s">
        <v>1517</v>
      </c>
      <c r="K1447" t="s">
        <v>1514</v>
      </c>
      <c r="L1447" s="2">
        <v>5</v>
      </c>
      <c r="M1447" s="10">
        <v>503</v>
      </c>
      <c r="N1447" s="7">
        <v>2515</v>
      </c>
    </row>
    <row r="1448" spans="1:14" x14ac:dyDescent="0.3">
      <c r="A1448">
        <v>1446</v>
      </c>
      <c r="B1448" s="1">
        <v>46104</v>
      </c>
      <c r="C1448">
        <v>2026</v>
      </c>
      <c r="D1448">
        <v>3</v>
      </c>
      <c r="E1448" t="str">
        <f t="shared" si="22"/>
        <v>Maret</v>
      </c>
      <c r="F1448">
        <v>1</v>
      </c>
      <c r="G1448" t="s">
        <v>1523</v>
      </c>
      <c r="H1448" t="s">
        <v>1512</v>
      </c>
      <c r="I1448" t="s">
        <v>1521</v>
      </c>
      <c r="J1448" t="s">
        <v>1517</v>
      </c>
      <c r="K1448" t="s">
        <v>1525</v>
      </c>
      <c r="L1448" s="2">
        <v>1</v>
      </c>
      <c r="M1448" s="10">
        <v>38392</v>
      </c>
      <c r="N1448" s="7">
        <v>38392</v>
      </c>
    </row>
    <row r="1449" spans="1:14" x14ac:dyDescent="0.3">
      <c r="A1449">
        <v>1447</v>
      </c>
      <c r="B1449" s="1">
        <v>46105</v>
      </c>
      <c r="C1449">
        <v>2026</v>
      </c>
      <c r="D1449">
        <v>3</v>
      </c>
      <c r="E1449" t="str">
        <f t="shared" si="22"/>
        <v>Maret</v>
      </c>
      <c r="F1449">
        <v>1</v>
      </c>
      <c r="G1449" t="s">
        <v>1526</v>
      </c>
      <c r="H1449" t="s">
        <v>1527</v>
      </c>
      <c r="I1449" t="s">
        <v>1516</v>
      </c>
      <c r="J1449" t="s">
        <v>1517</v>
      </c>
      <c r="K1449" t="s">
        <v>1514</v>
      </c>
      <c r="L1449" s="2">
        <v>4</v>
      </c>
      <c r="M1449" s="10">
        <v>113</v>
      </c>
      <c r="N1449" s="7">
        <v>452</v>
      </c>
    </row>
    <row r="1450" spans="1:14" x14ac:dyDescent="0.3">
      <c r="A1450">
        <v>1448</v>
      </c>
      <c r="B1450" s="1">
        <v>46106</v>
      </c>
      <c r="C1450">
        <v>2026</v>
      </c>
      <c r="D1450">
        <v>3</v>
      </c>
      <c r="E1450" t="str">
        <f t="shared" si="22"/>
        <v>Maret</v>
      </c>
      <c r="F1450">
        <v>1</v>
      </c>
      <c r="G1450" t="s">
        <v>1529</v>
      </c>
      <c r="H1450" t="s">
        <v>1530</v>
      </c>
      <c r="I1450" t="s">
        <v>1528</v>
      </c>
      <c r="J1450" t="s">
        <v>1524</v>
      </c>
      <c r="K1450" t="s">
        <v>1518</v>
      </c>
      <c r="L1450" s="2">
        <v>5</v>
      </c>
      <c r="M1450" s="10">
        <v>684</v>
      </c>
      <c r="N1450" s="7">
        <v>3420</v>
      </c>
    </row>
    <row r="1451" spans="1:14" x14ac:dyDescent="0.3">
      <c r="A1451">
        <v>1449</v>
      </c>
      <c r="B1451" s="1">
        <v>46107</v>
      </c>
      <c r="C1451">
        <v>2026</v>
      </c>
      <c r="D1451">
        <v>3</v>
      </c>
      <c r="E1451" t="str">
        <f t="shared" si="22"/>
        <v>Maret</v>
      </c>
      <c r="F1451">
        <v>1</v>
      </c>
      <c r="G1451" t="s">
        <v>1532</v>
      </c>
      <c r="H1451" t="s">
        <v>1512</v>
      </c>
      <c r="I1451" t="s">
        <v>1513</v>
      </c>
      <c r="J1451" t="s">
        <v>1517</v>
      </c>
      <c r="K1451" t="s">
        <v>1514</v>
      </c>
      <c r="L1451" s="2">
        <v>1</v>
      </c>
      <c r="M1451" s="10">
        <v>3574</v>
      </c>
      <c r="N1451" s="7">
        <v>3574</v>
      </c>
    </row>
    <row r="1452" spans="1:14" x14ac:dyDescent="0.3">
      <c r="A1452">
        <v>1450</v>
      </c>
      <c r="B1452" s="1">
        <v>46108</v>
      </c>
      <c r="C1452">
        <v>2026</v>
      </c>
      <c r="D1452">
        <v>3</v>
      </c>
      <c r="E1452" t="str">
        <f t="shared" si="22"/>
        <v>Maret</v>
      </c>
      <c r="F1452">
        <v>1</v>
      </c>
      <c r="G1452" t="s">
        <v>1533</v>
      </c>
      <c r="H1452" t="s">
        <v>1520</v>
      </c>
      <c r="I1452" t="s">
        <v>1528</v>
      </c>
      <c r="J1452" t="s">
        <v>1566</v>
      </c>
      <c r="K1452" t="s">
        <v>1525</v>
      </c>
      <c r="L1452" s="2">
        <v>5</v>
      </c>
      <c r="M1452" s="10">
        <v>779</v>
      </c>
      <c r="N1452" s="7">
        <v>3895</v>
      </c>
    </row>
    <row r="1453" spans="1:14" x14ac:dyDescent="0.3">
      <c r="A1453">
        <v>1451</v>
      </c>
      <c r="B1453" s="1">
        <v>46109</v>
      </c>
      <c r="C1453">
        <v>2026</v>
      </c>
      <c r="D1453">
        <v>3</v>
      </c>
      <c r="E1453" t="str">
        <f t="shared" si="22"/>
        <v>Maret</v>
      </c>
      <c r="F1453">
        <v>1</v>
      </c>
      <c r="G1453" t="s">
        <v>1511</v>
      </c>
      <c r="H1453" t="s">
        <v>1512</v>
      </c>
      <c r="I1453" t="s">
        <v>1528</v>
      </c>
      <c r="J1453" t="s">
        <v>1566</v>
      </c>
      <c r="K1453" t="s">
        <v>1518</v>
      </c>
      <c r="L1453" s="2">
        <v>1</v>
      </c>
      <c r="M1453" s="10">
        <v>40358</v>
      </c>
      <c r="N1453" s="7">
        <v>40358</v>
      </c>
    </row>
    <row r="1454" spans="1:14" x14ac:dyDescent="0.3">
      <c r="A1454">
        <v>1452</v>
      </c>
      <c r="B1454" s="1">
        <v>46110</v>
      </c>
      <c r="C1454">
        <v>2026</v>
      </c>
      <c r="D1454">
        <v>3</v>
      </c>
      <c r="E1454" t="str">
        <f t="shared" si="22"/>
        <v>Maret</v>
      </c>
      <c r="F1454">
        <v>1</v>
      </c>
      <c r="G1454" t="s">
        <v>1515</v>
      </c>
      <c r="H1454" t="s">
        <v>1512</v>
      </c>
      <c r="I1454" t="s">
        <v>1513</v>
      </c>
      <c r="J1454" t="s">
        <v>1524</v>
      </c>
      <c r="K1454" t="s">
        <v>1525</v>
      </c>
      <c r="L1454" s="2">
        <v>3</v>
      </c>
      <c r="M1454" s="10">
        <v>3269</v>
      </c>
      <c r="N1454" s="7">
        <v>9807</v>
      </c>
    </row>
    <row r="1455" spans="1:14" x14ac:dyDescent="0.3">
      <c r="A1455">
        <v>1453</v>
      </c>
      <c r="B1455" s="1">
        <v>46111</v>
      </c>
      <c r="C1455">
        <v>2026</v>
      </c>
      <c r="D1455">
        <v>3</v>
      </c>
      <c r="E1455" t="str">
        <f t="shared" si="22"/>
        <v>Maret</v>
      </c>
      <c r="F1455">
        <v>1</v>
      </c>
      <c r="G1455" t="s">
        <v>1534</v>
      </c>
      <c r="H1455" t="s">
        <v>1530</v>
      </c>
      <c r="I1455" t="s">
        <v>1535</v>
      </c>
      <c r="J1455" t="s">
        <v>1517</v>
      </c>
      <c r="K1455" t="s">
        <v>1525</v>
      </c>
      <c r="L1455" s="2">
        <v>1</v>
      </c>
      <c r="M1455" s="10">
        <v>2592</v>
      </c>
      <c r="N1455" s="7">
        <v>2592</v>
      </c>
    </row>
    <row r="1456" spans="1:14" x14ac:dyDescent="0.3">
      <c r="A1456">
        <v>1454</v>
      </c>
      <c r="B1456" s="1">
        <v>46112</v>
      </c>
      <c r="C1456">
        <v>2026</v>
      </c>
      <c r="D1456">
        <v>3</v>
      </c>
      <c r="E1456" t="str">
        <f t="shared" si="22"/>
        <v>Maret</v>
      </c>
      <c r="F1456">
        <v>1</v>
      </c>
      <c r="G1456" t="s">
        <v>1519</v>
      </c>
      <c r="H1456" t="s">
        <v>1520</v>
      </c>
      <c r="I1456" t="s">
        <v>1521</v>
      </c>
      <c r="J1456" t="s">
        <v>1524</v>
      </c>
      <c r="K1456" t="s">
        <v>1518</v>
      </c>
      <c r="L1456" s="2">
        <v>3</v>
      </c>
      <c r="M1456" s="10">
        <v>18529</v>
      </c>
      <c r="N1456" s="7">
        <v>55587</v>
      </c>
    </row>
    <row r="1457" spans="1:14" x14ac:dyDescent="0.3">
      <c r="A1457">
        <v>1455</v>
      </c>
      <c r="B1457" s="1">
        <v>46113</v>
      </c>
      <c r="C1457">
        <v>2026</v>
      </c>
      <c r="D1457">
        <v>4</v>
      </c>
      <c r="E1457" t="str">
        <f t="shared" si="22"/>
        <v>April</v>
      </c>
      <c r="F1457">
        <v>2</v>
      </c>
      <c r="G1457" t="s">
        <v>1522</v>
      </c>
      <c r="H1457" t="s">
        <v>1520</v>
      </c>
      <c r="I1457" t="s">
        <v>1521</v>
      </c>
      <c r="J1457" t="s">
        <v>1517</v>
      </c>
      <c r="K1457" t="s">
        <v>1514</v>
      </c>
      <c r="L1457" s="2">
        <v>5</v>
      </c>
      <c r="M1457" s="10">
        <v>376</v>
      </c>
      <c r="N1457" s="7">
        <v>1880</v>
      </c>
    </row>
    <row r="1458" spans="1:14" x14ac:dyDescent="0.3">
      <c r="A1458">
        <v>1456</v>
      </c>
      <c r="B1458" s="1">
        <v>46114</v>
      </c>
      <c r="C1458">
        <v>2026</v>
      </c>
      <c r="D1458">
        <v>4</v>
      </c>
      <c r="E1458" t="str">
        <f t="shared" si="22"/>
        <v>April</v>
      </c>
      <c r="F1458">
        <v>2</v>
      </c>
      <c r="G1458" t="s">
        <v>1523</v>
      </c>
      <c r="H1458" t="s">
        <v>1512</v>
      </c>
      <c r="I1458" t="s">
        <v>1513</v>
      </c>
      <c r="J1458" t="s">
        <v>1566</v>
      </c>
      <c r="K1458" t="s">
        <v>1518</v>
      </c>
      <c r="L1458" s="2">
        <v>2</v>
      </c>
      <c r="M1458" s="10">
        <v>23687</v>
      </c>
      <c r="N1458" s="7">
        <v>47374</v>
      </c>
    </row>
    <row r="1459" spans="1:14" x14ac:dyDescent="0.3">
      <c r="A1459">
        <v>1457</v>
      </c>
      <c r="B1459" s="1">
        <v>46115</v>
      </c>
      <c r="C1459">
        <v>2026</v>
      </c>
      <c r="D1459">
        <v>4</v>
      </c>
      <c r="E1459" t="str">
        <f t="shared" si="22"/>
        <v>April</v>
      </c>
      <c r="F1459">
        <v>2</v>
      </c>
      <c r="G1459" t="s">
        <v>1526</v>
      </c>
      <c r="H1459" t="s">
        <v>1527</v>
      </c>
      <c r="I1459" t="s">
        <v>1516</v>
      </c>
      <c r="J1459" t="s">
        <v>1524</v>
      </c>
      <c r="K1459" t="s">
        <v>1518</v>
      </c>
      <c r="L1459" s="2">
        <v>2</v>
      </c>
      <c r="M1459" s="10">
        <v>225</v>
      </c>
      <c r="N1459" s="7">
        <v>450</v>
      </c>
    </row>
    <row r="1460" spans="1:14" x14ac:dyDescent="0.3">
      <c r="A1460">
        <v>1458</v>
      </c>
      <c r="B1460" s="1">
        <v>46116</v>
      </c>
      <c r="C1460">
        <v>2026</v>
      </c>
      <c r="D1460">
        <v>4</v>
      </c>
      <c r="E1460" t="str">
        <f t="shared" si="22"/>
        <v>April</v>
      </c>
      <c r="F1460">
        <v>2</v>
      </c>
      <c r="G1460" t="s">
        <v>1529</v>
      </c>
      <c r="H1460" t="s">
        <v>1530</v>
      </c>
      <c r="I1460" t="s">
        <v>1531</v>
      </c>
      <c r="J1460" t="s">
        <v>1524</v>
      </c>
      <c r="K1460" t="s">
        <v>1525</v>
      </c>
      <c r="L1460" s="2">
        <v>5</v>
      </c>
      <c r="M1460" s="10">
        <v>882</v>
      </c>
      <c r="N1460" s="7">
        <v>4410</v>
      </c>
    </row>
    <row r="1461" spans="1:14" x14ac:dyDescent="0.3">
      <c r="A1461">
        <v>1459</v>
      </c>
      <c r="B1461" s="1">
        <v>46117</v>
      </c>
      <c r="C1461">
        <v>2026</v>
      </c>
      <c r="D1461">
        <v>4</v>
      </c>
      <c r="E1461" t="str">
        <f t="shared" si="22"/>
        <v>April</v>
      </c>
      <c r="F1461">
        <v>2</v>
      </c>
      <c r="G1461" t="s">
        <v>1532</v>
      </c>
      <c r="H1461" t="s">
        <v>1512</v>
      </c>
      <c r="I1461" t="s">
        <v>1516</v>
      </c>
      <c r="J1461" t="s">
        <v>1566</v>
      </c>
      <c r="K1461" t="s">
        <v>1518</v>
      </c>
      <c r="L1461" s="2">
        <v>2</v>
      </c>
      <c r="M1461" s="10">
        <v>7214</v>
      </c>
      <c r="N1461" s="7">
        <v>14428</v>
      </c>
    </row>
    <row r="1462" spans="1:14" x14ac:dyDescent="0.3">
      <c r="A1462">
        <v>1460</v>
      </c>
      <c r="B1462" s="1">
        <v>46118</v>
      </c>
      <c r="C1462">
        <v>2026</v>
      </c>
      <c r="D1462">
        <v>4</v>
      </c>
      <c r="E1462" t="str">
        <f t="shared" si="22"/>
        <v>April</v>
      </c>
      <c r="F1462">
        <v>2</v>
      </c>
      <c r="G1462" t="s">
        <v>1533</v>
      </c>
      <c r="H1462" t="s">
        <v>1520</v>
      </c>
      <c r="I1462" t="s">
        <v>1521</v>
      </c>
      <c r="J1462" t="s">
        <v>1524</v>
      </c>
      <c r="K1462" t="s">
        <v>1525</v>
      </c>
      <c r="L1462" s="2">
        <v>5</v>
      </c>
      <c r="M1462" s="10">
        <v>241</v>
      </c>
      <c r="N1462" s="7">
        <v>1205</v>
      </c>
    </row>
    <row r="1463" spans="1:14" x14ac:dyDescent="0.3">
      <c r="A1463">
        <v>1461</v>
      </c>
      <c r="B1463" s="1">
        <v>46119</v>
      </c>
      <c r="C1463">
        <v>2026</v>
      </c>
      <c r="D1463">
        <v>4</v>
      </c>
      <c r="E1463" t="str">
        <f t="shared" si="22"/>
        <v>April</v>
      </c>
      <c r="F1463">
        <v>2</v>
      </c>
      <c r="G1463" t="s">
        <v>1511</v>
      </c>
      <c r="H1463" t="s">
        <v>1512</v>
      </c>
      <c r="I1463" t="s">
        <v>1535</v>
      </c>
      <c r="J1463" t="s">
        <v>1566</v>
      </c>
      <c r="K1463" t="s">
        <v>1514</v>
      </c>
      <c r="L1463" s="2">
        <v>2</v>
      </c>
      <c r="M1463" s="10">
        <v>61490</v>
      </c>
      <c r="N1463" s="7">
        <v>122980</v>
      </c>
    </row>
    <row r="1464" spans="1:14" x14ac:dyDescent="0.3">
      <c r="A1464">
        <v>1462</v>
      </c>
      <c r="B1464" s="1">
        <v>46120</v>
      </c>
      <c r="C1464">
        <v>2026</v>
      </c>
      <c r="D1464">
        <v>4</v>
      </c>
      <c r="E1464" t="str">
        <f t="shared" si="22"/>
        <v>April</v>
      </c>
      <c r="F1464">
        <v>2</v>
      </c>
      <c r="G1464" t="s">
        <v>1515</v>
      </c>
      <c r="H1464" t="s">
        <v>1512</v>
      </c>
      <c r="I1464" t="s">
        <v>1513</v>
      </c>
      <c r="J1464" t="s">
        <v>1524</v>
      </c>
      <c r="K1464" t="s">
        <v>1525</v>
      </c>
      <c r="L1464" s="2">
        <v>3</v>
      </c>
      <c r="M1464" s="10">
        <v>4120</v>
      </c>
      <c r="N1464" s="7">
        <v>12360</v>
      </c>
    </row>
    <row r="1465" spans="1:14" x14ac:dyDescent="0.3">
      <c r="A1465">
        <v>1463</v>
      </c>
      <c r="B1465" s="1">
        <v>46121</v>
      </c>
      <c r="C1465">
        <v>2026</v>
      </c>
      <c r="D1465">
        <v>4</v>
      </c>
      <c r="E1465" t="str">
        <f t="shared" si="22"/>
        <v>April</v>
      </c>
      <c r="F1465">
        <v>2</v>
      </c>
      <c r="G1465" t="s">
        <v>1534</v>
      </c>
      <c r="H1465" t="s">
        <v>1530</v>
      </c>
      <c r="I1465" t="s">
        <v>1516</v>
      </c>
      <c r="J1465" t="s">
        <v>1517</v>
      </c>
      <c r="K1465" t="s">
        <v>1525</v>
      </c>
      <c r="L1465" s="2">
        <v>1</v>
      </c>
      <c r="M1465" s="10">
        <v>1206</v>
      </c>
      <c r="N1465" s="7">
        <v>1206</v>
      </c>
    </row>
    <row r="1466" spans="1:14" x14ac:dyDescent="0.3">
      <c r="A1466">
        <v>1464</v>
      </c>
      <c r="B1466" s="1">
        <v>46122</v>
      </c>
      <c r="C1466">
        <v>2026</v>
      </c>
      <c r="D1466">
        <v>4</v>
      </c>
      <c r="E1466" t="str">
        <f t="shared" si="22"/>
        <v>April</v>
      </c>
      <c r="F1466">
        <v>2</v>
      </c>
      <c r="G1466" t="s">
        <v>1519</v>
      </c>
      <c r="H1466" t="s">
        <v>1520</v>
      </c>
      <c r="I1466" t="s">
        <v>1535</v>
      </c>
      <c r="J1466" t="s">
        <v>1524</v>
      </c>
      <c r="K1466" t="s">
        <v>1518</v>
      </c>
      <c r="L1466" s="2">
        <v>4</v>
      </c>
      <c r="M1466" s="10">
        <v>10934</v>
      </c>
      <c r="N1466" s="7">
        <v>43736</v>
      </c>
    </row>
    <row r="1467" spans="1:14" x14ac:dyDescent="0.3">
      <c r="A1467">
        <v>1465</v>
      </c>
      <c r="B1467" s="1">
        <v>46123</v>
      </c>
      <c r="C1467">
        <v>2026</v>
      </c>
      <c r="D1467">
        <v>4</v>
      </c>
      <c r="E1467" t="str">
        <f t="shared" si="22"/>
        <v>April</v>
      </c>
      <c r="F1467">
        <v>2</v>
      </c>
      <c r="G1467" t="s">
        <v>1522</v>
      </c>
      <c r="H1467" t="s">
        <v>1520</v>
      </c>
      <c r="I1467" t="s">
        <v>1521</v>
      </c>
      <c r="J1467" t="s">
        <v>1566</v>
      </c>
      <c r="K1467" t="s">
        <v>1514</v>
      </c>
      <c r="L1467" s="2">
        <v>1</v>
      </c>
      <c r="M1467" s="10">
        <v>326</v>
      </c>
      <c r="N1467" s="7">
        <v>326</v>
      </c>
    </row>
    <row r="1468" spans="1:14" x14ac:dyDescent="0.3">
      <c r="A1468">
        <v>1466</v>
      </c>
      <c r="B1468" s="1">
        <v>46124</v>
      </c>
      <c r="C1468">
        <v>2026</v>
      </c>
      <c r="D1468">
        <v>4</v>
      </c>
      <c r="E1468" t="str">
        <f t="shared" si="22"/>
        <v>April</v>
      </c>
      <c r="F1468">
        <v>2</v>
      </c>
      <c r="G1468" t="s">
        <v>1523</v>
      </c>
      <c r="H1468" t="s">
        <v>1512</v>
      </c>
      <c r="I1468" t="s">
        <v>1513</v>
      </c>
      <c r="J1468" t="s">
        <v>1517</v>
      </c>
      <c r="K1468" t="s">
        <v>1518</v>
      </c>
      <c r="L1468" s="2">
        <v>2</v>
      </c>
      <c r="M1468" s="10">
        <v>37146</v>
      </c>
      <c r="N1468" s="7">
        <v>74292</v>
      </c>
    </row>
    <row r="1469" spans="1:14" x14ac:dyDescent="0.3">
      <c r="A1469">
        <v>1467</v>
      </c>
      <c r="B1469" s="1">
        <v>46125</v>
      </c>
      <c r="C1469">
        <v>2026</v>
      </c>
      <c r="D1469">
        <v>4</v>
      </c>
      <c r="E1469" t="str">
        <f t="shared" si="22"/>
        <v>April</v>
      </c>
      <c r="F1469">
        <v>2</v>
      </c>
      <c r="G1469" t="s">
        <v>1526</v>
      </c>
      <c r="H1469" t="s">
        <v>1527</v>
      </c>
      <c r="I1469" t="s">
        <v>1535</v>
      </c>
      <c r="J1469" t="s">
        <v>1524</v>
      </c>
      <c r="K1469" t="s">
        <v>1514</v>
      </c>
      <c r="L1469" s="2">
        <v>1</v>
      </c>
      <c r="M1469" s="10">
        <v>235</v>
      </c>
      <c r="N1469" s="7">
        <v>235</v>
      </c>
    </row>
    <row r="1470" spans="1:14" x14ac:dyDescent="0.3">
      <c r="A1470">
        <v>1468</v>
      </c>
      <c r="B1470" s="1">
        <v>46126</v>
      </c>
      <c r="C1470">
        <v>2026</v>
      </c>
      <c r="D1470">
        <v>4</v>
      </c>
      <c r="E1470" t="str">
        <f t="shared" si="22"/>
        <v>April</v>
      </c>
      <c r="F1470">
        <v>2</v>
      </c>
      <c r="G1470" t="s">
        <v>1529</v>
      </c>
      <c r="H1470" t="s">
        <v>1530</v>
      </c>
      <c r="I1470" t="s">
        <v>1521</v>
      </c>
      <c r="J1470" t="s">
        <v>1524</v>
      </c>
      <c r="K1470" t="s">
        <v>1518</v>
      </c>
      <c r="L1470" s="2">
        <v>5</v>
      </c>
      <c r="M1470" s="10">
        <v>1118</v>
      </c>
      <c r="N1470" s="7">
        <v>5590</v>
      </c>
    </row>
    <row r="1471" spans="1:14" x14ac:dyDescent="0.3">
      <c r="A1471">
        <v>1469</v>
      </c>
      <c r="B1471" s="1">
        <v>46127</v>
      </c>
      <c r="C1471">
        <v>2026</v>
      </c>
      <c r="D1471">
        <v>4</v>
      </c>
      <c r="E1471" t="str">
        <f t="shared" si="22"/>
        <v>April</v>
      </c>
      <c r="F1471">
        <v>2</v>
      </c>
      <c r="G1471" t="s">
        <v>1532</v>
      </c>
      <c r="H1471" t="s">
        <v>1512</v>
      </c>
      <c r="I1471" t="s">
        <v>1535</v>
      </c>
      <c r="J1471" t="s">
        <v>1517</v>
      </c>
      <c r="K1471" t="s">
        <v>1514</v>
      </c>
      <c r="L1471" s="2">
        <v>2</v>
      </c>
      <c r="M1471" s="10">
        <v>7110</v>
      </c>
      <c r="N1471" s="7">
        <v>14220</v>
      </c>
    </row>
    <row r="1472" spans="1:14" x14ac:dyDescent="0.3">
      <c r="A1472">
        <v>1470</v>
      </c>
      <c r="B1472" s="1">
        <v>46128</v>
      </c>
      <c r="C1472">
        <v>2026</v>
      </c>
      <c r="D1472">
        <v>4</v>
      </c>
      <c r="E1472" t="str">
        <f t="shared" si="22"/>
        <v>April</v>
      </c>
      <c r="F1472">
        <v>2</v>
      </c>
      <c r="G1472" t="s">
        <v>1533</v>
      </c>
      <c r="H1472" t="s">
        <v>1520</v>
      </c>
      <c r="I1472" t="s">
        <v>1521</v>
      </c>
      <c r="J1472" t="s">
        <v>1524</v>
      </c>
      <c r="K1472" t="s">
        <v>1518</v>
      </c>
      <c r="L1472" s="2">
        <v>1</v>
      </c>
      <c r="M1472" s="10">
        <v>333</v>
      </c>
      <c r="N1472" s="7">
        <v>333</v>
      </c>
    </row>
    <row r="1473" spans="1:14" x14ac:dyDescent="0.3">
      <c r="A1473">
        <v>1471</v>
      </c>
      <c r="B1473" s="1">
        <v>46129</v>
      </c>
      <c r="C1473">
        <v>2026</v>
      </c>
      <c r="D1473">
        <v>4</v>
      </c>
      <c r="E1473" t="str">
        <f t="shared" si="22"/>
        <v>April</v>
      </c>
      <c r="F1473">
        <v>2</v>
      </c>
      <c r="G1473" t="s">
        <v>1511</v>
      </c>
      <c r="H1473" t="s">
        <v>1512</v>
      </c>
      <c r="I1473" t="s">
        <v>1521</v>
      </c>
      <c r="J1473" t="s">
        <v>1566</v>
      </c>
      <c r="K1473" t="s">
        <v>1518</v>
      </c>
      <c r="L1473" s="2">
        <v>1</v>
      </c>
      <c r="M1473" s="10">
        <v>62505</v>
      </c>
      <c r="N1473" s="7">
        <v>62505</v>
      </c>
    </row>
    <row r="1474" spans="1:14" x14ac:dyDescent="0.3">
      <c r="A1474">
        <v>1472</v>
      </c>
      <c r="B1474" s="1">
        <v>46130</v>
      </c>
      <c r="C1474">
        <v>2026</v>
      </c>
      <c r="D1474">
        <v>4</v>
      </c>
      <c r="E1474" t="str">
        <f t="shared" si="22"/>
        <v>April</v>
      </c>
      <c r="F1474">
        <v>2</v>
      </c>
      <c r="G1474" t="s">
        <v>1515</v>
      </c>
      <c r="H1474" t="s">
        <v>1512</v>
      </c>
      <c r="I1474" t="s">
        <v>1531</v>
      </c>
      <c r="J1474" t="s">
        <v>1524</v>
      </c>
      <c r="K1474" t="s">
        <v>1514</v>
      </c>
      <c r="L1474" s="2">
        <v>1</v>
      </c>
      <c r="M1474" s="10">
        <v>3269</v>
      </c>
      <c r="N1474" s="7">
        <v>3269</v>
      </c>
    </row>
    <row r="1475" spans="1:14" x14ac:dyDescent="0.3">
      <c r="A1475">
        <v>1473</v>
      </c>
      <c r="B1475" s="1">
        <v>46131</v>
      </c>
      <c r="C1475">
        <v>2026</v>
      </c>
      <c r="D1475">
        <v>4</v>
      </c>
      <c r="E1475" t="str">
        <f t="shared" ref="E1475:E1501" si="23">TEXT(DATE(2026, D1475, 1), "[$-id-ID]mmmm")</f>
        <v>April</v>
      </c>
      <c r="F1475">
        <v>2</v>
      </c>
      <c r="G1475" t="s">
        <v>1534</v>
      </c>
      <c r="H1475" t="s">
        <v>1530</v>
      </c>
      <c r="I1475" t="s">
        <v>1531</v>
      </c>
      <c r="J1475" t="s">
        <v>1566</v>
      </c>
      <c r="K1475" t="s">
        <v>1525</v>
      </c>
      <c r="L1475" s="2">
        <v>1</v>
      </c>
      <c r="M1475" s="10">
        <v>3182</v>
      </c>
      <c r="N1475" s="7">
        <v>3182</v>
      </c>
    </row>
    <row r="1476" spans="1:14" x14ac:dyDescent="0.3">
      <c r="A1476">
        <v>1474</v>
      </c>
      <c r="B1476" s="1">
        <v>46132</v>
      </c>
      <c r="C1476">
        <v>2026</v>
      </c>
      <c r="D1476">
        <v>4</v>
      </c>
      <c r="E1476" t="str">
        <f t="shared" si="23"/>
        <v>April</v>
      </c>
      <c r="F1476">
        <v>2</v>
      </c>
      <c r="G1476" t="s">
        <v>1519</v>
      </c>
      <c r="H1476" t="s">
        <v>1520</v>
      </c>
      <c r="I1476" t="s">
        <v>1516</v>
      </c>
      <c r="J1476" t="s">
        <v>1517</v>
      </c>
      <c r="K1476" t="s">
        <v>1525</v>
      </c>
      <c r="L1476" s="2">
        <v>1</v>
      </c>
      <c r="M1476" s="10">
        <v>4471</v>
      </c>
      <c r="N1476" s="7">
        <v>4471</v>
      </c>
    </row>
    <row r="1477" spans="1:14" x14ac:dyDescent="0.3">
      <c r="A1477">
        <v>1475</v>
      </c>
      <c r="B1477" s="1">
        <v>46133</v>
      </c>
      <c r="C1477">
        <v>2026</v>
      </c>
      <c r="D1477">
        <v>4</v>
      </c>
      <c r="E1477" t="str">
        <f t="shared" si="23"/>
        <v>April</v>
      </c>
      <c r="F1477">
        <v>2</v>
      </c>
      <c r="G1477" t="s">
        <v>1522</v>
      </c>
      <c r="H1477" t="s">
        <v>1520</v>
      </c>
      <c r="I1477" t="s">
        <v>1528</v>
      </c>
      <c r="J1477" t="s">
        <v>1566</v>
      </c>
      <c r="K1477" t="s">
        <v>1514</v>
      </c>
      <c r="L1477" s="2">
        <v>2</v>
      </c>
      <c r="M1477" s="10">
        <v>732</v>
      </c>
      <c r="N1477" s="7">
        <v>1464</v>
      </c>
    </row>
    <row r="1478" spans="1:14" x14ac:dyDescent="0.3">
      <c r="A1478">
        <v>1476</v>
      </c>
      <c r="B1478" s="1">
        <v>46134</v>
      </c>
      <c r="C1478">
        <v>2026</v>
      </c>
      <c r="D1478">
        <v>4</v>
      </c>
      <c r="E1478" t="str">
        <f t="shared" si="23"/>
        <v>April</v>
      </c>
      <c r="F1478">
        <v>2</v>
      </c>
      <c r="G1478" t="s">
        <v>1523</v>
      </c>
      <c r="H1478" t="s">
        <v>1512</v>
      </c>
      <c r="I1478" t="s">
        <v>1521</v>
      </c>
      <c r="J1478" t="s">
        <v>1517</v>
      </c>
      <c r="K1478" t="s">
        <v>1525</v>
      </c>
      <c r="L1478" s="2">
        <v>2</v>
      </c>
      <c r="M1478" s="10">
        <v>14850</v>
      </c>
      <c r="N1478" s="7">
        <v>29700</v>
      </c>
    </row>
    <row r="1479" spans="1:14" x14ac:dyDescent="0.3">
      <c r="A1479">
        <v>1477</v>
      </c>
      <c r="B1479" s="1">
        <v>46135</v>
      </c>
      <c r="C1479">
        <v>2026</v>
      </c>
      <c r="D1479">
        <v>4</v>
      </c>
      <c r="E1479" t="str">
        <f t="shared" si="23"/>
        <v>April</v>
      </c>
      <c r="F1479">
        <v>2</v>
      </c>
      <c r="G1479" t="s">
        <v>1526</v>
      </c>
      <c r="H1479" t="s">
        <v>1527</v>
      </c>
      <c r="I1479" t="s">
        <v>1531</v>
      </c>
      <c r="J1479" t="s">
        <v>1566</v>
      </c>
      <c r="K1479" t="s">
        <v>1518</v>
      </c>
      <c r="L1479" s="2">
        <v>2</v>
      </c>
      <c r="M1479" s="10">
        <v>179</v>
      </c>
      <c r="N1479" s="7">
        <v>358</v>
      </c>
    </row>
    <row r="1480" spans="1:14" x14ac:dyDescent="0.3">
      <c r="A1480">
        <v>1478</v>
      </c>
      <c r="B1480" s="1">
        <v>46136</v>
      </c>
      <c r="C1480">
        <v>2026</v>
      </c>
      <c r="D1480">
        <v>4</v>
      </c>
      <c r="E1480" t="str">
        <f t="shared" si="23"/>
        <v>April</v>
      </c>
      <c r="F1480">
        <v>2</v>
      </c>
      <c r="G1480" t="s">
        <v>1529</v>
      </c>
      <c r="H1480" t="s">
        <v>1530</v>
      </c>
      <c r="I1480" t="s">
        <v>1535</v>
      </c>
      <c r="J1480" t="s">
        <v>1566</v>
      </c>
      <c r="K1480" t="s">
        <v>1525</v>
      </c>
      <c r="L1480" s="2">
        <v>5</v>
      </c>
      <c r="M1480" s="10">
        <v>1213</v>
      </c>
      <c r="N1480" s="7">
        <v>6065</v>
      </c>
    </row>
    <row r="1481" spans="1:14" x14ac:dyDescent="0.3">
      <c r="A1481">
        <v>1479</v>
      </c>
      <c r="B1481" s="1">
        <v>46137</v>
      </c>
      <c r="C1481">
        <v>2026</v>
      </c>
      <c r="D1481">
        <v>4</v>
      </c>
      <c r="E1481" t="str">
        <f t="shared" si="23"/>
        <v>April</v>
      </c>
      <c r="F1481">
        <v>2</v>
      </c>
      <c r="G1481" t="s">
        <v>1532</v>
      </c>
      <c r="H1481" t="s">
        <v>1512</v>
      </c>
      <c r="I1481" t="s">
        <v>1535</v>
      </c>
      <c r="J1481" t="s">
        <v>1517</v>
      </c>
      <c r="K1481" t="s">
        <v>1518</v>
      </c>
      <c r="L1481" s="2">
        <v>1</v>
      </c>
      <c r="M1481" s="10">
        <v>5171</v>
      </c>
      <c r="N1481" s="7">
        <v>5171</v>
      </c>
    </row>
    <row r="1482" spans="1:14" x14ac:dyDescent="0.3">
      <c r="A1482">
        <v>1480</v>
      </c>
      <c r="B1482" s="1">
        <v>46138</v>
      </c>
      <c r="C1482">
        <v>2026</v>
      </c>
      <c r="D1482">
        <v>4</v>
      </c>
      <c r="E1482" t="str">
        <f t="shared" si="23"/>
        <v>April</v>
      </c>
      <c r="F1482">
        <v>2</v>
      </c>
      <c r="G1482" t="s">
        <v>1533</v>
      </c>
      <c r="H1482" t="s">
        <v>1520</v>
      </c>
      <c r="I1482" t="s">
        <v>1513</v>
      </c>
      <c r="J1482" t="s">
        <v>1524</v>
      </c>
      <c r="K1482" t="s">
        <v>1514</v>
      </c>
      <c r="L1482" s="2">
        <v>1</v>
      </c>
      <c r="M1482" s="10">
        <v>731</v>
      </c>
      <c r="N1482" s="7">
        <v>731</v>
      </c>
    </row>
    <row r="1483" spans="1:14" x14ac:dyDescent="0.3">
      <c r="A1483">
        <v>1481</v>
      </c>
      <c r="B1483" s="1">
        <v>46139</v>
      </c>
      <c r="C1483">
        <v>2026</v>
      </c>
      <c r="D1483">
        <v>4</v>
      </c>
      <c r="E1483" t="str">
        <f t="shared" si="23"/>
        <v>April</v>
      </c>
      <c r="F1483">
        <v>2</v>
      </c>
      <c r="G1483" t="s">
        <v>1511</v>
      </c>
      <c r="H1483" t="s">
        <v>1512</v>
      </c>
      <c r="I1483" t="s">
        <v>1513</v>
      </c>
      <c r="J1483" t="s">
        <v>1566</v>
      </c>
      <c r="K1483" t="s">
        <v>1518</v>
      </c>
      <c r="L1483" s="2">
        <v>1</v>
      </c>
      <c r="M1483" s="10">
        <v>67499</v>
      </c>
      <c r="N1483" s="7">
        <v>67499</v>
      </c>
    </row>
    <row r="1484" spans="1:14" x14ac:dyDescent="0.3">
      <c r="A1484">
        <v>1482</v>
      </c>
      <c r="B1484" s="1">
        <v>46140</v>
      </c>
      <c r="C1484">
        <v>2026</v>
      </c>
      <c r="D1484">
        <v>4</v>
      </c>
      <c r="E1484" t="str">
        <f t="shared" si="23"/>
        <v>April</v>
      </c>
      <c r="F1484">
        <v>2</v>
      </c>
      <c r="G1484" t="s">
        <v>1515</v>
      </c>
      <c r="H1484" t="s">
        <v>1512</v>
      </c>
      <c r="I1484" t="s">
        <v>1516</v>
      </c>
      <c r="J1484" t="s">
        <v>1517</v>
      </c>
      <c r="K1484" t="s">
        <v>1514</v>
      </c>
      <c r="L1484" s="2">
        <v>1</v>
      </c>
      <c r="M1484" s="10">
        <v>4107</v>
      </c>
      <c r="N1484" s="7">
        <v>4107</v>
      </c>
    </row>
    <row r="1485" spans="1:14" x14ac:dyDescent="0.3">
      <c r="A1485">
        <v>1483</v>
      </c>
      <c r="B1485" s="1">
        <v>46141</v>
      </c>
      <c r="C1485">
        <v>2026</v>
      </c>
      <c r="D1485">
        <v>4</v>
      </c>
      <c r="E1485" t="str">
        <f t="shared" si="23"/>
        <v>April</v>
      </c>
      <c r="F1485">
        <v>2</v>
      </c>
      <c r="G1485" t="s">
        <v>1534</v>
      </c>
      <c r="H1485" t="s">
        <v>1530</v>
      </c>
      <c r="I1485" t="s">
        <v>1528</v>
      </c>
      <c r="J1485" t="s">
        <v>1524</v>
      </c>
      <c r="K1485" t="s">
        <v>1514</v>
      </c>
      <c r="L1485" s="2">
        <v>2</v>
      </c>
      <c r="M1485" s="10">
        <v>2690</v>
      </c>
      <c r="N1485" s="7">
        <v>5380</v>
      </c>
    </row>
    <row r="1486" spans="1:14" x14ac:dyDescent="0.3">
      <c r="A1486">
        <v>1484</v>
      </c>
      <c r="B1486" s="1">
        <v>46142</v>
      </c>
      <c r="C1486">
        <v>2026</v>
      </c>
      <c r="D1486">
        <v>4</v>
      </c>
      <c r="E1486" t="str">
        <f t="shared" si="23"/>
        <v>April</v>
      </c>
      <c r="F1486">
        <v>2</v>
      </c>
      <c r="G1486" t="s">
        <v>1519</v>
      </c>
      <c r="H1486" t="s">
        <v>1520</v>
      </c>
      <c r="I1486" t="s">
        <v>1531</v>
      </c>
      <c r="J1486" t="s">
        <v>1566</v>
      </c>
      <c r="K1486" t="s">
        <v>1514</v>
      </c>
      <c r="L1486" s="2">
        <v>5</v>
      </c>
      <c r="M1486" s="10">
        <v>8632</v>
      </c>
      <c r="N1486" s="7">
        <v>43160</v>
      </c>
    </row>
    <row r="1487" spans="1:14" x14ac:dyDescent="0.3">
      <c r="A1487">
        <v>1485</v>
      </c>
      <c r="B1487" s="1">
        <v>46143</v>
      </c>
      <c r="C1487">
        <v>2026</v>
      </c>
      <c r="D1487">
        <v>5</v>
      </c>
      <c r="E1487" t="str">
        <f t="shared" si="23"/>
        <v>Mei</v>
      </c>
      <c r="F1487">
        <v>2</v>
      </c>
      <c r="G1487" t="s">
        <v>1522</v>
      </c>
      <c r="H1487" t="s">
        <v>1520</v>
      </c>
      <c r="I1487" t="s">
        <v>1521</v>
      </c>
      <c r="J1487" t="s">
        <v>1524</v>
      </c>
      <c r="K1487" t="s">
        <v>1525</v>
      </c>
      <c r="L1487" s="2">
        <v>2</v>
      </c>
      <c r="M1487" s="10">
        <v>746</v>
      </c>
      <c r="N1487" s="7">
        <v>1492</v>
      </c>
    </row>
    <row r="1488" spans="1:14" x14ac:dyDescent="0.3">
      <c r="A1488">
        <v>1486</v>
      </c>
      <c r="B1488" s="1">
        <v>46144</v>
      </c>
      <c r="C1488">
        <v>2026</v>
      </c>
      <c r="D1488">
        <v>5</v>
      </c>
      <c r="E1488" t="str">
        <f t="shared" si="23"/>
        <v>Mei</v>
      </c>
      <c r="F1488">
        <v>2</v>
      </c>
      <c r="G1488" t="s">
        <v>1523</v>
      </c>
      <c r="H1488" t="s">
        <v>1512</v>
      </c>
      <c r="I1488" t="s">
        <v>1521</v>
      </c>
      <c r="J1488" t="s">
        <v>1517</v>
      </c>
      <c r="K1488" t="s">
        <v>1518</v>
      </c>
      <c r="L1488" s="2">
        <v>2</v>
      </c>
      <c r="M1488" s="10">
        <v>19358</v>
      </c>
      <c r="N1488" s="7">
        <v>38716</v>
      </c>
    </row>
    <row r="1489" spans="1:14" x14ac:dyDescent="0.3">
      <c r="A1489">
        <v>1487</v>
      </c>
      <c r="B1489" s="1">
        <v>46145</v>
      </c>
      <c r="C1489">
        <v>2026</v>
      </c>
      <c r="D1489">
        <v>5</v>
      </c>
      <c r="E1489" t="str">
        <f t="shared" si="23"/>
        <v>Mei</v>
      </c>
      <c r="F1489">
        <v>2</v>
      </c>
      <c r="G1489" t="s">
        <v>1526</v>
      </c>
      <c r="H1489" t="s">
        <v>1527</v>
      </c>
      <c r="I1489" t="s">
        <v>1531</v>
      </c>
      <c r="J1489" t="s">
        <v>1566</v>
      </c>
      <c r="K1489" t="s">
        <v>1514</v>
      </c>
      <c r="L1489" s="2">
        <v>3</v>
      </c>
      <c r="M1489" s="10">
        <v>128</v>
      </c>
      <c r="N1489" s="7">
        <v>384</v>
      </c>
    </row>
    <row r="1490" spans="1:14" x14ac:dyDescent="0.3">
      <c r="A1490">
        <v>1488</v>
      </c>
      <c r="B1490" s="1">
        <v>46146</v>
      </c>
      <c r="C1490">
        <v>2026</v>
      </c>
      <c r="D1490">
        <v>5</v>
      </c>
      <c r="E1490" t="str">
        <f t="shared" si="23"/>
        <v>Mei</v>
      </c>
      <c r="F1490">
        <v>2</v>
      </c>
      <c r="G1490" t="s">
        <v>1529</v>
      </c>
      <c r="H1490" t="s">
        <v>1530</v>
      </c>
      <c r="I1490" t="s">
        <v>1516</v>
      </c>
      <c r="J1490" t="s">
        <v>1566</v>
      </c>
      <c r="K1490" t="s">
        <v>1525</v>
      </c>
      <c r="L1490" s="2">
        <v>2</v>
      </c>
      <c r="M1490" s="10">
        <v>1440</v>
      </c>
      <c r="N1490" s="7">
        <v>2880</v>
      </c>
    </row>
    <row r="1491" spans="1:14" x14ac:dyDescent="0.3">
      <c r="A1491">
        <v>1489</v>
      </c>
      <c r="B1491" s="1">
        <v>46147</v>
      </c>
      <c r="C1491">
        <v>2026</v>
      </c>
      <c r="D1491">
        <v>5</v>
      </c>
      <c r="E1491" t="str">
        <f t="shared" si="23"/>
        <v>Mei</v>
      </c>
      <c r="F1491">
        <v>2</v>
      </c>
      <c r="G1491" t="s">
        <v>1532</v>
      </c>
      <c r="H1491" t="s">
        <v>1512</v>
      </c>
      <c r="I1491" t="s">
        <v>1513</v>
      </c>
      <c r="J1491" t="s">
        <v>1524</v>
      </c>
      <c r="K1491" t="s">
        <v>1525</v>
      </c>
      <c r="L1491" s="2">
        <v>1</v>
      </c>
      <c r="M1491" s="10">
        <v>14302</v>
      </c>
      <c r="N1491" s="7">
        <v>14302</v>
      </c>
    </row>
    <row r="1492" spans="1:14" x14ac:dyDescent="0.3">
      <c r="A1492">
        <v>1490</v>
      </c>
      <c r="B1492" s="1">
        <v>46148</v>
      </c>
      <c r="C1492">
        <v>2026</v>
      </c>
      <c r="D1492">
        <v>5</v>
      </c>
      <c r="E1492" t="str">
        <f t="shared" si="23"/>
        <v>Mei</v>
      </c>
      <c r="F1492">
        <v>2</v>
      </c>
      <c r="G1492" t="s">
        <v>1533</v>
      </c>
      <c r="H1492" t="s">
        <v>1520</v>
      </c>
      <c r="I1492" t="s">
        <v>1535</v>
      </c>
      <c r="J1492" t="s">
        <v>1517</v>
      </c>
      <c r="K1492" t="s">
        <v>1514</v>
      </c>
      <c r="L1492" s="2">
        <v>5</v>
      </c>
      <c r="M1492" s="10">
        <v>296</v>
      </c>
      <c r="N1492" s="7">
        <v>1480</v>
      </c>
    </row>
    <row r="1493" spans="1:14" x14ac:dyDescent="0.3">
      <c r="A1493">
        <v>1491</v>
      </c>
      <c r="B1493" s="1">
        <v>46149</v>
      </c>
      <c r="C1493">
        <v>2026</v>
      </c>
      <c r="D1493">
        <v>5</v>
      </c>
      <c r="E1493" t="str">
        <f t="shared" si="23"/>
        <v>Mei</v>
      </c>
      <c r="F1493">
        <v>2</v>
      </c>
      <c r="G1493" t="s">
        <v>1511</v>
      </c>
      <c r="H1493" t="s">
        <v>1512</v>
      </c>
      <c r="I1493" t="s">
        <v>1535</v>
      </c>
      <c r="J1493" t="s">
        <v>1566</v>
      </c>
      <c r="K1493" t="s">
        <v>1518</v>
      </c>
      <c r="L1493" s="2">
        <v>2</v>
      </c>
      <c r="M1493" s="10">
        <v>63623</v>
      </c>
      <c r="N1493" s="7">
        <v>127246</v>
      </c>
    </row>
    <row r="1494" spans="1:14" x14ac:dyDescent="0.3">
      <c r="A1494">
        <v>1492</v>
      </c>
      <c r="B1494" s="1">
        <v>46150</v>
      </c>
      <c r="C1494">
        <v>2026</v>
      </c>
      <c r="D1494">
        <v>5</v>
      </c>
      <c r="E1494" t="str">
        <f t="shared" si="23"/>
        <v>Mei</v>
      </c>
      <c r="F1494">
        <v>2</v>
      </c>
      <c r="G1494" t="s">
        <v>1515</v>
      </c>
      <c r="H1494" t="s">
        <v>1512</v>
      </c>
      <c r="I1494" t="s">
        <v>1535</v>
      </c>
      <c r="J1494" t="s">
        <v>1517</v>
      </c>
      <c r="K1494" t="s">
        <v>1514</v>
      </c>
      <c r="L1494" s="2">
        <v>1</v>
      </c>
      <c r="M1494" s="10">
        <v>2952</v>
      </c>
      <c r="N1494" s="7">
        <v>2952</v>
      </c>
    </row>
    <row r="1495" spans="1:14" x14ac:dyDescent="0.3">
      <c r="A1495">
        <v>1493</v>
      </c>
      <c r="B1495" s="1">
        <v>46151</v>
      </c>
      <c r="C1495">
        <v>2026</v>
      </c>
      <c r="D1495">
        <v>5</v>
      </c>
      <c r="E1495" t="str">
        <f t="shared" si="23"/>
        <v>Mei</v>
      </c>
      <c r="F1495">
        <v>2</v>
      </c>
      <c r="G1495" t="s">
        <v>1534</v>
      </c>
      <c r="H1495" t="s">
        <v>1530</v>
      </c>
      <c r="I1495" t="s">
        <v>1516</v>
      </c>
      <c r="J1495" t="s">
        <v>1517</v>
      </c>
      <c r="K1495" t="s">
        <v>1514</v>
      </c>
      <c r="L1495" s="2">
        <v>3</v>
      </c>
      <c r="M1495" s="10">
        <v>4415</v>
      </c>
      <c r="N1495" s="7">
        <v>13245</v>
      </c>
    </row>
    <row r="1496" spans="1:14" x14ac:dyDescent="0.3">
      <c r="A1496">
        <v>1494</v>
      </c>
      <c r="B1496" s="1">
        <v>46152</v>
      </c>
      <c r="C1496">
        <v>2026</v>
      </c>
      <c r="D1496">
        <v>5</v>
      </c>
      <c r="E1496" t="str">
        <f t="shared" si="23"/>
        <v>Mei</v>
      </c>
      <c r="F1496">
        <v>2</v>
      </c>
      <c r="G1496" t="s">
        <v>1519</v>
      </c>
      <c r="H1496" t="s">
        <v>1520</v>
      </c>
      <c r="I1496" t="s">
        <v>1531</v>
      </c>
      <c r="J1496" t="s">
        <v>1517</v>
      </c>
      <c r="K1496" t="s">
        <v>1525</v>
      </c>
      <c r="L1496" s="2">
        <v>1</v>
      </c>
      <c r="M1496" s="10">
        <v>12572</v>
      </c>
      <c r="N1496" s="7">
        <v>12572</v>
      </c>
    </row>
    <row r="1497" spans="1:14" x14ac:dyDescent="0.3">
      <c r="A1497">
        <v>1495</v>
      </c>
      <c r="B1497" s="1">
        <v>46153</v>
      </c>
      <c r="C1497">
        <v>2026</v>
      </c>
      <c r="D1497">
        <v>5</v>
      </c>
      <c r="E1497" t="str">
        <f t="shared" si="23"/>
        <v>Mei</v>
      </c>
      <c r="F1497">
        <v>2</v>
      </c>
      <c r="G1497" t="s">
        <v>1522</v>
      </c>
      <c r="H1497" t="s">
        <v>1520</v>
      </c>
      <c r="I1497" t="s">
        <v>1531</v>
      </c>
      <c r="J1497" t="s">
        <v>1524</v>
      </c>
      <c r="K1497" t="s">
        <v>1514</v>
      </c>
      <c r="L1497" s="2">
        <v>5</v>
      </c>
      <c r="M1497" s="10">
        <v>745</v>
      </c>
      <c r="N1497" s="7">
        <v>3725</v>
      </c>
    </row>
    <row r="1498" spans="1:14" x14ac:dyDescent="0.3">
      <c r="A1498">
        <v>1496</v>
      </c>
      <c r="B1498" s="1">
        <v>46154</v>
      </c>
      <c r="C1498">
        <v>2026</v>
      </c>
      <c r="D1498">
        <v>5</v>
      </c>
      <c r="E1498" t="str">
        <f t="shared" si="23"/>
        <v>Mei</v>
      </c>
      <c r="F1498">
        <v>2</v>
      </c>
      <c r="G1498" t="s">
        <v>1523</v>
      </c>
      <c r="H1498" t="s">
        <v>1512</v>
      </c>
      <c r="I1498" t="s">
        <v>1535</v>
      </c>
      <c r="J1498" t="s">
        <v>1566</v>
      </c>
      <c r="K1498" t="s">
        <v>1525</v>
      </c>
      <c r="L1498" s="2">
        <v>1</v>
      </c>
      <c r="M1498" s="10">
        <v>30973</v>
      </c>
      <c r="N1498" s="7">
        <v>30973</v>
      </c>
    </row>
    <row r="1499" spans="1:14" x14ac:dyDescent="0.3">
      <c r="A1499">
        <v>1497</v>
      </c>
      <c r="B1499" s="1">
        <v>46155</v>
      </c>
      <c r="C1499">
        <v>2026</v>
      </c>
      <c r="D1499">
        <v>5</v>
      </c>
      <c r="E1499" t="str">
        <f t="shared" si="23"/>
        <v>Mei</v>
      </c>
      <c r="F1499">
        <v>2</v>
      </c>
      <c r="G1499" t="s">
        <v>1526</v>
      </c>
      <c r="H1499" t="s">
        <v>1527</v>
      </c>
      <c r="I1499" t="s">
        <v>1535</v>
      </c>
      <c r="J1499" t="s">
        <v>1517</v>
      </c>
      <c r="K1499" t="s">
        <v>1518</v>
      </c>
      <c r="L1499" s="2">
        <v>5</v>
      </c>
      <c r="M1499" s="10">
        <v>756</v>
      </c>
      <c r="N1499" s="7">
        <v>3780</v>
      </c>
    </row>
    <row r="1500" spans="1:14" x14ac:dyDescent="0.3">
      <c r="A1500">
        <v>1498</v>
      </c>
      <c r="B1500" s="1">
        <v>46156</v>
      </c>
      <c r="C1500">
        <v>2026</v>
      </c>
      <c r="D1500">
        <v>5</v>
      </c>
      <c r="E1500" t="str">
        <f t="shared" si="23"/>
        <v>Mei</v>
      </c>
      <c r="F1500">
        <v>2</v>
      </c>
      <c r="G1500" t="s">
        <v>1529</v>
      </c>
      <c r="H1500" t="s">
        <v>1530</v>
      </c>
      <c r="I1500" t="s">
        <v>1521</v>
      </c>
      <c r="J1500" t="s">
        <v>1566</v>
      </c>
      <c r="K1500" t="s">
        <v>1514</v>
      </c>
      <c r="L1500" s="2">
        <v>1</v>
      </c>
      <c r="M1500" s="10">
        <v>966</v>
      </c>
      <c r="N1500" s="7">
        <v>966</v>
      </c>
    </row>
    <row r="1501" spans="1:14" x14ac:dyDescent="0.3">
      <c r="A1501">
        <v>1499</v>
      </c>
      <c r="B1501" s="1">
        <v>46157</v>
      </c>
      <c r="C1501">
        <v>2026</v>
      </c>
      <c r="D1501">
        <v>5</v>
      </c>
      <c r="E1501" t="str">
        <f t="shared" si="23"/>
        <v>Mei</v>
      </c>
      <c r="F1501">
        <v>2</v>
      </c>
      <c r="G1501" t="s">
        <v>1532</v>
      </c>
      <c r="H1501" t="s">
        <v>1512</v>
      </c>
      <c r="I1501" t="s">
        <v>1528</v>
      </c>
      <c r="J1501" t="s">
        <v>1566</v>
      </c>
      <c r="K1501" t="s">
        <v>1518</v>
      </c>
      <c r="L1501" s="2">
        <v>1</v>
      </c>
      <c r="M1501" s="10">
        <v>13343</v>
      </c>
      <c r="N1501" s="7">
        <v>13343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C226F-9E90-48CA-ACFC-9058D09BE1BB}">
  <sheetPr codeName="Sheet4"/>
  <dimension ref="A3:Z546"/>
  <sheetViews>
    <sheetView topLeftCell="A22" workbookViewId="0">
      <selection activeCell="B32" sqref="B32"/>
    </sheetView>
  </sheetViews>
  <sheetFormatPr defaultRowHeight="14.4" x14ac:dyDescent="0.3"/>
  <cols>
    <col min="1" max="1" width="17.77734375" customWidth="1"/>
    <col min="2" max="2" width="17.88671875" bestFit="1" customWidth="1"/>
    <col min="3" max="3" width="11.109375" customWidth="1"/>
    <col min="4" max="4" width="12.5546875" bestFit="1" customWidth="1"/>
    <col min="5" max="5" width="17" bestFit="1" customWidth="1"/>
    <col min="6" max="6" width="21.33203125" bestFit="1" customWidth="1"/>
    <col min="7" max="7" width="16.77734375" bestFit="1" customWidth="1"/>
    <col min="8" max="8" width="17" bestFit="1" customWidth="1"/>
    <col min="9" max="9" width="12.88671875" customWidth="1"/>
    <col min="10" max="10" width="13" bestFit="1" customWidth="1"/>
    <col min="11" max="11" width="17" bestFit="1" customWidth="1"/>
    <col min="12" max="12" width="8" bestFit="1" customWidth="1"/>
    <col min="13" max="13" width="15" bestFit="1" customWidth="1"/>
    <col min="14" max="14" width="17" bestFit="1" customWidth="1"/>
    <col min="15" max="15" width="18.109375" bestFit="1" customWidth="1"/>
    <col min="16" max="16" width="13.44140625" customWidth="1"/>
    <col min="17" max="18" width="10.77734375" bestFit="1" customWidth="1"/>
    <col min="19" max="19" width="13" bestFit="1" customWidth="1"/>
    <col min="20" max="20" width="24.44140625" bestFit="1" customWidth="1"/>
    <col min="21" max="1144" width="10.77734375" bestFit="1" customWidth="1"/>
  </cols>
  <sheetData>
    <row r="3" spans="1:26" ht="15.6" x14ac:dyDescent="0.3">
      <c r="D3" s="28" t="s">
        <v>1562</v>
      </c>
      <c r="E3" s="29"/>
    </row>
    <row r="4" spans="1:26" x14ac:dyDescent="0.3">
      <c r="D4" s="16" t="s">
        <v>1499</v>
      </c>
      <c r="E4" s="14" t="s">
        <v>1557</v>
      </c>
    </row>
    <row r="5" spans="1:26" ht="15.6" x14ac:dyDescent="0.3">
      <c r="A5" s="28" t="s">
        <v>1504</v>
      </c>
      <c r="B5" s="29"/>
      <c r="C5" s="14"/>
      <c r="D5" s="14"/>
      <c r="E5" s="14"/>
      <c r="F5" s="14"/>
      <c r="G5" s="33" t="s">
        <v>1575</v>
      </c>
      <c r="H5" s="34"/>
      <c r="I5" s="14"/>
      <c r="J5" s="30" t="s">
        <v>1574</v>
      </c>
      <c r="K5" s="31"/>
      <c r="L5" s="14"/>
      <c r="M5" s="35" t="s">
        <v>1573</v>
      </c>
      <c r="N5" s="36"/>
      <c r="O5" s="36"/>
      <c r="P5" s="36"/>
      <c r="Q5" s="14"/>
      <c r="R5" s="14"/>
      <c r="S5" s="33" t="s">
        <v>1576</v>
      </c>
      <c r="T5" s="34"/>
    </row>
    <row r="6" spans="1:26" x14ac:dyDescent="0.3">
      <c r="A6" s="16" t="s">
        <v>1536</v>
      </c>
      <c r="B6" s="14" t="s">
        <v>1559</v>
      </c>
      <c r="C6" s="14"/>
      <c r="D6" s="16" t="s">
        <v>1536</v>
      </c>
      <c r="E6" s="14" t="s">
        <v>1559</v>
      </c>
      <c r="F6" s="14"/>
      <c r="G6" s="16" t="s">
        <v>1536</v>
      </c>
      <c r="H6" s="14" t="s">
        <v>1538</v>
      </c>
      <c r="I6" s="14"/>
      <c r="J6" s="16" t="s">
        <v>1536</v>
      </c>
      <c r="K6" s="14" t="s">
        <v>1538</v>
      </c>
      <c r="L6" s="14"/>
      <c r="M6" s="16" t="s">
        <v>1536</v>
      </c>
      <c r="N6" s="14" t="s">
        <v>1538</v>
      </c>
      <c r="O6" s="14" t="s">
        <v>1560</v>
      </c>
      <c r="P6" s="17" t="s">
        <v>1561</v>
      </c>
      <c r="Q6" s="14"/>
      <c r="R6" s="14"/>
      <c r="S6" s="16" t="s">
        <v>1536</v>
      </c>
      <c r="T6" s="14" t="s">
        <v>1570</v>
      </c>
      <c r="X6" s="32"/>
      <c r="Y6" s="32"/>
      <c r="Z6" s="32"/>
    </row>
    <row r="7" spans="1:26" x14ac:dyDescent="0.3">
      <c r="A7" s="18" t="s">
        <v>1520</v>
      </c>
      <c r="B7" s="21">
        <v>0.39501882421083118</v>
      </c>
      <c r="C7" s="14"/>
      <c r="D7" s="18" t="s">
        <v>1533</v>
      </c>
      <c r="E7" s="19">
        <v>466</v>
      </c>
      <c r="F7" s="14"/>
      <c r="G7" s="18" t="s">
        <v>1531</v>
      </c>
      <c r="H7" s="20">
        <v>4355340</v>
      </c>
      <c r="I7" s="14"/>
      <c r="J7" s="18" t="s">
        <v>1540</v>
      </c>
      <c r="K7" s="20">
        <v>6514494</v>
      </c>
      <c r="L7" s="14"/>
      <c r="M7" s="18" t="s">
        <v>1511</v>
      </c>
      <c r="N7" s="20">
        <v>12260253</v>
      </c>
      <c r="O7" s="21">
        <v>0.43444136865200267</v>
      </c>
      <c r="P7" s="22">
        <f>80%</f>
        <v>0.8</v>
      </c>
      <c r="Q7" s="21"/>
      <c r="R7" s="14"/>
      <c r="S7" s="18" t="s">
        <v>1517</v>
      </c>
      <c r="T7" s="14">
        <v>533</v>
      </c>
      <c r="V7" s="8"/>
      <c r="X7" s="11"/>
    </row>
    <row r="8" spans="1:26" x14ac:dyDescent="0.3">
      <c r="A8" s="18" t="s">
        <v>1512</v>
      </c>
      <c r="B8" s="21">
        <v>0.28381117868520128</v>
      </c>
      <c r="C8" s="14"/>
      <c r="D8" s="18" t="s">
        <v>1519</v>
      </c>
      <c r="E8" s="19">
        <v>468</v>
      </c>
      <c r="F8" s="14"/>
      <c r="G8" s="18" t="s">
        <v>1513</v>
      </c>
      <c r="H8" s="20">
        <v>3646667</v>
      </c>
      <c r="I8" s="14"/>
      <c r="J8" s="23" t="s">
        <v>1545</v>
      </c>
      <c r="K8" s="20">
        <v>538132</v>
      </c>
      <c r="L8" s="14"/>
      <c r="M8" s="18" t="s">
        <v>1523</v>
      </c>
      <c r="N8" s="20">
        <v>5652265</v>
      </c>
      <c r="O8" s="21">
        <v>0.20028768921683851</v>
      </c>
      <c r="P8" s="22">
        <f>80%</f>
        <v>0.8</v>
      </c>
      <c r="Q8" s="21"/>
      <c r="R8" s="14"/>
      <c r="S8" s="18" t="s">
        <v>1566</v>
      </c>
      <c r="T8" s="14">
        <v>528</v>
      </c>
      <c r="V8" s="8"/>
      <c r="X8" s="11"/>
    </row>
    <row r="9" spans="1:26" x14ac:dyDescent="0.3">
      <c r="A9" s="18" t="s">
        <v>1530</v>
      </c>
      <c r="B9" s="21">
        <v>0.20388068346365479</v>
      </c>
      <c r="C9" s="14"/>
      <c r="D9" s="18" t="s">
        <v>1523</v>
      </c>
      <c r="E9" s="19">
        <v>228</v>
      </c>
      <c r="F9" s="14"/>
      <c r="G9" s="18" t="s">
        <v>1516</v>
      </c>
      <c r="H9" s="20">
        <v>3515945</v>
      </c>
      <c r="I9" s="14"/>
      <c r="J9" s="23" t="s">
        <v>1546</v>
      </c>
      <c r="K9" s="20">
        <v>781753</v>
      </c>
      <c r="L9" s="14"/>
      <c r="M9" s="18" t="s">
        <v>1519</v>
      </c>
      <c r="N9" s="20">
        <v>5038675</v>
      </c>
      <c r="O9" s="21">
        <v>0.17854516241978283</v>
      </c>
      <c r="P9" s="22">
        <f>80%</f>
        <v>0.8</v>
      </c>
      <c r="Q9" s="21"/>
      <c r="R9" s="14"/>
      <c r="S9" s="18" t="s">
        <v>1524</v>
      </c>
      <c r="T9" s="14">
        <v>439</v>
      </c>
      <c r="V9" s="8"/>
      <c r="X9" s="11"/>
    </row>
    <row r="10" spans="1:26" x14ac:dyDescent="0.3">
      <c r="A10" s="18" t="s">
        <v>1527</v>
      </c>
      <c r="B10" s="21">
        <v>0.11728931364031277</v>
      </c>
      <c r="C10" s="14"/>
      <c r="D10" s="18" t="s">
        <v>1532</v>
      </c>
      <c r="E10" s="19">
        <v>238</v>
      </c>
      <c r="F10" s="14"/>
      <c r="G10" s="18" t="s">
        <v>1528</v>
      </c>
      <c r="H10" s="20">
        <v>5275774</v>
      </c>
      <c r="I10" s="14"/>
      <c r="J10" s="23" t="s">
        <v>1547</v>
      </c>
      <c r="K10" s="20">
        <v>628748</v>
      </c>
      <c r="L10" s="14"/>
      <c r="M10" s="18" t="s">
        <v>1532</v>
      </c>
      <c r="N10" s="20">
        <v>2263254</v>
      </c>
      <c r="O10" s="21">
        <v>8.0198276933365051E-2</v>
      </c>
      <c r="P10" s="22">
        <f>80%</f>
        <v>0.8</v>
      </c>
      <c r="Q10" s="21"/>
      <c r="R10" s="14"/>
      <c r="S10" s="18" t="s">
        <v>1537</v>
      </c>
      <c r="T10" s="14">
        <v>1500</v>
      </c>
    </row>
    <row r="11" spans="1:26" x14ac:dyDescent="0.3">
      <c r="A11" s="18" t="s">
        <v>1537</v>
      </c>
      <c r="B11" s="21">
        <v>1</v>
      </c>
      <c r="C11" s="14"/>
      <c r="D11" s="18" t="s">
        <v>1534</v>
      </c>
      <c r="E11" s="19">
        <v>293</v>
      </c>
      <c r="F11" s="14"/>
      <c r="G11" s="18" t="s">
        <v>1535</v>
      </c>
      <c r="H11" s="20">
        <v>3929282</v>
      </c>
      <c r="I11" s="14"/>
      <c r="J11" s="23" t="s">
        <v>1548</v>
      </c>
      <c r="K11" s="20">
        <v>609040</v>
      </c>
      <c r="L11" s="14"/>
      <c r="M11" s="18" t="s">
        <v>1515</v>
      </c>
      <c r="N11" s="20">
        <v>972034</v>
      </c>
      <c r="O11" s="21">
        <v>3.4443969576833426E-2</v>
      </c>
      <c r="P11" s="22">
        <f>80%</f>
        <v>0.8</v>
      </c>
      <c r="Q11" s="21"/>
      <c r="R11" s="14"/>
      <c r="S11" s="14"/>
      <c r="T11" s="14"/>
    </row>
    <row r="12" spans="1:26" x14ac:dyDescent="0.3">
      <c r="A12" s="14"/>
      <c r="B12" s="14"/>
      <c r="C12" s="14"/>
      <c r="D12" s="18" t="s">
        <v>1522</v>
      </c>
      <c r="E12" s="19">
        <v>430</v>
      </c>
      <c r="F12" s="14"/>
      <c r="G12" s="18" t="s">
        <v>1521</v>
      </c>
      <c r="H12" s="20">
        <v>7497723</v>
      </c>
      <c r="I12" s="14"/>
      <c r="J12" s="23" t="s">
        <v>1549</v>
      </c>
      <c r="K12" s="20">
        <v>393410</v>
      </c>
      <c r="L12" s="14"/>
      <c r="M12" s="18" t="s">
        <v>1534</v>
      </c>
      <c r="N12" s="20">
        <v>889654</v>
      </c>
      <c r="O12" s="21">
        <v>3.1524838956156029E-2</v>
      </c>
      <c r="P12" s="22">
        <f>80%</f>
        <v>0.8</v>
      </c>
      <c r="Q12" s="21"/>
      <c r="R12" s="14"/>
      <c r="S12" s="14"/>
      <c r="T12" s="14"/>
    </row>
    <row r="13" spans="1:26" ht="15.6" x14ac:dyDescent="0.3">
      <c r="A13" s="16" t="s">
        <v>1536</v>
      </c>
      <c r="B13" s="14" t="s">
        <v>1559</v>
      </c>
      <c r="C13" s="14"/>
      <c r="D13" s="18" t="s">
        <v>1511</v>
      </c>
      <c r="E13" s="19">
        <v>215</v>
      </c>
      <c r="F13" s="14"/>
      <c r="G13" s="18" t="s">
        <v>1537</v>
      </c>
      <c r="H13" s="20">
        <v>28220731</v>
      </c>
      <c r="I13" s="14"/>
      <c r="J13" s="23" t="s">
        <v>1550</v>
      </c>
      <c r="K13" s="20">
        <v>659667</v>
      </c>
      <c r="L13" s="14"/>
      <c r="M13" s="18" t="s">
        <v>1529</v>
      </c>
      <c r="N13" s="20">
        <v>479899</v>
      </c>
      <c r="O13" s="21">
        <v>1.7005193805929408E-2</v>
      </c>
      <c r="P13" s="22">
        <f>80%</f>
        <v>0.8</v>
      </c>
      <c r="Q13" s="21"/>
      <c r="R13" s="14"/>
      <c r="S13" s="33" t="s">
        <v>1572</v>
      </c>
      <c r="T13" s="34"/>
    </row>
    <row r="14" spans="1:26" x14ac:dyDescent="0.3">
      <c r="A14" s="18" t="s">
        <v>1519</v>
      </c>
      <c r="B14" s="19">
        <v>468</v>
      </c>
      <c r="C14" s="14"/>
      <c r="D14" s="18" t="s">
        <v>1515</v>
      </c>
      <c r="E14" s="19">
        <v>299</v>
      </c>
      <c r="F14" s="14"/>
      <c r="G14" s="14"/>
      <c r="H14" s="14"/>
      <c r="I14" s="14"/>
      <c r="J14" s="23" t="s">
        <v>1551</v>
      </c>
      <c r="K14" s="20">
        <v>368241</v>
      </c>
      <c r="L14" s="14"/>
      <c r="M14" s="18" t="s">
        <v>1526</v>
      </c>
      <c r="N14" s="20">
        <v>235903</v>
      </c>
      <c r="O14" s="21">
        <v>8.3592094053127116E-3</v>
      </c>
      <c r="P14" s="22">
        <f>80%</f>
        <v>0.8</v>
      </c>
      <c r="Q14" s="21"/>
      <c r="R14" s="14"/>
      <c r="S14" s="16" t="s">
        <v>1536</v>
      </c>
      <c r="T14" s="14" t="s">
        <v>1571</v>
      </c>
    </row>
    <row r="15" spans="1:26" x14ac:dyDescent="0.3">
      <c r="A15" s="18" t="s">
        <v>1533</v>
      </c>
      <c r="B15" s="19">
        <v>466</v>
      </c>
      <c r="C15" s="14"/>
      <c r="D15" s="18" t="s">
        <v>1526</v>
      </c>
      <c r="E15" s="19">
        <v>405</v>
      </c>
      <c r="F15" s="14"/>
      <c r="G15" s="14"/>
      <c r="H15" s="14"/>
      <c r="I15" s="14"/>
      <c r="J15" s="23" t="s">
        <v>1552</v>
      </c>
      <c r="K15" s="20">
        <v>558552</v>
      </c>
      <c r="L15" s="14"/>
      <c r="M15" s="18" t="s">
        <v>1522</v>
      </c>
      <c r="N15" s="20">
        <v>228810</v>
      </c>
      <c r="O15" s="21">
        <v>8.1078693532070454E-3</v>
      </c>
      <c r="P15" s="22">
        <f>80%</f>
        <v>0.8</v>
      </c>
      <c r="Q15" s="21"/>
      <c r="R15" s="14"/>
      <c r="S15" s="18" t="s">
        <v>1514</v>
      </c>
      <c r="T15" s="14">
        <v>451</v>
      </c>
    </row>
    <row r="16" spans="1:26" x14ac:dyDescent="0.3">
      <c r="A16" s="18" t="s">
        <v>1522</v>
      </c>
      <c r="B16" s="19">
        <v>430</v>
      </c>
      <c r="C16" s="14"/>
      <c r="D16" s="18" t="s">
        <v>1529</v>
      </c>
      <c r="E16" s="19">
        <v>411</v>
      </c>
      <c r="F16" s="14"/>
      <c r="G16" s="14"/>
      <c r="H16" s="14"/>
      <c r="I16" s="14"/>
      <c r="J16" s="23" t="s">
        <v>1553</v>
      </c>
      <c r="K16" s="20">
        <v>375353</v>
      </c>
      <c r="L16" s="14"/>
      <c r="M16" s="18" t="s">
        <v>1533</v>
      </c>
      <c r="N16" s="20">
        <v>199984</v>
      </c>
      <c r="O16" s="21">
        <v>7.0864216805723423E-3</v>
      </c>
      <c r="P16" s="22">
        <f>80%</f>
        <v>0.8</v>
      </c>
      <c r="Q16" s="21"/>
      <c r="R16" s="14"/>
      <c r="S16" s="18" t="s">
        <v>1525</v>
      </c>
      <c r="T16" s="14">
        <v>515</v>
      </c>
    </row>
    <row r="17" spans="1:20" x14ac:dyDescent="0.3">
      <c r="A17" s="18" t="s">
        <v>1529</v>
      </c>
      <c r="B17" s="19">
        <v>411</v>
      </c>
      <c r="C17" s="14"/>
      <c r="D17" s="18" t="s">
        <v>1537</v>
      </c>
      <c r="E17" s="19">
        <v>3453</v>
      </c>
      <c r="F17" s="14"/>
      <c r="G17" s="14"/>
      <c r="H17" s="14"/>
      <c r="I17" s="14"/>
      <c r="J17" s="23" t="s">
        <v>1554</v>
      </c>
      <c r="K17" s="20">
        <v>650380</v>
      </c>
      <c r="L17" s="14"/>
      <c r="M17" s="18" t="s">
        <v>1537</v>
      </c>
      <c r="N17" s="20">
        <v>28220731</v>
      </c>
      <c r="O17" s="21">
        <v>1</v>
      </c>
      <c r="P17" s="14"/>
      <c r="Q17" s="21"/>
      <c r="R17" s="14"/>
      <c r="S17" s="18" t="s">
        <v>1518</v>
      </c>
      <c r="T17" s="14">
        <v>534</v>
      </c>
    </row>
    <row r="18" spans="1:20" x14ac:dyDescent="0.3">
      <c r="A18" s="18" t="s">
        <v>1526</v>
      </c>
      <c r="B18" s="19">
        <v>405</v>
      </c>
      <c r="C18" s="14"/>
      <c r="D18" s="14"/>
      <c r="E18" s="14"/>
      <c r="F18" s="14"/>
      <c r="G18" s="14"/>
      <c r="H18" s="14"/>
      <c r="I18" s="14"/>
      <c r="J18" s="23" t="s">
        <v>1555</v>
      </c>
      <c r="K18" s="20">
        <v>488987</v>
      </c>
      <c r="L18" s="14"/>
      <c r="M18" s="14"/>
      <c r="N18" s="14"/>
      <c r="O18" s="14"/>
      <c r="P18" s="14"/>
      <c r="Q18" s="14"/>
      <c r="R18" s="14"/>
      <c r="S18" s="18" t="s">
        <v>1537</v>
      </c>
      <c r="T18" s="14">
        <v>1500</v>
      </c>
    </row>
    <row r="19" spans="1:20" ht="15.6" x14ac:dyDescent="0.3">
      <c r="A19" s="18" t="s">
        <v>1515</v>
      </c>
      <c r="B19" s="19">
        <v>299</v>
      </c>
      <c r="C19" s="14"/>
      <c r="D19" s="14"/>
      <c r="E19" s="14"/>
      <c r="F19" s="14"/>
      <c r="G19" s="14"/>
      <c r="H19" s="14"/>
      <c r="I19" s="14"/>
      <c r="J19" s="23" t="s">
        <v>1556</v>
      </c>
      <c r="K19" s="20">
        <v>462231</v>
      </c>
      <c r="L19" s="14"/>
      <c r="M19" s="13" t="s">
        <v>1562</v>
      </c>
      <c r="N19" s="12" t="s">
        <v>1563</v>
      </c>
      <c r="O19" s="12" t="s">
        <v>1564</v>
      </c>
      <c r="P19" s="12" t="s">
        <v>1565</v>
      </c>
      <c r="Q19" s="12" t="s">
        <v>1561</v>
      </c>
      <c r="R19" s="14"/>
    </row>
    <row r="20" spans="1:20" x14ac:dyDescent="0.3">
      <c r="A20" s="18" t="s">
        <v>1534</v>
      </c>
      <c r="B20" s="19">
        <v>293</v>
      </c>
      <c r="C20" s="14"/>
      <c r="D20" s="16" t="s">
        <v>1536</v>
      </c>
      <c r="E20" s="14" t="s">
        <v>1538</v>
      </c>
      <c r="F20" s="14" t="s">
        <v>1558</v>
      </c>
      <c r="G20" s="14" t="s">
        <v>1559</v>
      </c>
      <c r="H20" s="14"/>
      <c r="I20" s="14"/>
      <c r="J20" s="18" t="s">
        <v>1541</v>
      </c>
      <c r="K20" s="20">
        <v>7746588</v>
      </c>
      <c r="L20" s="14"/>
      <c r="M20" s="18" t="s">
        <v>1511</v>
      </c>
      <c r="N20" s="20">
        <v>12260253</v>
      </c>
      <c r="O20" s="21">
        <v>0.43444136865200267</v>
      </c>
      <c r="P20" s="21">
        <f>O20</f>
        <v>0.43444136865200267</v>
      </c>
      <c r="Q20" s="22">
        <f>80%</f>
        <v>0.8</v>
      </c>
      <c r="R20" s="14"/>
    </row>
    <row r="21" spans="1:20" x14ac:dyDescent="0.3">
      <c r="A21" s="18" t="s">
        <v>1532</v>
      </c>
      <c r="B21" s="19">
        <v>238</v>
      </c>
      <c r="C21" s="14"/>
      <c r="D21" s="18" t="s">
        <v>1517</v>
      </c>
      <c r="E21" s="20">
        <v>10578194</v>
      </c>
      <c r="F21" s="20">
        <v>19846.517823639773</v>
      </c>
      <c r="G21" s="19">
        <v>1285</v>
      </c>
      <c r="H21" s="14"/>
      <c r="I21" s="14"/>
      <c r="J21" s="23" t="s">
        <v>1545</v>
      </c>
      <c r="K21" s="20">
        <v>550483</v>
      </c>
      <c r="L21" s="14"/>
      <c r="M21" s="18" t="s">
        <v>1523</v>
      </c>
      <c r="N21" s="20">
        <v>5652265</v>
      </c>
      <c r="O21" s="21">
        <v>0.20028768921683851</v>
      </c>
      <c r="P21" s="21">
        <f>P20+O21</f>
        <v>0.63472905786884115</v>
      </c>
      <c r="Q21" s="22">
        <f>80%</f>
        <v>0.8</v>
      </c>
      <c r="R21" s="21"/>
    </row>
    <row r="22" spans="1:20" x14ac:dyDescent="0.3">
      <c r="A22" s="18" t="s">
        <v>1523</v>
      </c>
      <c r="B22" s="19">
        <v>228</v>
      </c>
      <c r="C22" s="14"/>
      <c r="D22" s="18" t="s">
        <v>1524</v>
      </c>
      <c r="E22" s="20">
        <v>7910259</v>
      </c>
      <c r="F22" s="20">
        <v>18018.813211845103</v>
      </c>
      <c r="G22" s="19">
        <v>1022</v>
      </c>
      <c r="H22" s="14"/>
      <c r="I22" s="14"/>
      <c r="J22" s="23" t="s">
        <v>1546</v>
      </c>
      <c r="K22" s="20">
        <v>579992</v>
      </c>
      <c r="L22" s="14"/>
      <c r="M22" s="18" t="s">
        <v>1519</v>
      </c>
      <c r="N22" s="20">
        <v>5038675</v>
      </c>
      <c r="O22" s="21">
        <v>0.17854516241978283</v>
      </c>
      <c r="P22" s="21">
        <f>P21+O22</f>
        <v>0.81327422028862395</v>
      </c>
      <c r="Q22" s="22">
        <f>80%</f>
        <v>0.8</v>
      </c>
      <c r="R22" s="14"/>
    </row>
    <row r="23" spans="1:20" x14ac:dyDescent="0.3">
      <c r="A23" s="18" t="s">
        <v>1511</v>
      </c>
      <c r="B23" s="19">
        <v>215</v>
      </c>
      <c r="C23" s="14"/>
      <c r="D23" s="18" t="s">
        <v>1566</v>
      </c>
      <c r="E23" s="20">
        <v>9732278</v>
      </c>
      <c r="F23" s="20">
        <v>18432.344696969696</v>
      </c>
      <c r="G23" s="19">
        <v>1146</v>
      </c>
      <c r="H23" s="14"/>
      <c r="I23" s="14"/>
      <c r="J23" s="23" t="s">
        <v>1547</v>
      </c>
      <c r="K23" s="20">
        <v>573290</v>
      </c>
      <c r="L23" s="14"/>
      <c r="M23" s="18" t="s">
        <v>1532</v>
      </c>
      <c r="N23" s="20">
        <v>2263254</v>
      </c>
      <c r="O23" s="21">
        <v>8.0198276933365051E-2</v>
      </c>
      <c r="P23" s="21">
        <f>P22+O23</f>
        <v>0.89347249722198896</v>
      </c>
      <c r="Q23" s="22">
        <f>80%</f>
        <v>0.8</v>
      </c>
      <c r="R23" s="14"/>
    </row>
    <row r="24" spans="1:20" x14ac:dyDescent="0.3">
      <c r="A24" s="18" t="s">
        <v>1537</v>
      </c>
      <c r="B24" s="19">
        <v>3453</v>
      </c>
      <c r="C24" s="14"/>
      <c r="D24" s="18" t="s">
        <v>1537</v>
      </c>
      <c r="E24" s="20">
        <v>28220731</v>
      </c>
      <c r="F24" s="20">
        <v>18813.820666666667</v>
      </c>
      <c r="G24" s="19">
        <v>3453</v>
      </c>
      <c r="H24" s="14"/>
      <c r="I24" s="14"/>
      <c r="J24" s="23" t="s">
        <v>1548</v>
      </c>
      <c r="K24" s="20">
        <v>484575</v>
      </c>
      <c r="L24" s="14"/>
      <c r="M24" s="18" t="s">
        <v>1515</v>
      </c>
      <c r="N24" s="20">
        <v>972034</v>
      </c>
      <c r="O24" s="21">
        <v>3.4443969576833426E-2</v>
      </c>
      <c r="P24" s="21">
        <f t="shared" ref="P24:P29" si="0">P23+O24</f>
        <v>0.92791646679882234</v>
      </c>
      <c r="Q24" s="22">
        <f>80%</f>
        <v>0.8</v>
      </c>
      <c r="R24" s="14"/>
    </row>
    <row r="25" spans="1:20" x14ac:dyDescent="0.3">
      <c r="A25" s="14"/>
      <c r="B25" s="14"/>
      <c r="C25" s="14"/>
      <c r="D25" s="14"/>
      <c r="E25" s="14"/>
      <c r="F25" s="14"/>
      <c r="G25" s="14"/>
      <c r="H25" s="14"/>
      <c r="I25" s="14"/>
      <c r="J25" s="23" t="s">
        <v>1549</v>
      </c>
      <c r="K25" s="20">
        <v>743844</v>
      </c>
      <c r="L25" s="14"/>
      <c r="M25" s="18" t="s">
        <v>1534</v>
      </c>
      <c r="N25" s="20">
        <v>889654</v>
      </c>
      <c r="O25" s="21">
        <v>3.1524838956156029E-2</v>
      </c>
      <c r="P25" s="21">
        <f>P24+O25</f>
        <v>0.95944130575497832</v>
      </c>
      <c r="Q25" s="22">
        <f>80%</f>
        <v>0.8</v>
      </c>
      <c r="R25" s="14"/>
    </row>
    <row r="26" spans="1:20" x14ac:dyDescent="0.3">
      <c r="A26" s="14"/>
      <c r="B26" s="14"/>
      <c r="C26" s="14"/>
      <c r="D26" s="14"/>
      <c r="E26" s="14"/>
      <c r="F26" s="14"/>
      <c r="G26" s="14"/>
      <c r="H26" s="14"/>
      <c r="I26" s="14"/>
      <c r="J26" s="23" t="s">
        <v>1550</v>
      </c>
      <c r="K26" s="20">
        <v>683989</v>
      </c>
      <c r="L26" s="14"/>
      <c r="M26" s="18" t="s">
        <v>1529</v>
      </c>
      <c r="N26" s="20">
        <v>479899</v>
      </c>
      <c r="O26" s="21">
        <v>1.7005193805929408E-2</v>
      </c>
      <c r="P26" s="21">
        <f t="shared" si="0"/>
        <v>0.97644649956090768</v>
      </c>
      <c r="Q26" s="22">
        <f>80%</f>
        <v>0.8</v>
      </c>
      <c r="R26" s="14"/>
    </row>
    <row r="27" spans="1:20" x14ac:dyDescent="0.3">
      <c r="A27" s="14"/>
      <c r="B27" s="14"/>
      <c r="C27" s="14"/>
      <c r="D27" s="14"/>
      <c r="E27" s="14"/>
      <c r="F27" s="14"/>
      <c r="G27" s="14"/>
      <c r="H27" s="14"/>
      <c r="I27" s="14"/>
      <c r="J27" s="23" t="s">
        <v>1551</v>
      </c>
      <c r="K27" s="20">
        <v>644366</v>
      </c>
      <c r="L27" s="14"/>
      <c r="M27" s="18" t="s">
        <v>1526</v>
      </c>
      <c r="N27" s="20">
        <v>235903</v>
      </c>
      <c r="O27" s="21">
        <v>8.3592094053127116E-3</v>
      </c>
      <c r="P27" s="21">
        <f t="shared" si="0"/>
        <v>0.98480570896622044</v>
      </c>
      <c r="Q27" s="22">
        <f>80%</f>
        <v>0.8</v>
      </c>
      <c r="R27" s="14"/>
    </row>
    <row r="28" spans="1:20" x14ac:dyDescent="0.3">
      <c r="A28" s="14"/>
      <c r="B28" s="14"/>
      <c r="C28" s="14"/>
      <c r="D28" s="14"/>
      <c r="E28" s="14"/>
      <c r="F28" s="14"/>
      <c r="G28" s="14"/>
      <c r="H28" s="14"/>
      <c r="I28" s="14"/>
      <c r="J28" s="23" t="s">
        <v>1552</v>
      </c>
      <c r="K28" s="20">
        <v>662928</v>
      </c>
      <c r="L28" s="14"/>
      <c r="M28" s="18" t="s">
        <v>1522</v>
      </c>
      <c r="N28" s="20">
        <v>228810</v>
      </c>
      <c r="O28" s="21">
        <v>8.1078693532070454E-3</v>
      </c>
      <c r="P28" s="21">
        <f t="shared" si="0"/>
        <v>0.9929135783194275</v>
      </c>
      <c r="Q28" s="22">
        <f>80%</f>
        <v>0.8</v>
      </c>
      <c r="R28" s="14"/>
    </row>
    <row r="29" spans="1:20" x14ac:dyDescent="0.3">
      <c r="A29" s="14" t="s">
        <v>1559</v>
      </c>
      <c r="B29" t="s">
        <v>1538</v>
      </c>
      <c r="C29" s="14"/>
      <c r="D29" s="14"/>
      <c r="E29" s="14"/>
      <c r="F29" s="14"/>
      <c r="G29" s="14"/>
      <c r="H29" s="14"/>
      <c r="I29" s="14"/>
      <c r="J29" s="23" t="s">
        <v>1553</v>
      </c>
      <c r="K29" s="20">
        <v>655172</v>
      </c>
      <c r="L29" s="14"/>
      <c r="M29" s="18" t="s">
        <v>1533</v>
      </c>
      <c r="N29" s="20">
        <v>199984</v>
      </c>
      <c r="O29" s="21">
        <v>7.0864216805723423E-3</v>
      </c>
      <c r="P29" s="21">
        <f t="shared" si="0"/>
        <v>0.99999999999999989</v>
      </c>
      <c r="Q29" s="22">
        <f>80%</f>
        <v>0.8</v>
      </c>
      <c r="R29" s="14"/>
    </row>
    <row r="30" spans="1:20" x14ac:dyDescent="0.3">
      <c r="A30" s="19">
        <v>3453</v>
      </c>
      <c r="B30" s="7">
        <v>28220731</v>
      </c>
      <c r="C30" s="14"/>
      <c r="D30" s="14"/>
      <c r="E30" s="14"/>
      <c r="F30" s="14"/>
      <c r="G30" s="14"/>
      <c r="H30" s="14"/>
      <c r="I30" s="14"/>
      <c r="J30" s="23" t="s">
        <v>1554</v>
      </c>
      <c r="K30" s="20">
        <v>526581</v>
      </c>
      <c r="L30" s="14"/>
      <c r="M30" s="24" t="s">
        <v>1537</v>
      </c>
      <c r="N30" s="25">
        <v>28220731</v>
      </c>
      <c r="O30" s="26">
        <v>1</v>
      </c>
      <c r="P30" s="14"/>
      <c r="Q30" s="14"/>
      <c r="R30" s="14"/>
    </row>
    <row r="31" spans="1:20" x14ac:dyDescent="0.3">
      <c r="A31" s="27" t="s">
        <v>1569</v>
      </c>
      <c r="B31" s="27" t="s">
        <v>1563</v>
      </c>
      <c r="C31" s="14"/>
      <c r="D31" s="14"/>
      <c r="E31" s="14"/>
      <c r="F31" s="14"/>
      <c r="G31" s="14"/>
      <c r="H31" s="14"/>
      <c r="I31" s="14"/>
      <c r="J31" s="23" t="s">
        <v>1555</v>
      </c>
      <c r="K31" s="20">
        <v>784406</v>
      </c>
      <c r="L31" s="14"/>
      <c r="M31" s="14"/>
      <c r="N31" s="14"/>
      <c r="O31" s="14"/>
      <c r="P31" s="14"/>
      <c r="Q31" s="14"/>
      <c r="R31" s="14"/>
    </row>
    <row r="32" spans="1:20" ht="15.6" x14ac:dyDescent="0.3">
      <c r="A32" s="14">
        <f>GETPIVOTDATA("Quantity",$A$29)</f>
        <v>3453</v>
      </c>
      <c r="B32" s="39">
        <f>GETPIVOTDATA("Total_Sales",$B$29)</f>
        <v>28220731</v>
      </c>
      <c r="C32" s="14"/>
      <c r="D32" s="14"/>
      <c r="E32" s="14"/>
      <c r="F32" s="14"/>
      <c r="G32" s="14"/>
      <c r="H32" s="14"/>
      <c r="I32" s="14"/>
      <c r="J32" s="23" t="s">
        <v>1556</v>
      </c>
      <c r="K32" s="20">
        <v>856962</v>
      </c>
      <c r="L32" s="14"/>
      <c r="M32" s="13" t="s">
        <v>1562</v>
      </c>
      <c r="N32" s="12" t="s">
        <v>1563</v>
      </c>
      <c r="O32" s="12" t="s">
        <v>1565</v>
      </c>
      <c r="P32" s="12" t="s">
        <v>1561</v>
      </c>
      <c r="Q32" s="14"/>
      <c r="R32" s="14"/>
    </row>
    <row r="33" spans="1:18" x14ac:dyDescent="0.3">
      <c r="A33" s="14"/>
      <c r="B33" s="14"/>
      <c r="C33" s="14"/>
      <c r="D33" s="14"/>
      <c r="E33" s="14"/>
      <c r="F33" s="14"/>
      <c r="G33" s="14"/>
      <c r="H33" s="14"/>
      <c r="I33" s="14"/>
      <c r="J33" s="18" t="s">
        <v>1542</v>
      </c>
      <c r="K33" s="20">
        <v>4514525</v>
      </c>
      <c r="L33" s="14"/>
      <c r="M33" s="18" t="s">
        <v>1511</v>
      </c>
      <c r="N33" s="20">
        <v>12260253</v>
      </c>
      <c r="O33" s="21">
        <f>O20</f>
        <v>0.43444136865200267</v>
      </c>
      <c r="P33" s="22">
        <f>80%</f>
        <v>0.8</v>
      </c>
      <c r="Q33" s="14"/>
      <c r="R33" s="14"/>
    </row>
    <row r="34" spans="1:18" x14ac:dyDescent="0.3">
      <c r="A34" s="38"/>
      <c r="B34" s="14"/>
      <c r="C34" s="14"/>
      <c r="D34" s="14"/>
      <c r="E34" s="14"/>
      <c r="F34" s="14"/>
      <c r="G34" s="14"/>
      <c r="H34" s="14"/>
      <c r="I34" s="14"/>
      <c r="J34" s="23" t="s">
        <v>1545</v>
      </c>
      <c r="K34" s="20">
        <v>328773</v>
      </c>
      <c r="L34" s="14"/>
      <c r="M34" s="18" t="s">
        <v>1523</v>
      </c>
      <c r="N34" s="20">
        <v>5652265</v>
      </c>
      <c r="O34" s="21">
        <f>O33+O21</f>
        <v>0.63472905786884115</v>
      </c>
      <c r="P34" s="22">
        <f>80%</f>
        <v>0.8</v>
      </c>
      <c r="Q34" s="14"/>
      <c r="R34" s="14"/>
    </row>
    <row r="35" spans="1:18" x14ac:dyDescent="0.3">
      <c r="B35" s="14"/>
      <c r="C35" s="14"/>
      <c r="D35" s="14"/>
      <c r="E35" s="14"/>
      <c r="F35" s="14"/>
      <c r="G35" s="14"/>
      <c r="H35" s="14"/>
      <c r="I35" s="14"/>
      <c r="J35" s="23" t="s">
        <v>1546</v>
      </c>
      <c r="K35" s="20">
        <v>173758</v>
      </c>
      <c r="L35" s="14"/>
      <c r="M35" s="18" t="s">
        <v>1519</v>
      </c>
      <c r="N35" s="20">
        <v>5038675</v>
      </c>
      <c r="O35" s="21">
        <f t="shared" ref="O35:O42" si="1">O34+O22</f>
        <v>0.81327422028862395</v>
      </c>
      <c r="P35" s="22">
        <f>80%</f>
        <v>0.8</v>
      </c>
      <c r="Q35" s="14"/>
      <c r="R35" s="14"/>
    </row>
    <row r="36" spans="1:18" x14ac:dyDescent="0.3">
      <c r="B36" s="14"/>
      <c r="C36" s="14"/>
      <c r="D36" s="14"/>
      <c r="E36" s="14"/>
      <c r="F36" s="14"/>
      <c r="G36" s="14"/>
      <c r="H36" s="14"/>
      <c r="I36" s="14"/>
      <c r="J36" s="23" t="s">
        <v>1547</v>
      </c>
      <c r="K36" s="20">
        <v>141127</v>
      </c>
      <c r="L36" s="14"/>
      <c r="M36" s="18" t="s">
        <v>1532</v>
      </c>
      <c r="N36" s="20">
        <v>2263254</v>
      </c>
      <c r="O36" s="21">
        <f t="shared" si="1"/>
        <v>0.89347249722198896</v>
      </c>
      <c r="P36" s="22">
        <f>80%</f>
        <v>0.8</v>
      </c>
      <c r="Q36" s="14"/>
      <c r="R36" s="14"/>
    </row>
    <row r="37" spans="1:18" x14ac:dyDescent="0.3">
      <c r="A37" s="20"/>
      <c r="B37" s="14"/>
      <c r="C37" s="14"/>
      <c r="D37" s="14"/>
      <c r="E37" s="14"/>
      <c r="F37" s="14"/>
      <c r="G37" s="14"/>
      <c r="H37" s="14"/>
      <c r="I37" s="14"/>
      <c r="J37" s="23" t="s">
        <v>1548</v>
      </c>
      <c r="K37" s="20">
        <v>412717</v>
      </c>
      <c r="L37" s="14"/>
      <c r="M37" s="18" t="s">
        <v>1515</v>
      </c>
      <c r="N37" s="20">
        <v>972034</v>
      </c>
      <c r="O37" s="21">
        <f t="shared" si="1"/>
        <v>0.92791646679882234</v>
      </c>
      <c r="P37" s="22">
        <f>80%</f>
        <v>0.8</v>
      </c>
      <c r="Q37" s="14"/>
      <c r="R37" s="14"/>
    </row>
    <row r="38" spans="1:18" x14ac:dyDescent="0.3">
      <c r="A38" s="14"/>
      <c r="B38" s="14"/>
      <c r="C38" s="14"/>
      <c r="D38" s="14"/>
      <c r="E38" s="14"/>
      <c r="F38" s="14"/>
      <c r="G38" s="14"/>
      <c r="H38" s="14"/>
      <c r="I38" s="14"/>
      <c r="J38" s="23" t="s">
        <v>1549</v>
      </c>
      <c r="K38" s="20">
        <v>617771</v>
      </c>
      <c r="L38" s="14"/>
      <c r="M38" s="18" t="s">
        <v>1534</v>
      </c>
      <c r="N38" s="20">
        <v>889654</v>
      </c>
      <c r="O38" s="21">
        <f t="shared" si="1"/>
        <v>0.95944130575497832</v>
      </c>
      <c r="P38" s="22">
        <f>80%</f>
        <v>0.8</v>
      </c>
      <c r="Q38" s="14"/>
      <c r="R38" s="14"/>
    </row>
    <row r="39" spans="1:18" x14ac:dyDescent="0.3">
      <c r="A39" s="14" t="s">
        <v>1567</v>
      </c>
      <c r="B39" s="14"/>
      <c r="C39" s="14"/>
      <c r="D39" s="14"/>
      <c r="E39" s="14"/>
      <c r="F39" s="14"/>
      <c r="G39" s="14"/>
      <c r="H39" s="14"/>
      <c r="I39" s="14"/>
      <c r="J39" s="23" t="s">
        <v>1550</v>
      </c>
      <c r="K39" s="20">
        <v>480827</v>
      </c>
      <c r="L39" s="14"/>
      <c r="M39" s="18" t="s">
        <v>1529</v>
      </c>
      <c r="N39" s="20">
        <v>479899</v>
      </c>
      <c r="O39" s="21">
        <f t="shared" si="1"/>
        <v>0.97644649956090768</v>
      </c>
      <c r="P39" s="22">
        <f>80%</f>
        <v>0.8</v>
      </c>
      <c r="Q39" s="14"/>
      <c r="R39" s="14"/>
    </row>
    <row r="40" spans="1:18" x14ac:dyDescent="0.3">
      <c r="A40" s="14">
        <v>1500</v>
      </c>
      <c r="B40" s="14"/>
      <c r="C40" s="14"/>
      <c r="D40" s="14"/>
      <c r="E40" s="14"/>
      <c r="F40" s="14"/>
      <c r="G40" s="14"/>
      <c r="H40" s="14"/>
      <c r="I40" s="14"/>
      <c r="J40" s="23" t="s">
        <v>1551</v>
      </c>
      <c r="K40" s="20">
        <v>408510</v>
      </c>
      <c r="L40" s="14"/>
      <c r="M40" s="18" t="s">
        <v>1526</v>
      </c>
      <c r="N40" s="20">
        <v>235903</v>
      </c>
      <c r="O40" s="21">
        <f t="shared" si="1"/>
        <v>0.98480570896622044</v>
      </c>
      <c r="P40" s="22">
        <f>80%</f>
        <v>0.8</v>
      </c>
      <c r="Q40" s="14"/>
      <c r="R40" s="14"/>
    </row>
    <row r="41" spans="1:18" x14ac:dyDescent="0.3">
      <c r="A41" s="27" t="s">
        <v>1568</v>
      </c>
      <c r="B41" s="14"/>
      <c r="C41" s="14"/>
      <c r="D41" s="14"/>
      <c r="E41" s="14"/>
      <c r="F41" s="14"/>
      <c r="G41" s="14"/>
      <c r="H41" s="14"/>
      <c r="I41" s="14"/>
      <c r="J41" s="23" t="s">
        <v>1552</v>
      </c>
      <c r="K41" s="20">
        <v>265616</v>
      </c>
      <c r="L41" s="14"/>
      <c r="M41" s="18" t="s">
        <v>1522</v>
      </c>
      <c r="N41" s="20">
        <v>228810</v>
      </c>
      <c r="O41" s="21">
        <f t="shared" si="1"/>
        <v>0.9929135783194275</v>
      </c>
      <c r="P41" s="22">
        <f>80%</f>
        <v>0.8</v>
      </c>
      <c r="Q41" s="14"/>
      <c r="R41" s="14"/>
    </row>
    <row r="42" spans="1:18" x14ac:dyDescent="0.3">
      <c r="A42" s="14">
        <f>GETPIVOTDATA("Order_ID",$A$39)</f>
        <v>1500</v>
      </c>
      <c r="B42" s="14"/>
      <c r="C42" s="14"/>
      <c r="D42" s="14"/>
      <c r="E42" s="14"/>
      <c r="F42" s="14"/>
      <c r="G42" s="14"/>
      <c r="H42" s="14"/>
      <c r="I42" s="14"/>
      <c r="J42" s="23" t="s">
        <v>1553</v>
      </c>
      <c r="K42" s="20">
        <v>206298</v>
      </c>
      <c r="L42" s="14"/>
      <c r="M42" s="18" t="s">
        <v>1533</v>
      </c>
      <c r="N42" s="20">
        <v>199984</v>
      </c>
      <c r="O42" s="21">
        <f t="shared" si="1"/>
        <v>0.99999999999999989</v>
      </c>
      <c r="P42" s="22">
        <f>80%</f>
        <v>0.8</v>
      </c>
      <c r="Q42" s="14"/>
      <c r="R42" s="14"/>
    </row>
    <row r="43" spans="1:18" x14ac:dyDescent="0.3">
      <c r="A43" s="14"/>
      <c r="B43" s="14"/>
      <c r="C43" s="14"/>
      <c r="D43" s="14"/>
      <c r="E43" s="14"/>
      <c r="F43" s="14"/>
      <c r="G43" s="14"/>
      <c r="H43" s="14"/>
      <c r="I43" s="14"/>
      <c r="J43" s="23" t="s">
        <v>1554</v>
      </c>
      <c r="K43" s="20">
        <v>626064</v>
      </c>
      <c r="L43" s="14"/>
      <c r="M43" s="24" t="s">
        <v>1537</v>
      </c>
      <c r="N43" s="25">
        <v>28220731</v>
      </c>
      <c r="O43" s="14"/>
      <c r="P43" s="14"/>
      <c r="Q43" s="14"/>
      <c r="R43" s="14"/>
    </row>
    <row r="44" spans="1:18" x14ac:dyDescent="0.3">
      <c r="A44" s="14"/>
      <c r="B44" s="14"/>
      <c r="C44" s="14"/>
      <c r="D44" s="14"/>
      <c r="E44" s="14"/>
      <c r="F44" s="14"/>
      <c r="G44" s="14"/>
      <c r="H44" s="14"/>
      <c r="I44" s="14"/>
      <c r="J44" s="23" t="s">
        <v>1555</v>
      </c>
      <c r="K44" s="20">
        <v>354598</v>
      </c>
      <c r="L44" s="14"/>
      <c r="M44" s="14"/>
      <c r="N44" s="14"/>
      <c r="O44" s="14"/>
      <c r="P44" s="14"/>
      <c r="Q44" s="14"/>
      <c r="R44" s="14"/>
    </row>
    <row r="45" spans="1:18" ht="15.6" x14ac:dyDescent="0.3">
      <c r="A45" s="33" t="s">
        <v>1578</v>
      </c>
      <c r="B45" s="34"/>
      <c r="C45" s="15"/>
      <c r="D45" s="33" t="s">
        <v>1578</v>
      </c>
      <c r="E45" s="34"/>
      <c r="F45" s="14"/>
      <c r="G45" s="14"/>
      <c r="H45" s="14"/>
      <c r="I45" s="14"/>
      <c r="J45" s="23" t="s">
        <v>1556</v>
      </c>
      <c r="K45" s="20">
        <v>498466</v>
      </c>
      <c r="L45" s="14"/>
      <c r="M45" s="14"/>
      <c r="N45" s="14"/>
      <c r="O45" s="14"/>
      <c r="P45" s="14"/>
      <c r="Q45" s="14"/>
      <c r="R45" s="14"/>
    </row>
    <row r="46" spans="1:18" x14ac:dyDescent="0.3">
      <c r="A46" s="16" t="s">
        <v>1536</v>
      </c>
      <c r="B46" s="14" t="s">
        <v>1577</v>
      </c>
      <c r="C46" s="14"/>
      <c r="D46" s="16" t="s">
        <v>1536</v>
      </c>
      <c r="E46" s="14" t="s">
        <v>1538</v>
      </c>
      <c r="G46" s="14"/>
      <c r="H46" s="14"/>
      <c r="I46" s="14"/>
      <c r="J46" s="18" t="s">
        <v>1543</v>
      </c>
      <c r="K46" s="20">
        <v>6892198</v>
      </c>
      <c r="L46" s="14"/>
      <c r="M46" s="14"/>
      <c r="N46" s="14"/>
      <c r="O46" s="14"/>
      <c r="P46" s="14"/>
      <c r="Q46" s="14"/>
      <c r="R46" s="14"/>
    </row>
    <row r="47" spans="1:18" x14ac:dyDescent="0.3">
      <c r="A47" s="18">
        <v>1001</v>
      </c>
      <c r="B47" s="37">
        <v>2</v>
      </c>
      <c r="C47" s="14"/>
      <c r="D47" s="18">
        <v>1001</v>
      </c>
      <c r="E47" s="20">
        <v>201412</v>
      </c>
      <c r="G47" s="14"/>
      <c r="H47" s="14"/>
      <c r="I47" s="14"/>
      <c r="J47" s="23" t="s">
        <v>1545</v>
      </c>
      <c r="K47" s="20">
        <v>579121</v>
      </c>
      <c r="L47" s="14"/>
      <c r="M47" s="14"/>
      <c r="N47" s="14"/>
      <c r="O47" s="14"/>
      <c r="P47" s="14"/>
      <c r="Q47" s="14"/>
      <c r="R47" s="14"/>
    </row>
    <row r="48" spans="1:18" x14ac:dyDescent="0.3">
      <c r="A48" s="18">
        <v>1002</v>
      </c>
      <c r="B48" s="37">
        <v>2</v>
      </c>
      <c r="C48" s="14"/>
      <c r="D48" s="18">
        <v>1002</v>
      </c>
      <c r="E48" s="20">
        <v>8032</v>
      </c>
      <c r="G48" s="14"/>
      <c r="H48" s="14"/>
      <c r="I48" s="14"/>
      <c r="J48" s="23" t="s">
        <v>1546</v>
      </c>
      <c r="K48" s="20">
        <v>616506</v>
      </c>
      <c r="L48" s="14"/>
      <c r="M48" s="14"/>
      <c r="N48" s="14"/>
      <c r="O48" s="14"/>
      <c r="P48" s="14"/>
      <c r="Q48" s="14"/>
      <c r="R48" s="14"/>
    </row>
    <row r="49" spans="1:18" x14ac:dyDescent="0.3">
      <c r="A49" s="18">
        <v>1003</v>
      </c>
      <c r="B49" s="37">
        <v>1</v>
      </c>
      <c r="C49" s="14"/>
      <c r="D49" s="18">
        <v>1003</v>
      </c>
      <c r="E49" s="20">
        <v>4736</v>
      </c>
      <c r="G49" s="14"/>
      <c r="H49" s="14"/>
      <c r="I49" s="14"/>
      <c r="J49" s="23" t="s">
        <v>1547</v>
      </c>
      <c r="K49" s="20">
        <v>595893</v>
      </c>
      <c r="L49" s="14"/>
      <c r="M49" s="14"/>
      <c r="N49" s="14"/>
      <c r="O49" s="14"/>
      <c r="P49" s="14"/>
      <c r="Q49" s="14"/>
      <c r="R49" s="14"/>
    </row>
    <row r="50" spans="1:18" x14ac:dyDescent="0.3">
      <c r="A50" s="18">
        <v>1004</v>
      </c>
      <c r="B50" s="37">
        <v>2</v>
      </c>
      <c r="C50" s="14"/>
      <c r="D50" s="18">
        <v>1004</v>
      </c>
      <c r="E50" s="20">
        <v>40288</v>
      </c>
      <c r="G50" s="14"/>
      <c r="H50" s="14"/>
      <c r="I50" s="14"/>
      <c r="J50" s="23" t="s">
        <v>1548</v>
      </c>
      <c r="K50" s="20">
        <v>458876</v>
      </c>
      <c r="L50" s="14"/>
      <c r="M50" s="14"/>
      <c r="N50" s="14"/>
      <c r="O50" s="14"/>
      <c r="P50" s="14"/>
      <c r="Q50" s="14"/>
      <c r="R50" s="14"/>
    </row>
    <row r="51" spans="1:18" x14ac:dyDescent="0.3">
      <c r="A51" s="18">
        <v>1005</v>
      </c>
      <c r="B51" s="37">
        <v>4</v>
      </c>
      <c r="C51" s="14"/>
      <c r="D51" s="18">
        <v>1005</v>
      </c>
      <c r="E51" s="20">
        <v>7360</v>
      </c>
      <c r="G51" s="14"/>
      <c r="H51" s="14"/>
      <c r="I51" s="14"/>
      <c r="J51" s="23" t="s">
        <v>1549</v>
      </c>
      <c r="K51" s="20">
        <v>538477</v>
      </c>
      <c r="L51" s="14"/>
      <c r="M51" s="14"/>
      <c r="N51" s="14"/>
      <c r="O51" s="14"/>
      <c r="P51" s="14"/>
      <c r="Q51" s="14"/>
      <c r="R51" s="14"/>
    </row>
    <row r="52" spans="1:18" x14ac:dyDescent="0.3">
      <c r="A52" s="18">
        <v>1006</v>
      </c>
      <c r="B52" s="37">
        <v>5</v>
      </c>
      <c r="C52" s="14"/>
      <c r="D52" s="18">
        <v>1006</v>
      </c>
      <c r="E52" s="20">
        <v>66125</v>
      </c>
      <c r="G52" s="14"/>
      <c r="H52" s="14"/>
      <c r="I52" s="14"/>
      <c r="J52" s="23" t="s">
        <v>1550</v>
      </c>
      <c r="K52" s="20">
        <v>590105</v>
      </c>
      <c r="L52" s="14"/>
      <c r="M52" s="14"/>
      <c r="N52" s="14"/>
      <c r="O52" s="14"/>
      <c r="P52" s="14"/>
      <c r="Q52" s="14"/>
      <c r="R52" s="14"/>
    </row>
    <row r="53" spans="1:18" x14ac:dyDescent="0.3">
      <c r="A53" s="18">
        <v>1007</v>
      </c>
      <c r="B53" s="37">
        <v>2</v>
      </c>
      <c r="C53" s="14"/>
      <c r="D53" s="18">
        <v>1007</v>
      </c>
      <c r="E53" s="20">
        <v>3726</v>
      </c>
      <c r="G53" s="14"/>
      <c r="H53" s="14"/>
      <c r="I53" s="14"/>
      <c r="J53" s="23" t="s">
        <v>1551</v>
      </c>
      <c r="K53" s="20">
        <v>689777</v>
      </c>
      <c r="L53" s="14"/>
      <c r="M53" s="14"/>
      <c r="N53" s="14"/>
      <c r="O53" s="14"/>
      <c r="P53" s="14"/>
      <c r="Q53" s="14"/>
      <c r="R53" s="14"/>
    </row>
    <row r="54" spans="1:18" x14ac:dyDescent="0.3">
      <c r="A54" s="18">
        <v>1008</v>
      </c>
      <c r="B54" s="37">
        <v>5</v>
      </c>
      <c r="C54" s="14"/>
      <c r="D54" s="18">
        <v>1008</v>
      </c>
      <c r="E54" s="20">
        <v>9050</v>
      </c>
      <c r="G54" s="14"/>
      <c r="H54" s="14"/>
      <c r="I54" s="14"/>
      <c r="J54" s="23" t="s">
        <v>1552</v>
      </c>
      <c r="K54" s="20">
        <v>502941</v>
      </c>
      <c r="L54" s="14"/>
      <c r="M54" s="14"/>
      <c r="N54" s="14"/>
      <c r="O54" s="14"/>
      <c r="P54" s="14"/>
      <c r="Q54" s="14"/>
      <c r="R54" s="14"/>
    </row>
    <row r="55" spans="1:18" x14ac:dyDescent="0.3">
      <c r="A55" s="18">
        <v>1009</v>
      </c>
      <c r="B55" s="37">
        <v>4</v>
      </c>
      <c r="C55" s="14"/>
      <c r="D55" s="18">
        <v>1009</v>
      </c>
      <c r="E55" s="20">
        <v>34252</v>
      </c>
      <c r="G55" s="14"/>
      <c r="H55" s="14"/>
      <c r="I55" s="14"/>
      <c r="J55" s="23" t="s">
        <v>1553</v>
      </c>
      <c r="K55" s="20">
        <v>466775</v>
      </c>
      <c r="L55" s="14"/>
      <c r="M55" s="14"/>
      <c r="N55" s="14"/>
      <c r="O55" s="14"/>
      <c r="P55" s="14"/>
      <c r="Q55" s="14"/>
      <c r="R55" s="14"/>
    </row>
    <row r="56" spans="1:18" x14ac:dyDescent="0.3">
      <c r="A56" s="18">
        <v>1010</v>
      </c>
      <c r="B56" s="37">
        <v>5</v>
      </c>
      <c r="C56" s="14"/>
      <c r="D56" s="18">
        <v>1010</v>
      </c>
      <c r="E56" s="20">
        <v>1340</v>
      </c>
      <c r="G56" s="14"/>
      <c r="H56" s="14"/>
      <c r="I56" s="14"/>
      <c r="J56" s="23" t="s">
        <v>1554</v>
      </c>
      <c r="K56" s="20">
        <v>478704</v>
      </c>
      <c r="L56" s="14"/>
      <c r="M56" s="14"/>
      <c r="N56" s="14"/>
      <c r="O56" s="14"/>
      <c r="P56" s="14"/>
      <c r="Q56" s="14"/>
      <c r="R56" s="14"/>
    </row>
    <row r="57" spans="1:18" x14ac:dyDescent="0.3">
      <c r="A57" s="18">
        <v>1011</v>
      </c>
      <c r="B57" s="37">
        <v>5</v>
      </c>
      <c r="C57" s="14"/>
      <c r="D57" s="18">
        <v>1011</v>
      </c>
      <c r="E57" s="20">
        <v>540180</v>
      </c>
      <c r="G57" s="14"/>
      <c r="H57" s="14"/>
      <c r="I57" s="14"/>
      <c r="J57" s="23" t="s">
        <v>1555</v>
      </c>
      <c r="K57" s="20">
        <v>693532</v>
      </c>
      <c r="L57" s="14"/>
      <c r="M57" s="14"/>
      <c r="N57" s="14"/>
      <c r="O57" s="14"/>
      <c r="P57" s="14"/>
      <c r="Q57" s="14"/>
      <c r="R57" s="14"/>
    </row>
    <row r="58" spans="1:18" x14ac:dyDescent="0.3">
      <c r="A58" s="18">
        <v>1012</v>
      </c>
      <c r="B58" s="37">
        <v>2</v>
      </c>
      <c r="C58" s="14"/>
      <c r="D58" s="18">
        <v>1012</v>
      </c>
      <c r="E58" s="20">
        <v>28572</v>
      </c>
      <c r="G58" s="14"/>
      <c r="H58" s="14"/>
      <c r="I58" s="14"/>
      <c r="J58" s="23" t="s">
        <v>1556</v>
      </c>
      <c r="K58" s="20">
        <v>681491</v>
      </c>
      <c r="L58" s="14"/>
      <c r="M58" s="14"/>
      <c r="N58" s="14"/>
      <c r="O58" s="14"/>
      <c r="P58" s="14"/>
      <c r="Q58" s="14"/>
      <c r="R58" s="14"/>
    </row>
    <row r="59" spans="1:18" x14ac:dyDescent="0.3">
      <c r="A59" s="18">
        <v>1013</v>
      </c>
      <c r="B59" s="37">
        <v>4</v>
      </c>
      <c r="C59" s="14"/>
      <c r="D59" s="18">
        <v>1013</v>
      </c>
      <c r="E59" s="20">
        <v>39040</v>
      </c>
      <c r="G59" s="14"/>
      <c r="H59" s="14"/>
      <c r="I59" s="14"/>
      <c r="J59" s="18" t="s">
        <v>1544</v>
      </c>
      <c r="K59" s="20">
        <v>2552926</v>
      </c>
      <c r="L59" s="14"/>
      <c r="M59" s="14"/>
      <c r="N59" s="14"/>
      <c r="O59" s="14"/>
      <c r="P59" s="14"/>
      <c r="Q59" s="14"/>
      <c r="R59" s="14"/>
    </row>
    <row r="60" spans="1:18" x14ac:dyDescent="0.3">
      <c r="A60" s="18">
        <v>1014</v>
      </c>
      <c r="B60" s="37">
        <v>4</v>
      </c>
      <c r="C60" s="14"/>
      <c r="D60" s="18">
        <v>1014</v>
      </c>
      <c r="E60" s="20">
        <v>34032</v>
      </c>
      <c r="G60" s="14"/>
      <c r="H60" s="14"/>
      <c r="I60" s="14"/>
      <c r="J60" s="23" t="s">
        <v>1545</v>
      </c>
      <c r="K60" s="20">
        <v>583645</v>
      </c>
      <c r="L60" s="14"/>
      <c r="M60" s="14"/>
      <c r="N60" s="14"/>
      <c r="O60" s="14"/>
      <c r="P60" s="14"/>
      <c r="Q60" s="14"/>
      <c r="R60" s="14"/>
    </row>
    <row r="61" spans="1:18" x14ac:dyDescent="0.3">
      <c r="A61" s="18">
        <v>1015</v>
      </c>
      <c r="B61" s="37">
        <v>5</v>
      </c>
      <c r="C61" s="14"/>
      <c r="D61" s="18">
        <v>1015</v>
      </c>
      <c r="E61" s="20">
        <v>2380</v>
      </c>
      <c r="G61" s="14"/>
      <c r="H61" s="14"/>
      <c r="I61" s="14"/>
      <c r="J61" s="23" t="s">
        <v>1546</v>
      </c>
      <c r="K61" s="20">
        <v>510299</v>
      </c>
      <c r="L61" s="14"/>
      <c r="M61" s="14"/>
      <c r="N61" s="14"/>
      <c r="O61" s="14"/>
      <c r="P61" s="14"/>
      <c r="Q61" s="14"/>
      <c r="R61" s="14"/>
    </row>
    <row r="62" spans="1:18" x14ac:dyDescent="0.3">
      <c r="A62" s="18">
        <v>1016</v>
      </c>
      <c r="B62" s="37">
        <v>4</v>
      </c>
      <c r="C62" s="14"/>
      <c r="D62" s="18">
        <v>1016</v>
      </c>
      <c r="E62" s="20">
        <v>150356</v>
      </c>
      <c r="G62" s="14"/>
      <c r="H62" s="14"/>
      <c r="I62" s="14"/>
      <c r="J62" s="23" t="s">
        <v>1547</v>
      </c>
      <c r="K62" s="20">
        <v>608839</v>
      </c>
      <c r="L62" s="14"/>
      <c r="M62" s="14"/>
      <c r="N62" s="14"/>
      <c r="O62" s="14"/>
      <c r="P62" s="14"/>
      <c r="Q62" s="14"/>
      <c r="R62" s="14"/>
    </row>
    <row r="63" spans="1:18" x14ac:dyDescent="0.3">
      <c r="A63" s="18">
        <v>1017</v>
      </c>
      <c r="B63" s="37">
        <v>2</v>
      </c>
      <c r="C63" s="14"/>
      <c r="D63" s="18">
        <v>1017</v>
      </c>
      <c r="E63" s="20">
        <v>1562</v>
      </c>
      <c r="G63" s="14"/>
      <c r="H63" s="14"/>
      <c r="I63" s="14"/>
      <c r="J63" s="23" t="s">
        <v>1548</v>
      </c>
      <c r="K63" s="20">
        <v>582087</v>
      </c>
      <c r="L63" s="14"/>
      <c r="M63" s="14"/>
      <c r="N63" s="14"/>
      <c r="O63" s="14"/>
      <c r="P63" s="14"/>
      <c r="Q63" s="14"/>
      <c r="R63" s="14"/>
    </row>
    <row r="64" spans="1:18" x14ac:dyDescent="0.3">
      <c r="A64" s="18">
        <v>1018</v>
      </c>
      <c r="B64" s="37">
        <v>5</v>
      </c>
      <c r="C64" s="14"/>
      <c r="D64" s="18">
        <v>1018</v>
      </c>
      <c r="E64" s="20">
        <v>20225</v>
      </c>
      <c r="F64" s="14"/>
      <c r="G64" s="14"/>
      <c r="H64" s="14"/>
      <c r="I64" s="14"/>
      <c r="J64" s="23" t="s">
        <v>1549</v>
      </c>
      <c r="K64" s="20">
        <v>268056</v>
      </c>
      <c r="L64" s="14"/>
      <c r="M64" s="14"/>
      <c r="N64" s="14"/>
      <c r="O64" s="14"/>
      <c r="P64" s="14"/>
      <c r="Q64" s="14"/>
      <c r="R64" s="14"/>
    </row>
    <row r="65" spans="1:18" x14ac:dyDescent="0.3">
      <c r="A65" s="18">
        <v>1019</v>
      </c>
      <c r="B65" s="37">
        <v>6</v>
      </c>
      <c r="C65" s="14"/>
      <c r="D65" s="18">
        <v>1019</v>
      </c>
      <c r="E65" s="20">
        <v>49548</v>
      </c>
      <c r="F65" s="14"/>
      <c r="G65" s="14"/>
      <c r="H65" s="14"/>
      <c r="I65" s="14"/>
      <c r="J65" s="18" t="s">
        <v>1537</v>
      </c>
      <c r="K65" s="20">
        <v>28220731</v>
      </c>
      <c r="L65" s="14"/>
      <c r="M65" s="14"/>
      <c r="N65" s="14"/>
      <c r="O65" s="14"/>
      <c r="P65" s="14"/>
      <c r="Q65" s="14"/>
      <c r="R65" s="14"/>
    </row>
    <row r="66" spans="1:18" x14ac:dyDescent="0.3">
      <c r="A66" s="18">
        <v>1020</v>
      </c>
      <c r="B66" s="37">
        <v>1</v>
      </c>
      <c r="C66" s="14"/>
      <c r="D66" s="18">
        <v>1020</v>
      </c>
      <c r="E66" s="20">
        <v>672</v>
      </c>
      <c r="F66" s="14"/>
      <c r="G66" s="14"/>
      <c r="H66" s="14"/>
      <c r="I66" s="14"/>
      <c r="J66" s="14"/>
      <c r="K66" s="14"/>
      <c r="L66" s="14"/>
      <c r="M66" s="14"/>
      <c r="N66" s="14"/>
      <c r="O66" s="14"/>
      <c r="P66" s="14"/>
      <c r="Q66" s="14"/>
      <c r="R66" s="14"/>
    </row>
    <row r="67" spans="1:18" x14ac:dyDescent="0.3">
      <c r="A67" s="18">
        <v>1021</v>
      </c>
      <c r="B67" s="37">
        <v>5</v>
      </c>
      <c r="C67" s="14"/>
      <c r="D67" s="18">
        <v>1021</v>
      </c>
      <c r="E67" s="20">
        <v>685160</v>
      </c>
      <c r="F67" s="14"/>
      <c r="G67" s="14"/>
      <c r="H67" s="14"/>
      <c r="I67" s="14"/>
      <c r="J67" s="14"/>
      <c r="K67" s="14"/>
      <c r="L67" s="14"/>
      <c r="M67" s="14"/>
      <c r="N67" s="14"/>
      <c r="O67" s="14"/>
      <c r="P67" s="14"/>
      <c r="Q67" s="14"/>
      <c r="R67" s="14"/>
    </row>
    <row r="68" spans="1:18" x14ac:dyDescent="0.3">
      <c r="A68" s="18">
        <v>1022</v>
      </c>
      <c r="B68" s="37">
        <v>3</v>
      </c>
      <c r="C68" s="14"/>
      <c r="D68" s="18">
        <v>1022</v>
      </c>
      <c r="E68" s="20">
        <v>11955</v>
      </c>
      <c r="F68" s="14"/>
      <c r="G68" s="14"/>
      <c r="H68" s="14"/>
      <c r="I68" s="14"/>
      <c r="J68" s="14"/>
      <c r="K68" s="14"/>
      <c r="L68" s="14"/>
      <c r="M68" s="14"/>
      <c r="N68" s="14"/>
      <c r="O68" s="14"/>
      <c r="P68" s="14"/>
      <c r="Q68" s="14"/>
      <c r="R68" s="14"/>
    </row>
    <row r="69" spans="1:18" x14ac:dyDescent="0.3">
      <c r="A69" s="18">
        <v>1023</v>
      </c>
      <c r="B69" s="37">
        <v>3</v>
      </c>
      <c r="C69" s="14"/>
      <c r="D69" s="18">
        <v>1023</v>
      </c>
      <c r="E69" s="20">
        <v>7140</v>
      </c>
      <c r="F69" s="14"/>
      <c r="G69" s="14"/>
      <c r="H69" s="14"/>
      <c r="I69" s="14"/>
      <c r="J69" s="14"/>
      <c r="K69" s="14"/>
      <c r="L69" s="14"/>
      <c r="M69" s="14"/>
      <c r="N69" s="14"/>
      <c r="O69" s="14"/>
      <c r="P69" s="14"/>
      <c r="Q69" s="14"/>
      <c r="R69" s="14"/>
    </row>
    <row r="70" spans="1:18" x14ac:dyDescent="0.3">
      <c r="A70" s="18">
        <v>1024</v>
      </c>
      <c r="B70" s="37">
        <v>9</v>
      </c>
      <c r="C70" s="14"/>
      <c r="D70" s="18">
        <v>1024</v>
      </c>
      <c r="E70" s="20">
        <v>365094</v>
      </c>
      <c r="F70" s="14"/>
      <c r="G70" s="14"/>
      <c r="H70" s="14"/>
      <c r="I70" s="14"/>
      <c r="J70" s="14"/>
      <c r="K70" s="14"/>
      <c r="L70" s="14"/>
      <c r="M70" s="14"/>
      <c r="N70" s="14"/>
      <c r="O70" s="14"/>
      <c r="P70" s="14"/>
      <c r="Q70" s="14"/>
      <c r="R70" s="14"/>
    </row>
    <row r="71" spans="1:18" x14ac:dyDescent="0.3">
      <c r="A71" s="18">
        <v>1025</v>
      </c>
      <c r="B71" s="37">
        <v>6</v>
      </c>
      <c r="C71" s="14"/>
      <c r="D71" s="18">
        <v>1025</v>
      </c>
      <c r="E71" s="20">
        <v>2040</v>
      </c>
      <c r="F71" s="14"/>
      <c r="G71" s="14"/>
      <c r="H71" s="14"/>
      <c r="I71" s="14"/>
      <c r="J71" s="14"/>
      <c r="K71" s="14"/>
      <c r="L71" s="14"/>
      <c r="M71" s="14"/>
      <c r="N71" s="14"/>
      <c r="O71" s="14"/>
      <c r="P71" s="14"/>
      <c r="Q71" s="14"/>
      <c r="R71" s="14"/>
    </row>
    <row r="72" spans="1:18" x14ac:dyDescent="0.3">
      <c r="A72" s="18">
        <v>1026</v>
      </c>
      <c r="B72" s="37">
        <v>3</v>
      </c>
      <c r="C72" s="14"/>
      <c r="D72" s="18">
        <v>1026</v>
      </c>
      <c r="E72" s="20">
        <v>102459</v>
      </c>
      <c r="F72" s="14"/>
      <c r="G72" s="14"/>
      <c r="H72" s="14"/>
      <c r="I72" s="14"/>
      <c r="J72" s="14"/>
      <c r="K72" s="14"/>
      <c r="L72" s="14"/>
      <c r="M72" s="14"/>
      <c r="N72" s="14"/>
      <c r="O72" s="14"/>
      <c r="P72" s="14"/>
      <c r="Q72" s="14"/>
      <c r="R72" s="14"/>
    </row>
    <row r="73" spans="1:18" x14ac:dyDescent="0.3">
      <c r="A73" s="18">
        <v>1027</v>
      </c>
      <c r="B73" s="37">
        <v>4</v>
      </c>
      <c r="C73" s="14"/>
      <c r="D73" s="18">
        <v>1027</v>
      </c>
      <c r="E73" s="20">
        <v>3536</v>
      </c>
      <c r="F73" s="14"/>
      <c r="G73" s="14"/>
      <c r="H73" s="14"/>
      <c r="I73" s="14"/>
      <c r="J73" s="14"/>
      <c r="K73" s="14"/>
      <c r="L73" s="14"/>
      <c r="M73" s="14"/>
      <c r="N73" s="14"/>
      <c r="O73" s="14"/>
      <c r="P73" s="14"/>
      <c r="Q73" s="14"/>
      <c r="R73" s="14"/>
    </row>
    <row r="74" spans="1:18" x14ac:dyDescent="0.3">
      <c r="A74" s="18">
        <v>1028</v>
      </c>
      <c r="B74" s="37">
        <v>2</v>
      </c>
      <c r="C74" s="14"/>
      <c r="D74" s="18">
        <v>1028</v>
      </c>
      <c r="E74" s="20">
        <v>3922</v>
      </c>
      <c r="F74" s="14"/>
      <c r="G74" s="14"/>
      <c r="H74" s="14"/>
      <c r="I74" s="14"/>
      <c r="J74" s="14"/>
      <c r="K74" s="14"/>
      <c r="L74" s="14"/>
      <c r="M74" s="14"/>
      <c r="N74" s="14"/>
      <c r="O74" s="14"/>
      <c r="P74" s="14"/>
      <c r="Q74" s="14"/>
      <c r="R74" s="14"/>
    </row>
    <row r="75" spans="1:18" x14ac:dyDescent="0.3">
      <c r="A75" s="18">
        <v>1029</v>
      </c>
      <c r="B75" s="37">
        <v>3</v>
      </c>
      <c r="C75" s="14"/>
      <c r="D75" s="18">
        <v>1029</v>
      </c>
      <c r="E75" s="20">
        <v>22824</v>
      </c>
      <c r="F75" s="14"/>
      <c r="G75" s="14"/>
      <c r="H75" s="14"/>
      <c r="I75" s="14"/>
      <c r="J75" s="14"/>
      <c r="K75" s="14"/>
      <c r="L75" s="14"/>
      <c r="M75" s="14"/>
      <c r="N75" s="14"/>
      <c r="O75" s="14"/>
      <c r="P75" s="14"/>
      <c r="Q75" s="14"/>
      <c r="R75" s="14"/>
    </row>
    <row r="76" spans="1:18" x14ac:dyDescent="0.3">
      <c r="A76" s="18">
        <v>1030</v>
      </c>
      <c r="B76" s="37">
        <v>2</v>
      </c>
      <c r="C76" s="14"/>
      <c r="D76" s="18">
        <v>1030</v>
      </c>
      <c r="E76" s="20">
        <v>1260</v>
      </c>
      <c r="F76" s="14"/>
      <c r="G76" s="14"/>
      <c r="H76" s="14"/>
      <c r="I76" s="14"/>
      <c r="J76" s="14"/>
      <c r="K76" s="14"/>
      <c r="L76" s="14"/>
      <c r="M76" s="14"/>
      <c r="N76" s="14"/>
      <c r="O76" s="14"/>
      <c r="P76" s="14"/>
      <c r="Q76" s="14"/>
      <c r="R76" s="14"/>
    </row>
    <row r="77" spans="1:18" x14ac:dyDescent="0.3">
      <c r="A77" s="18">
        <v>1031</v>
      </c>
      <c r="B77" s="37">
        <v>4</v>
      </c>
      <c r="C77" s="14"/>
      <c r="D77" s="18">
        <v>1031</v>
      </c>
      <c r="E77" s="20">
        <v>272352</v>
      </c>
      <c r="F77" s="14"/>
      <c r="G77" s="14"/>
      <c r="H77" s="14"/>
      <c r="I77" s="14"/>
      <c r="J77" s="14"/>
      <c r="K77" s="14"/>
      <c r="L77" s="14"/>
      <c r="M77" s="14"/>
      <c r="N77" s="14"/>
      <c r="O77" s="14"/>
      <c r="P77" s="14"/>
      <c r="Q77" s="14"/>
      <c r="R77" s="14"/>
    </row>
    <row r="78" spans="1:18" x14ac:dyDescent="0.3">
      <c r="A78" s="18">
        <v>1032</v>
      </c>
      <c r="B78" s="37">
        <v>4</v>
      </c>
      <c r="C78" s="14"/>
      <c r="D78" s="18">
        <v>1032</v>
      </c>
      <c r="E78" s="20">
        <v>32676</v>
      </c>
      <c r="F78" s="14"/>
      <c r="G78" s="14"/>
      <c r="H78" s="14"/>
      <c r="I78" s="14"/>
      <c r="J78" s="14"/>
      <c r="K78" s="14"/>
      <c r="L78" s="14"/>
      <c r="M78" s="14"/>
      <c r="N78" s="14"/>
      <c r="O78" s="14"/>
      <c r="P78" s="14"/>
      <c r="Q78" s="14"/>
      <c r="R78" s="14"/>
    </row>
    <row r="79" spans="1:18" x14ac:dyDescent="0.3">
      <c r="A79" s="18">
        <v>1033</v>
      </c>
      <c r="B79" s="37">
        <v>5</v>
      </c>
      <c r="C79" s="14"/>
      <c r="D79" s="18">
        <v>1033</v>
      </c>
      <c r="E79" s="20">
        <v>20785</v>
      </c>
      <c r="F79" s="14"/>
      <c r="G79" s="14"/>
      <c r="H79" s="14"/>
      <c r="I79" s="14"/>
      <c r="J79" s="14"/>
      <c r="K79" s="14"/>
      <c r="L79" s="14"/>
      <c r="M79" s="14"/>
      <c r="N79" s="14"/>
      <c r="O79" s="14"/>
      <c r="P79" s="14"/>
      <c r="Q79" s="14"/>
      <c r="R79" s="14"/>
    </row>
    <row r="80" spans="1:18" x14ac:dyDescent="0.3">
      <c r="A80" s="18">
        <v>1034</v>
      </c>
      <c r="B80" s="37">
        <v>1</v>
      </c>
      <c r="C80" s="14"/>
      <c r="D80" s="18">
        <v>1034</v>
      </c>
      <c r="E80" s="20">
        <v>10767</v>
      </c>
      <c r="F80" s="14"/>
      <c r="G80" s="14"/>
      <c r="H80" s="14"/>
      <c r="I80" s="14"/>
      <c r="J80" s="14"/>
      <c r="K80" s="14"/>
      <c r="L80" s="14"/>
      <c r="M80" s="14"/>
      <c r="N80" s="14"/>
      <c r="O80" s="14"/>
      <c r="P80" s="14"/>
      <c r="Q80" s="14"/>
      <c r="R80" s="14"/>
    </row>
    <row r="81" spans="1:18" x14ac:dyDescent="0.3">
      <c r="A81" s="18">
        <v>1035</v>
      </c>
      <c r="B81" s="37">
        <v>4</v>
      </c>
      <c r="C81" s="14"/>
      <c r="D81" s="18">
        <v>1035</v>
      </c>
      <c r="E81" s="20">
        <v>4968</v>
      </c>
      <c r="F81" s="14"/>
      <c r="G81" s="14"/>
      <c r="H81" s="14"/>
      <c r="I81" s="14"/>
      <c r="J81" s="14"/>
      <c r="K81" s="14"/>
      <c r="L81" s="14"/>
      <c r="M81" s="14"/>
      <c r="N81" s="14"/>
      <c r="O81" s="14"/>
      <c r="P81" s="14"/>
      <c r="Q81" s="14"/>
      <c r="R81" s="14"/>
    </row>
    <row r="82" spans="1:18" x14ac:dyDescent="0.3">
      <c r="A82" s="18">
        <v>1036</v>
      </c>
      <c r="B82" s="37">
        <v>2</v>
      </c>
      <c r="C82" s="14"/>
      <c r="D82" s="18">
        <v>1036</v>
      </c>
      <c r="E82" s="20">
        <v>60536</v>
      </c>
      <c r="F82" s="14"/>
      <c r="G82" s="14"/>
      <c r="H82" s="14"/>
      <c r="I82" s="14"/>
      <c r="J82" s="14"/>
      <c r="K82" s="14"/>
      <c r="L82" s="14"/>
      <c r="M82" s="14"/>
      <c r="N82" s="14"/>
      <c r="O82" s="14"/>
      <c r="P82" s="14"/>
      <c r="Q82" s="14"/>
      <c r="R82" s="14"/>
    </row>
    <row r="83" spans="1:18" x14ac:dyDescent="0.3">
      <c r="A83" s="18">
        <v>1037</v>
      </c>
      <c r="B83" s="37">
        <v>2</v>
      </c>
      <c r="C83" s="14"/>
      <c r="D83" s="18">
        <v>1037</v>
      </c>
      <c r="E83" s="20">
        <v>6050</v>
      </c>
      <c r="F83" s="14"/>
      <c r="G83" s="14"/>
      <c r="H83" s="14"/>
      <c r="I83" s="14"/>
      <c r="J83" s="14"/>
      <c r="K83" s="14"/>
      <c r="L83" s="14"/>
      <c r="M83" s="14"/>
      <c r="N83" s="14"/>
      <c r="O83" s="14"/>
      <c r="P83" s="14"/>
      <c r="Q83" s="14"/>
      <c r="R83" s="14"/>
    </row>
    <row r="84" spans="1:18" x14ac:dyDescent="0.3">
      <c r="A84" s="18">
        <v>1038</v>
      </c>
      <c r="B84" s="37">
        <v>3</v>
      </c>
      <c r="C84" s="14"/>
      <c r="D84" s="18">
        <v>1038</v>
      </c>
      <c r="E84" s="20">
        <v>16713</v>
      </c>
      <c r="F84" s="14"/>
      <c r="G84" s="14"/>
      <c r="H84" s="14"/>
      <c r="I84" s="14"/>
      <c r="J84" s="14"/>
      <c r="K84" s="14"/>
      <c r="L84" s="14"/>
      <c r="M84" s="14"/>
      <c r="N84" s="14"/>
      <c r="O84" s="14"/>
      <c r="P84" s="14"/>
      <c r="Q84" s="14"/>
      <c r="R84" s="14"/>
    </row>
    <row r="85" spans="1:18" x14ac:dyDescent="0.3">
      <c r="A85" s="18">
        <v>1039</v>
      </c>
      <c r="B85" s="37">
        <v>5</v>
      </c>
      <c r="C85" s="14"/>
      <c r="D85" s="18">
        <v>1039</v>
      </c>
      <c r="E85" s="20">
        <v>25950</v>
      </c>
      <c r="F85" s="14"/>
      <c r="G85" s="14"/>
      <c r="H85" s="14"/>
      <c r="I85" s="14"/>
      <c r="J85" s="14"/>
      <c r="K85" s="14"/>
      <c r="L85" s="14"/>
      <c r="M85" s="14"/>
      <c r="N85" s="14"/>
      <c r="O85" s="14"/>
      <c r="P85" s="14"/>
      <c r="Q85" s="14"/>
      <c r="R85" s="14"/>
    </row>
    <row r="86" spans="1:18" x14ac:dyDescent="0.3">
      <c r="A86" s="18">
        <v>1040</v>
      </c>
      <c r="B86" s="37">
        <v>3</v>
      </c>
      <c r="C86" s="14"/>
      <c r="D86" s="18">
        <v>1040</v>
      </c>
      <c r="E86" s="20">
        <v>4056</v>
      </c>
      <c r="F86" s="14"/>
      <c r="G86" s="14"/>
      <c r="H86" s="14"/>
      <c r="I86" s="14"/>
      <c r="J86" s="14"/>
      <c r="K86" s="14"/>
      <c r="L86" s="14"/>
      <c r="M86" s="14"/>
      <c r="N86" s="14"/>
      <c r="O86" s="14"/>
      <c r="P86" s="14"/>
      <c r="Q86" s="14"/>
      <c r="R86" s="14"/>
    </row>
    <row r="87" spans="1:18" x14ac:dyDescent="0.3">
      <c r="A87" s="18">
        <v>1041</v>
      </c>
      <c r="B87" s="37">
        <v>4</v>
      </c>
      <c r="C87" s="14"/>
      <c r="D87" s="18">
        <v>1041</v>
      </c>
      <c r="E87" s="20">
        <v>210220</v>
      </c>
      <c r="F87" s="14"/>
      <c r="G87" s="14"/>
      <c r="H87" s="14"/>
      <c r="I87" s="14"/>
      <c r="J87" s="14"/>
      <c r="K87" s="14"/>
      <c r="L87" s="14"/>
      <c r="M87" s="14"/>
      <c r="N87" s="14"/>
      <c r="O87" s="14"/>
      <c r="P87" s="14"/>
      <c r="Q87" s="14"/>
      <c r="R87" s="14"/>
    </row>
    <row r="88" spans="1:18" x14ac:dyDescent="0.3">
      <c r="A88" s="18">
        <v>1042</v>
      </c>
      <c r="B88" s="37">
        <v>4</v>
      </c>
      <c r="C88" s="14"/>
      <c r="D88" s="18">
        <v>1042</v>
      </c>
      <c r="E88" s="20">
        <v>9912</v>
      </c>
      <c r="F88" s="14"/>
      <c r="G88" s="14"/>
      <c r="H88" s="14"/>
      <c r="I88" s="14"/>
      <c r="J88" s="14"/>
      <c r="K88" s="14"/>
      <c r="L88" s="14"/>
      <c r="M88" s="14"/>
      <c r="N88" s="14"/>
      <c r="O88" s="14"/>
      <c r="P88" s="14"/>
      <c r="Q88" s="14"/>
      <c r="R88" s="14"/>
    </row>
    <row r="89" spans="1:18" x14ac:dyDescent="0.3">
      <c r="A89" s="18">
        <v>1043</v>
      </c>
      <c r="B89" s="37">
        <v>4</v>
      </c>
      <c r="C89" s="14"/>
      <c r="D89" s="18">
        <v>1043</v>
      </c>
      <c r="E89" s="20">
        <v>34944</v>
      </c>
      <c r="F89" s="14"/>
      <c r="G89" s="14"/>
      <c r="H89" s="14"/>
      <c r="I89" s="14"/>
      <c r="J89" s="14"/>
      <c r="K89" s="14"/>
      <c r="L89" s="14"/>
      <c r="M89" s="14"/>
      <c r="N89" s="14"/>
      <c r="O89" s="14"/>
      <c r="P89" s="14"/>
      <c r="Q89" s="14"/>
      <c r="R89" s="14"/>
    </row>
    <row r="90" spans="1:18" x14ac:dyDescent="0.3">
      <c r="A90" s="18">
        <v>1044</v>
      </c>
      <c r="B90" s="37">
        <v>3</v>
      </c>
      <c r="C90" s="14"/>
      <c r="D90" s="18">
        <v>1044</v>
      </c>
      <c r="E90" s="20">
        <v>64410</v>
      </c>
      <c r="F90" s="14"/>
      <c r="G90" s="14"/>
      <c r="H90" s="14"/>
      <c r="I90" s="14"/>
      <c r="J90" s="14"/>
      <c r="K90" s="14"/>
      <c r="L90" s="14"/>
      <c r="M90" s="14"/>
      <c r="N90" s="14"/>
      <c r="O90" s="14"/>
      <c r="P90" s="14"/>
      <c r="Q90" s="14"/>
      <c r="R90" s="14"/>
    </row>
    <row r="91" spans="1:18" x14ac:dyDescent="0.3">
      <c r="A91" s="18">
        <v>1045</v>
      </c>
      <c r="B91" s="37">
        <v>2</v>
      </c>
      <c r="C91" s="14"/>
      <c r="D91" s="18">
        <v>1045</v>
      </c>
      <c r="E91" s="20">
        <v>8770</v>
      </c>
      <c r="F91" s="14"/>
      <c r="G91" s="14"/>
      <c r="H91" s="14"/>
      <c r="I91" s="14"/>
      <c r="J91" s="14"/>
      <c r="K91" s="14"/>
      <c r="L91" s="14"/>
      <c r="M91" s="14"/>
      <c r="N91" s="14"/>
      <c r="O91" s="14"/>
      <c r="P91" s="14"/>
      <c r="Q91" s="14"/>
      <c r="R91" s="14"/>
    </row>
    <row r="92" spans="1:18" x14ac:dyDescent="0.3">
      <c r="A92" s="18">
        <v>1046</v>
      </c>
      <c r="B92" s="37">
        <v>3</v>
      </c>
      <c r="C92" s="14"/>
      <c r="D92" s="18">
        <v>1046</v>
      </c>
      <c r="E92" s="20">
        <v>210354</v>
      </c>
      <c r="F92" s="14"/>
      <c r="G92" s="14"/>
      <c r="H92" s="14"/>
      <c r="I92" s="14"/>
      <c r="J92" s="14"/>
      <c r="K92" s="14"/>
      <c r="L92" s="14"/>
      <c r="M92" s="14"/>
      <c r="N92" s="14"/>
      <c r="O92" s="14"/>
      <c r="P92" s="14"/>
      <c r="Q92" s="14"/>
      <c r="R92" s="14"/>
    </row>
    <row r="93" spans="1:18" x14ac:dyDescent="0.3">
      <c r="A93" s="18">
        <v>1047</v>
      </c>
      <c r="B93" s="37">
        <v>3</v>
      </c>
      <c r="C93" s="14"/>
      <c r="D93" s="18">
        <v>1047</v>
      </c>
      <c r="E93" s="20">
        <v>8415</v>
      </c>
      <c r="F93" s="14"/>
      <c r="G93" s="14"/>
      <c r="H93" s="14"/>
      <c r="I93" s="14"/>
      <c r="J93" s="14"/>
      <c r="K93" s="14"/>
      <c r="L93" s="14"/>
      <c r="M93" s="14"/>
      <c r="N93" s="14"/>
      <c r="O93" s="14"/>
      <c r="P93" s="14"/>
      <c r="Q93" s="14"/>
      <c r="R93" s="14"/>
    </row>
    <row r="94" spans="1:18" x14ac:dyDescent="0.3">
      <c r="A94" s="18">
        <v>1048</v>
      </c>
      <c r="B94" s="37">
        <v>5</v>
      </c>
      <c r="C94" s="14"/>
      <c r="D94" s="18">
        <v>1048</v>
      </c>
      <c r="E94" s="20">
        <v>9890</v>
      </c>
      <c r="F94" s="14"/>
      <c r="G94" s="14"/>
      <c r="H94" s="14"/>
      <c r="I94" s="14"/>
      <c r="J94" s="14"/>
      <c r="K94" s="14"/>
      <c r="L94" s="14"/>
      <c r="M94" s="14"/>
      <c r="N94" s="14"/>
      <c r="O94" s="14"/>
      <c r="P94" s="14"/>
      <c r="Q94" s="14"/>
      <c r="R94" s="14"/>
    </row>
    <row r="95" spans="1:18" x14ac:dyDescent="0.3">
      <c r="A95" s="18">
        <v>1049</v>
      </c>
      <c r="B95" s="37">
        <v>4</v>
      </c>
      <c r="C95" s="14"/>
      <c r="D95" s="18">
        <v>1049</v>
      </c>
      <c r="E95" s="20">
        <v>114608</v>
      </c>
      <c r="F95" s="14"/>
      <c r="G95" s="14"/>
      <c r="H95" s="14"/>
      <c r="I95" s="14"/>
      <c r="J95" s="14"/>
      <c r="K95" s="14"/>
      <c r="L95" s="14"/>
      <c r="M95" s="14"/>
      <c r="N95" s="14"/>
      <c r="O95" s="14"/>
      <c r="P95" s="14"/>
      <c r="Q95" s="14"/>
      <c r="R95" s="14"/>
    </row>
    <row r="96" spans="1:18" x14ac:dyDescent="0.3">
      <c r="A96" s="18">
        <v>1050</v>
      </c>
      <c r="B96" s="37">
        <v>8</v>
      </c>
      <c r="C96" s="14"/>
      <c r="D96" s="18">
        <v>1050</v>
      </c>
      <c r="E96" s="20">
        <v>2400</v>
      </c>
      <c r="F96" s="14"/>
      <c r="G96" s="14"/>
      <c r="H96" s="14"/>
      <c r="I96" s="14"/>
      <c r="J96" s="14"/>
      <c r="K96" s="14"/>
      <c r="L96" s="14"/>
      <c r="M96" s="14"/>
      <c r="N96" s="14"/>
      <c r="O96" s="14"/>
      <c r="P96" s="14"/>
      <c r="Q96" s="14"/>
      <c r="R96" s="14"/>
    </row>
    <row r="97" spans="1:18" x14ac:dyDescent="0.3">
      <c r="A97" s="18">
        <v>1051</v>
      </c>
      <c r="B97" s="37">
        <v>2</v>
      </c>
      <c r="C97" s="14"/>
      <c r="D97" s="18">
        <v>1051</v>
      </c>
      <c r="E97" s="20">
        <v>219384</v>
      </c>
      <c r="F97" s="14"/>
      <c r="G97" s="14"/>
      <c r="H97" s="14"/>
      <c r="I97" s="14"/>
      <c r="J97" s="14"/>
      <c r="K97" s="14"/>
      <c r="L97" s="14"/>
      <c r="M97" s="14"/>
      <c r="N97" s="14"/>
      <c r="O97" s="14"/>
      <c r="P97" s="14"/>
      <c r="Q97" s="14"/>
      <c r="R97" s="14"/>
    </row>
    <row r="98" spans="1:18" x14ac:dyDescent="0.3">
      <c r="A98" s="18">
        <v>1052</v>
      </c>
      <c r="B98" s="37">
        <v>3</v>
      </c>
      <c r="C98" s="14"/>
      <c r="D98" s="18">
        <v>1052</v>
      </c>
      <c r="E98" s="20">
        <v>43695</v>
      </c>
      <c r="F98" s="14"/>
      <c r="G98" s="14"/>
      <c r="H98" s="14"/>
      <c r="I98" s="14"/>
      <c r="J98" s="14"/>
      <c r="K98" s="14"/>
      <c r="L98" s="14"/>
      <c r="M98" s="14"/>
      <c r="N98" s="14"/>
      <c r="O98" s="14"/>
      <c r="P98" s="14"/>
      <c r="Q98" s="14"/>
      <c r="R98" s="14"/>
    </row>
    <row r="99" spans="1:18" x14ac:dyDescent="0.3">
      <c r="A99" s="18">
        <v>1053</v>
      </c>
      <c r="B99" s="37">
        <v>5</v>
      </c>
      <c r="C99" s="14"/>
      <c r="D99" s="18">
        <v>1053</v>
      </c>
      <c r="E99" s="20">
        <v>25770</v>
      </c>
      <c r="F99" s="14"/>
      <c r="G99" s="14"/>
      <c r="H99" s="14"/>
      <c r="I99" s="14"/>
      <c r="J99" s="14"/>
      <c r="K99" s="14"/>
      <c r="L99" s="14"/>
      <c r="M99" s="14"/>
      <c r="N99" s="14"/>
      <c r="O99" s="14"/>
      <c r="P99" s="14"/>
      <c r="Q99" s="14"/>
      <c r="R99" s="14"/>
    </row>
    <row r="100" spans="1:18" x14ac:dyDescent="0.3">
      <c r="A100" s="18">
        <v>1054</v>
      </c>
      <c r="B100" s="37">
        <v>3</v>
      </c>
      <c r="C100" s="14"/>
      <c r="D100" s="18">
        <v>1054</v>
      </c>
      <c r="E100" s="20">
        <v>261225</v>
      </c>
      <c r="F100" s="14"/>
      <c r="G100" s="14"/>
      <c r="H100" s="14"/>
      <c r="I100" s="14"/>
      <c r="J100" s="14"/>
      <c r="K100" s="14"/>
      <c r="L100" s="14"/>
      <c r="M100" s="14"/>
      <c r="N100" s="14"/>
      <c r="O100" s="14"/>
      <c r="P100" s="14"/>
      <c r="Q100" s="14"/>
      <c r="R100" s="14"/>
    </row>
    <row r="101" spans="1:18" x14ac:dyDescent="0.3">
      <c r="A101" s="18">
        <v>1055</v>
      </c>
      <c r="B101" s="37">
        <v>5</v>
      </c>
      <c r="C101" s="14"/>
      <c r="D101" s="18">
        <v>1055</v>
      </c>
      <c r="E101" s="20">
        <v>9915</v>
      </c>
      <c r="F101" s="14"/>
      <c r="G101" s="14"/>
      <c r="H101" s="14"/>
      <c r="I101" s="14"/>
      <c r="J101" s="14"/>
      <c r="K101" s="14"/>
      <c r="L101" s="14"/>
      <c r="M101" s="14"/>
      <c r="N101" s="14"/>
      <c r="O101" s="14"/>
      <c r="P101" s="14"/>
      <c r="Q101" s="14"/>
      <c r="R101" s="14"/>
    </row>
    <row r="102" spans="1:18" x14ac:dyDescent="0.3">
      <c r="A102" s="18">
        <v>1056</v>
      </c>
      <c r="B102" s="37">
        <v>3</v>
      </c>
      <c r="C102" s="14"/>
      <c r="D102" s="18">
        <v>1056</v>
      </c>
      <c r="E102" s="20">
        <v>180450</v>
      </c>
      <c r="F102" s="14"/>
      <c r="G102" s="14"/>
      <c r="H102" s="14"/>
      <c r="I102" s="14"/>
      <c r="J102" s="14"/>
      <c r="K102" s="14"/>
      <c r="L102" s="14"/>
      <c r="M102" s="14"/>
      <c r="N102" s="14"/>
      <c r="O102" s="14"/>
      <c r="P102" s="14"/>
      <c r="Q102" s="14"/>
      <c r="R102" s="14"/>
    </row>
    <row r="103" spans="1:18" x14ac:dyDescent="0.3">
      <c r="A103" s="18">
        <v>1057</v>
      </c>
      <c r="B103" s="37">
        <v>3</v>
      </c>
      <c r="C103" s="14"/>
      <c r="D103" s="18">
        <v>1057</v>
      </c>
      <c r="E103" s="20">
        <v>3483</v>
      </c>
      <c r="F103" s="14"/>
      <c r="G103" s="14"/>
      <c r="H103" s="14"/>
      <c r="I103" s="14"/>
      <c r="J103" s="14"/>
      <c r="K103" s="14"/>
      <c r="L103" s="14"/>
      <c r="M103" s="14"/>
      <c r="N103" s="14"/>
      <c r="O103" s="14"/>
      <c r="P103" s="14"/>
      <c r="Q103" s="14"/>
      <c r="R103" s="14"/>
    </row>
    <row r="104" spans="1:18" x14ac:dyDescent="0.3">
      <c r="A104" s="18">
        <v>1058</v>
      </c>
      <c r="B104" s="37">
        <v>5</v>
      </c>
      <c r="C104" s="14"/>
      <c r="D104" s="18">
        <v>1058</v>
      </c>
      <c r="E104" s="20">
        <v>27100</v>
      </c>
      <c r="F104" s="14"/>
      <c r="G104" s="14"/>
      <c r="H104" s="14"/>
      <c r="I104" s="14"/>
      <c r="J104" s="14"/>
      <c r="K104" s="14"/>
      <c r="L104" s="14"/>
      <c r="M104" s="14"/>
      <c r="N104" s="14"/>
      <c r="O104" s="14"/>
      <c r="P104" s="14"/>
      <c r="Q104" s="14"/>
      <c r="R104" s="14"/>
    </row>
    <row r="105" spans="1:18" x14ac:dyDescent="0.3">
      <c r="A105" s="18">
        <v>1059</v>
      </c>
      <c r="B105" s="37">
        <v>7</v>
      </c>
      <c r="C105" s="14"/>
      <c r="D105" s="18">
        <v>1059</v>
      </c>
      <c r="E105" s="20">
        <v>80913</v>
      </c>
      <c r="F105" s="14"/>
      <c r="G105" s="14"/>
      <c r="H105" s="14"/>
      <c r="I105" s="14"/>
      <c r="J105" s="14"/>
      <c r="K105" s="14"/>
      <c r="L105" s="14"/>
      <c r="M105" s="14"/>
      <c r="N105" s="14"/>
      <c r="O105" s="14"/>
      <c r="P105" s="14"/>
      <c r="Q105" s="14"/>
      <c r="R105" s="14"/>
    </row>
    <row r="106" spans="1:18" x14ac:dyDescent="0.3">
      <c r="A106" s="18">
        <v>1060</v>
      </c>
      <c r="B106" s="37">
        <v>2</v>
      </c>
      <c r="C106" s="14"/>
      <c r="D106" s="18">
        <v>1060</v>
      </c>
      <c r="E106" s="20">
        <v>7170</v>
      </c>
      <c r="F106" s="14"/>
      <c r="G106" s="14"/>
      <c r="H106" s="14"/>
      <c r="I106" s="14"/>
      <c r="J106" s="14"/>
      <c r="K106" s="14"/>
      <c r="L106" s="14"/>
      <c r="M106" s="14"/>
      <c r="N106" s="14"/>
      <c r="O106" s="14"/>
      <c r="P106" s="14"/>
      <c r="Q106" s="14"/>
      <c r="R106" s="14"/>
    </row>
    <row r="107" spans="1:18" x14ac:dyDescent="0.3">
      <c r="A107" s="18">
        <v>1061</v>
      </c>
      <c r="B107" s="37">
        <v>4</v>
      </c>
      <c r="C107" s="14"/>
      <c r="D107" s="18">
        <v>1061</v>
      </c>
      <c r="E107" s="20">
        <v>412720</v>
      </c>
      <c r="F107" s="14"/>
      <c r="G107" s="14"/>
      <c r="H107" s="14"/>
      <c r="I107" s="14"/>
      <c r="J107" s="14"/>
      <c r="K107" s="14"/>
      <c r="L107" s="14"/>
      <c r="M107" s="14"/>
      <c r="N107" s="14"/>
      <c r="O107" s="14"/>
      <c r="P107" s="14"/>
      <c r="Q107" s="14"/>
      <c r="R107" s="14"/>
    </row>
    <row r="108" spans="1:18" x14ac:dyDescent="0.3">
      <c r="A108" s="18">
        <v>1062</v>
      </c>
      <c r="B108" s="37">
        <v>5</v>
      </c>
      <c r="C108" s="14"/>
      <c r="D108" s="18">
        <v>1062</v>
      </c>
      <c r="E108" s="20">
        <v>25550</v>
      </c>
      <c r="F108" s="14"/>
      <c r="G108" s="14"/>
      <c r="H108" s="14"/>
      <c r="I108" s="14"/>
      <c r="J108" s="14"/>
      <c r="K108" s="14"/>
      <c r="L108" s="14"/>
      <c r="M108" s="14"/>
      <c r="N108" s="14"/>
      <c r="O108" s="14"/>
      <c r="P108" s="14"/>
      <c r="Q108" s="14"/>
      <c r="R108" s="14"/>
    </row>
    <row r="109" spans="1:18" x14ac:dyDescent="0.3">
      <c r="A109" s="18">
        <v>1063</v>
      </c>
      <c r="B109" s="37">
        <v>4</v>
      </c>
      <c r="C109" s="14"/>
      <c r="D109" s="18">
        <v>1063</v>
      </c>
      <c r="E109" s="20">
        <v>43212</v>
      </c>
      <c r="F109" s="14"/>
      <c r="G109" s="14"/>
      <c r="H109" s="14"/>
      <c r="I109" s="14"/>
      <c r="J109" s="14"/>
      <c r="K109" s="14"/>
      <c r="L109" s="14"/>
      <c r="M109" s="14"/>
      <c r="N109" s="14"/>
      <c r="O109" s="14"/>
      <c r="P109" s="14"/>
      <c r="Q109" s="14"/>
      <c r="R109" s="14"/>
    </row>
    <row r="110" spans="1:18" x14ac:dyDescent="0.3">
      <c r="A110" s="18">
        <v>1064</v>
      </c>
      <c r="B110" s="37">
        <v>5</v>
      </c>
      <c r="C110" s="14"/>
      <c r="D110" s="18">
        <v>1064</v>
      </c>
      <c r="E110" s="20">
        <v>248100</v>
      </c>
      <c r="F110" s="14"/>
      <c r="G110" s="14"/>
      <c r="H110" s="14"/>
      <c r="I110" s="14"/>
      <c r="J110" s="14"/>
      <c r="K110" s="14"/>
      <c r="L110" s="14"/>
      <c r="M110" s="14"/>
      <c r="N110" s="14"/>
      <c r="O110" s="14"/>
      <c r="P110" s="14"/>
      <c r="Q110" s="14"/>
      <c r="R110" s="14"/>
    </row>
    <row r="111" spans="1:18" x14ac:dyDescent="0.3">
      <c r="A111" s="18">
        <v>1065</v>
      </c>
      <c r="B111" s="37">
        <v>5</v>
      </c>
      <c r="C111" s="14"/>
      <c r="D111" s="18">
        <v>1065</v>
      </c>
      <c r="E111" s="20">
        <v>12775</v>
      </c>
      <c r="F111" s="14"/>
      <c r="G111" s="14"/>
      <c r="H111" s="14"/>
      <c r="I111" s="14"/>
      <c r="J111" s="14"/>
      <c r="K111" s="14"/>
      <c r="L111" s="14"/>
      <c r="M111" s="14"/>
      <c r="N111" s="14"/>
      <c r="O111" s="14"/>
      <c r="P111" s="14"/>
      <c r="Q111" s="14"/>
      <c r="R111" s="14"/>
    </row>
    <row r="112" spans="1:18" x14ac:dyDescent="0.3">
      <c r="A112" s="18">
        <v>1066</v>
      </c>
      <c r="B112" s="37">
        <v>4</v>
      </c>
      <c r="C112" s="14"/>
      <c r="D112" s="18">
        <v>1066</v>
      </c>
      <c r="E112" s="20">
        <v>116988</v>
      </c>
      <c r="F112" s="14"/>
      <c r="G112" s="14"/>
      <c r="H112" s="14"/>
      <c r="I112" s="14"/>
      <c r="J112" s="14"/>
      <c r="K112" s="14"/>
      <c r="L112" s="14"/>
      <c r="M112" s="14"/>
      <c r="N112" s="14"/>
      <c r="O112" s="14"/>
      <c r="P112" s="14"/>
      <c r="Q112" s="14"/>
      <c r="R112" s="14"/>
    </row>
    <row r="113" spans="1:18" x14ac:dyDescent="0.3">
      <c r="A113" s="18">
        <v>1067</v>
      </c>
      <c r="B113" s="37">
        <v>2</v>
      </c>
      <c r="C113" s="14"/>
      <c r="D113" s="18">
        <v>1067</v>
      </c>
      <c r="E113" s="20">
        <v>5592</v>
      </c>
      <c r="F113" s="14"/>
      <c r="G113" s="14"/>
      <c r="H113" s="14"/>
      <c r="I113" s="14"/>
      <c r="J113" s="14"/>
      <c r="K113" s="14"/>
      <c r="L113" s="14"/>
      <c r="M113" s="14"/>
      <c r="N113" s="14"/>
      <c r="O113" s="14"/>
      <c r="P113" s="14"/>
      <c r="Q113" s="14"/>
      <c r="R113" s="14"/>
    </row>
    <row r="114" spans="1:18" x14ac:dyDescent="0.3">
      <c r="A114" s="18">
        <v>1068</v>
      </c>
      <c r="B114" s="37">
        <v>5</v>
      </c>
      <c r="C114" s="14"/>
      <c r="D114" s="18">
        <v>1068</v>
      </c>
      <c r="E114" s="20">
        <v>14150</v>
      </c>
      <c r="F114" s="14"/>
      <c r="G114" s="14"/>
      <c r="H114" s="14"/>
      <c r="I114" s="14"/>
      <c r="J114" s="14"/>
      <c r="K114" s="14"/>
      <c r="L114" s="14"/>
      <c r="M114" s="14"/>
      <c r="N114" s="14"/>
      <c r="O114" s="14"/>
      <c r="P114" s="14"/>
      <c r="Q114" s="14"/>
      <c r="R114" s="14"/>
    </row>
    <row r="115" spans="1:18" x14ac:dyDescent="0.3">
      <c r="A115" s="18">
        <v>1069</v>
      </c>
      <c r="B115" s="37">
        <v>4</v>
      </c>
      <c r="C115" s="14"/>
      <c r="D115" s="18">
        <v>1069</v>
      </c>
      <c r="E115" s="20">
        <v>22516</v>
      </c>
      <c r="F115" s="14"/>
      <c r="G115" s="14"/>
      <c r="H115" s="14"/>
      <c r="I115" s="14"/>
      <c r="J115" s="14"/>
      <c r="K115" s="14"/>
      <c r="L115" s="14"/>
      <c r="M115" s="14"/>
      <c r="N115" s="14"/>
      <c r="O115" s="14"/>
      <c r="P115" s="14"/>
      <c r="Q115" s="14"/>
      <c r="R115" s="14"/>
    </row>
    <row r="116" spans="1:18" x14ac:dyDescent="0.3">
      <c r="A116" s="18">
        <v>1070</v>
      </c>
      <c r="B116" s="37">
        <v>4</v>
      </c>
      <c r="C116" s="14"/>
      <c r="D116" s="18">
        <v>1070</v>
      </c>
      <c r="E116" s="20">
        <v>6948</v>
      </c>
      <c r="F116" s="14"/>
      <c r="G116" s="14"/>
      <c r="H116" s="14"/>
      <c r="I116" s="14"/>
      <c r="J116" s="14"/>
      <c r="K116" s="14"/>
      <c r="L116" s="14"/>
      <c r="M116" s="14"/>
      <c r="N116" s="14"/>
      <c r="O116" s="14"/>
      <c r="P116" s="14"/>
      <c r="Q116" s="14"/>
      <c r="R116" s="14"/>
    </row>
    <row r="117" spans="1:18" x14ac:dyDescent="0.3">
      <c r="A117" s="18">
        <v>1071</v>
      </c>
      <c r="B117" s="37">
        <v>2</v>
      </c>
      <c r="C117" s="14"/>
      <c r="D117" s="18">
        <v>1071</v>
      </c>
      <c r="E117" s="20">
        <v>235760</v>
      </c>
      <c r="F117" s="14"/>
      <c r="G117" s="14"/>
      <c r="H117" s="14"/>
      <c r="I117" s="14"/>
      <c r="J117" s="14"/>
      <c r="K117" s="14"/>
      <c r="L117" s="14"/>
      <c r="M117" s="14"/>
      <c r="N117" s="14"/>
      <c r="O117" s="14"/>
      <c r="P117" s="14"/>
      <c r="Q117" s="14"/>
      <c r="R117" s="14"/>
    </row>
    <row r="118" spans="1:18" x14ac:dyDescent="0.3">
      <c r="A118" s="18">
        <v>1072</v>
      </c>
      <c r="B118" s="37">
        <v>3</v>
      </c>
      <c r="C118" s="14"/>
      <c r="D118" s="18">
        <v>1072</v>
      </c>
      <c r="E118" s="20">
        <v>10845</v>
      </c>
      <c r="F118" s="14"/>
      <c r="G118" s="14"/>
      <c r="H118" s="14"/>
      <c r="I118" s="14"/>
      <c r="J118" s="14"/>
      <c r="K118" s="14"/>
      <c r="L118" s="14"/>
      <c r="M118" s="14"/>
      <c r="N118" s="14"/>
      <c r="O118" s="14"/>
      <c r="P118" s="14"/>
      <c r="Q118" s="14"/>
      <c r="R118" s="14"/>
    </row>
    <row r="119" spans="1:18" x14ac:dyDescent="0.3">
      <c r="A119" s="18">
        <v>1073</v>
      </c>
      <c r="B119" s="37">
        <v>2</v>
      </c>
      <c r="C119" s="14"/>
      <c r="D119" s="18">
        <v>1073</v>
      </c>
      <c r="E119" s="20">
        <v>20832</v>
      </c>
      <c r="F119" s="14"/>
      <c r="G119" s="14"/>
      <c r="H119" s="14"/>
      <c r="I119" s="14"/>
      <c r="J119" s="14"/>
      <c r="K119" s="14"/>
      <c r="L119" s="14"/>
      <c r="M119" s="14"/>
      <c r="N119" s="14"/>
      <c r="O119" s="14"/>
      <c r="P119" s="14"/>
      <c r="Q119" s="14"/>
      <c r="R119" s="14"/>
    </row>
    <row r="120" spans="1:18" x14ac:dyDescent="0.3">
      <c r="A120" s="18">
        <v>1074</v>
      </c>
      <c r="B120" s="37">
        <v>3</v>
      </c>
      <c r="C120" s="14"/>
      <c r="D120" s="18">
        <v>1074</v>
      </c>
      <c r="E120" s="20">
        <v>8928</v>
      </c>
      <c r="F120" s="14"/>
      <c r="G120" s="14"/>
      <c r="H120" s="14"/>
      <c r="I120" s="14"/>
      <c r="J120" s="14"/>
      <c r="K120" s="14"/>
      <c r="L120" s="14"/>
      <c r="M120" s="14"/>
      <c r="N120" s="14"/>
      <c r="O120" s="14"/>
      <c r="P120" s="14"/>
      <c r="Q120" s="14"/>
      <c r="R120" s="14"/>
    </row>
    <row r="121" spans="1:18" x14ac:dyDescent="0.3">
      <c r="A121" s="18">
        <v>1075</v>
      </c>
      <c r="B121" s="37">
        <v>5</v>
      </c>
      <c r="C121" s="14"/>
      <c r="D121" s="18">
        <v>1075</v>
      </c>
      <c r="E121" s="20">
        <v>5385</v>
      </c>
      <c r="F121" s="14"/>
      <c r="G121" s="14"/>
      <c r="H121" s="14"/>
      <c r="I121" s="14"/>
      <c r="J121" s="14"/>
      <c r="K121" s="14"/>
      <c r="L121" s="14"/>
      <c r="M121" s="14"/>
      <c r="N121" s="14"/>
      <c r="O121" s="14"/>
      <c r="P121" s="14"/>
      <c r="Q121" s="14"/>
      <c r="R121" s="14"/>
    </row>
    <row r="122" spans="1:18" x14ac:dyDescent="0.3">
      <c r="A122" s="18">
        <v>1076</v>
      </c>
      <c r="B122" s="37">
        <v>4</v>
      </c>
      <c r="C122" s="14"/>
      <c r="D122" s="18">
        <v>1076</v>
      </c>
      <c r="E122" s="20">
        <v>83100</v>
      </c>
      <c r="F122" s="14"/>
      <c r="G122" s="14"/>
      <c r="H122" s="14"/>
      <c r="I122" s="14"/>
      <c r="J122" s="14"/>
      <c r="K122" s="14"/>
      <c r="L122" s="14"/>
      <c r="M122" s="14"/>
      <c r="N122" s="14"/>
      <c r="O122" s="14"/>
      <c r="P122" s="14"/>
      <c r="Q122" s="14"/>
      <c r="R122" s="14"/>
    </row>
    <row r="123" spans="1:18" x14ac:dyDescent="0.3">
      <c r="A123" s="18">
        <v>1077</v>
      </c>
      <c r="B123" s="37">
        <v>2</v>
      </c>
      <c r="C123" s="14"/>
      <c r="D123" s="18">
        <v>1077</v>
      </c>
      <c r="E123" s="20">
        <v>7360</v>
      </c>
      <c r="F123" s="14"/>
      <c r="G123" s="14"/>
      <c r="H123" s="14"/>
      <c r="I123" s="14"/>
      <c r="J123" s="14"/>
      <c r="K123" s="14"/>
      <c r="L123" s="14"/>
      <c r="M123" s="14"/>
      <c r="N123" s="14"/>
      <c r="O123" s="14"/>
      <c r="P123" s="14"/>
      <c r="Q123" s="14"/>
      <c r="R123" s="14"/>
    </row>
    <row r="124" spans="1:18" x14ac:dyDescent="0.3">
      <c r="A124" s="18">
        <v>1078</v>
      </c>
      <c r="B124" s="37">
        <v>3</v>
      </c>
      <c r="C124" s="14"/>
      <c r="D124" s="18">
        <v>1078</v>
      </c>
      <c r="E124" s="20">
        <v>5442</v>
      </c>
      <c r="F124" s="14"/>
      <c r="G124" s="14"/>
      <c r="H124" s="14"/>
      <c r="I124" s="14"/>
      <c r="J124" s="14"/>
      <c r="K124" s="14"/>
      <c r="L124" s="14"/>
      <c r="M124" s="14"/>
      <c r="N124" s="14"/>
      <c r="O124" s="14"/>
      <c r="P124" s="14"/>
      <c r="Q124" s="14"/>
      <c r="R124" s="14"/>
    </row>
    <row r="125" spans="1:18" x14ac:dyDescent="0.3">
      <c r="A125" s="18">
        <v>1079</v>
      </c>
      <c r="B125" s="37">
        <v>7</v>
      </c>
      <c r="C125" s="14"/>
      <c r="D125" s="18">
        <v>1079</v>
      </c>
      <c r="E125" s="20">
        <v>93716</v>
      </c>
      <c r="F125" s="14"/>
      <c r="G125" s="14"/>
      <c r="H125" s="14"/>
      <c r="I125" s="14"/>
      <c r="J125" s="14"/>
      <c r="K125" s="14"/>
      <c r="L125" s="14"/>
      <c r="M125" s="14"/>
      <c r="N125" s="14"/>
      <c r="O125" s="14"/>
      <c r="P125" s="14"/>
      <c r="Q125" s="14"/>
      <c r="R125" s="14"/>
    </row>
    <row r="126" spans="1:18" x14ac:dyDescent="0.3">
      <c r="A126" s="18">
        <v>1080</v>
      </c>
      <c r="B126" s="37">
        <v>4</v>
      </c>
      <c r="C126" s="14"/>
      <c r="D126" s="18">
        <v>1080</v>
      </c>
      <c r="E126" s="20">
        <v>2976</v>
      </c>
      <c r="F126" s="14"/>
      <c r="G126" s="14"/>
      <c r="H126" s="14"/>
      <c r="I126" s="14"/>
      <c r="J126" s="14"/>
      <c r="K126" s="14"/>
      <c r="L126" s="14"/>
      <c r="M126" s="14"/>
      <c r="N126" s="14"/>
      <c r="O126" s="14"/>
      <c r="P126" s="14"/>
      <c r="Q126" s="14"/>
      <c r="R126" s="14"/>
    </row>
    <row r="127" spans="1:18" x14ac:dyDescent="0.3">
      <c r="A127" s="18">
        <v>1081</v>
      </c>
      <c r="B127" s="37">
        <v>3</v>
      </c>
      <c r="C127" s="14"/>
      <c r="D127" s="18">
        <v>1081</v>
      </c>
      <c r="E127" s="20">
        <v>133593</v>
      </c>
      <c r="F127" s="14"/>
      <c r="G127" s="14"/>
      <c r="H127" s="14"/>
      <c r="I127" s="14"/>
      <c r="J127" s="14"/>
      <c r="K127" s="14"/>
      <c r="L127" s="14"/>
      <c r="M127" s="14"/>
      <c r="N127" s="14"/>
      <c r="O127" s="14"/>
      <c r="P127" s="14"/>
      <c r="Q127" s="14"/>
      <c r="R127" s="14"/>
    </row>
    <row r="128" spans="1:18" x14ac:dyDescent="0.3">
      <c r="A128" s="18">
        <v>1082</v>
      </c>
      <c r="B128" s="37">
        <v>6</v>
      </c>
      <c r="C128" s="14"/>
      <c r="D128" s="18">
        <v>1082</v>
      </c>
      <c r="E128" s="20">
        <v>23556</v>
      </c>
      <c r="F128" s="14"/>
      <c r="G128" s="14"/>
      <c r="H128" s="14"/>
      <c r="I128" s="14"/>
      <c r="J128" s="14"/>
      <c r="K128" s="14"/>
      <c r="L128" s="14"/>
      <c r="M128" s="14"/>
      <c r="N128" s="14"/>
      <c r="O128" s="14"/>
      <c r="P128" s="14"/>
      <c r="Q128" s="14"/>
      <c r="R128" s="14"/>
    </row>
    <row r="129" spans="1:18" x14ac:dyDescent="0.3">
      <c r="A129" s="18">
        <v>1083</v>
      </c>
      <c r="B129" s="37">
        <v>6</v>
      </c>
      <c r="C129" s="14"/>
      <c r="D129" s="18">
        <v>1083</v>
      </c>
      <c r="E129" s="20">
        <v>14898</v>
      </c>
      <c r="F129" s="14"/>
      <c r="G129" s="14"/>
      <c r="H129" s="14"/>
      <c r="I129" s="14"/>
      <c r="J129" s="14"/>
      <c r="K129" s="14"/>
      <c r="L129" s="14"/>
      <c r="M129" s="14"/>
      <c r="N129" s="14"/>
      <c r="O129" s="14"/>
      <c r="P129" s="14"/>
      <c r="Q129" s="14"/>
      <c r="R129" s="14"/>
    </row>
    <row r="130" spans="1:18" x14ac:dyDescent="0.3">
      <c r="A130" s="18">
        <v>1084</v>
      </c>
      <c r="B130" s="37">
        <v>3</v>
      </c>
      <c r="C130" s="14"/>
      <c r="D130" s="18">
        <v>1084</v>
      </c>
      <c r="E130" s="20">
        <v>280155</v>
      </c>
      <c r="F130" s="14"/>
      <c r="G130" s="14"/>
      <c r="H130" s="14"/>
      <c r="I130" s="14"/>
      <c r="J130" s="14"/>
      <c r="K130" s="14"/>
      <c r="L130" s="14"/>
      <c r="M130" s="14"/>
      <c r="N130" s="14"/>
      <c r="O130" s="14"/>
      <c r="P130" s="14"/>
      <c r="Q130" s="14"/>
      <c r="R130" s="14"/>
    </row>
    <row r="131" spans="1:18" x14ac:dyDescent="0.3">
      <c r="A131" s="18">
        <v>1085</v>
      </c>
      <c r="B131" s="37">
        <v>4</v>
      </c>
      <c r="C131" s="14"/>
      <c r="D131" s="18">
        <v>1085</v>
      </c>
      <c r="E131" s="20">
        <v>2332</v>
      </c>
      <c r="F131" s="14"/>
      <c r="G131" s="14"/>
      <c r="H131" s="14"/>
      <c r="I131" s="14"/>
      <c r="J131" s="14"/>
      <c r="K131" s="14"/>
      <c r="L131" s="14"/>
      <c r="M131" s="14"/>
      <c r="N131" s="14"/>
      <c r="O131" s="14"/>
      <c r="P131" s="14"/>
      <c r="Q131" s="14"/>
      <c r="R131" s="14"/>
    </row>
    <row r="132" spans="1:18" x14ac:dyDescent="0.3">
      <c r="A132" s="18">
        <v>1086</v>
      </c>
      <c r="B132" s="37">
        <v>2</v>
      </c>
      <c r="C132" s="14"/>
      <c r="D132" s="18">
        <v>1086</v>
      </c>
      <c r="E132" s="20">
        <v>69550</v>
      </c>
      <c r="F132" s="14"/>
      <c r="G132" s="14"/>
      <c r="H132" s="14"/>
      <c r="I132" s="14"/>
      <c r="J132" s="14"/>
      <c r="K132" s="14"/>
      <c r="L132" s="14"/>
      <c r="M132" s="14"/>
      <c r="N132" s="14"/>
      <c r="O132" s="14"/>
      <c r="P132" s="14"/>
      <c r="Q132" s="14"/>
      <c r="R132" s="14"/>
    </row>
    <row r="133" spans="1:18" x14ac:dyDescent="0.3">
      <c r="A133" s="18">
        <v>1087</v>
      </c>
      <c r="B133" s="37">
        <v>2</v>
      </c>
      <c r="C133" s="14"/>
      <c r="D133" s="18">
        <v>1087</v>
      </c>
      <c r="E133" s="20">
        <v>3810</v>
      </c>
      <c r="F133" s="14"/>
      <c r="G133" s="14"/>
      <c r="H133" s="14"/>
      <c r="I133" s="14"/>
      <c r="J133" s="14"/>
      <c r="K133" s="14"/>
      <c r="L133" s="14"/>
      <c r="M133" s="14"/>
      <c r="N133" s="14"/>
      <c r="O133" s="14"/>
      <c r="P133" s="14"/>
      <c r="Q133" s="14"/>
      <c r="R133" s="14"/>
    </row>
    <row r="134" spans="1:18" x14ac:dyDescent="0.3">
      <c r="A134" s="18">
        <v>1088</v>
      </c>
      <c r="B134" s="37">
        <v>3</v>
      </c>
      <c r="C134" s="14"/>
      <c r="D134" s="18">
        <v>1088</v>
      </c>
      <c r="E134" s="20">
        <v>7905</v>
      </c>
      <c r="F134" s="14"/>
      <c r="G134" s="14"/>
      <c r="H134" s="14"/>
      <c r="I134" s="14"/>
      <c r="J134" s="14"/>
      <c r="K134" s="14"/>
      <c r="L134" s="14"/>
      <c r="M134" s="14"/>
      <c r="N134" s="14"/>
      <c r="O134" s="14"/>
      <c r="P134" s="14"/>
      <c r="Q134" s="14"/>
      <c r="R134" s="14"/>
    </row>
    <row r="135" spans="1:18" x14ac:dyDescent="0.3">
      <c r="A135" s="18">
        <v>1089</v>
      </c>
      <c r="B135" s="37">
        <v>3</v>
      </c>
      <c r="C135" s="14"/>
      <c r="D135" s="18">
        <v>1089</v>
      </c>
      <c r="E135" s="20">
        <v>19962</v>
      </c>
      <c r="F135" s="14"/>
      <c r="G135" s="14"/>
      <c r="H135" s="14"/>
      <c r="I135" s="14"/>
      <c r="J135" s="14"/>
      <c r="K135" s="14"/>
      <c r="L135" s="14"/>
      <c r="M135" s="14"/>
      <c r="N135" s="14"/>
      <c r="O135" s="14"/>
      <c r="P135" s="14"/>
      <c r="Q135" s="14"/>
      <c r="R135" s="14"/>
    </row>
    <row r="136" spans="1:18" x14ac:dyDescent="0.3">
      <c r="A136" s="18">
        <v>1090</v>
      </c>
      <c r="B136" s="37">
        <v>5</v>
      </c>
      <c r="C136" s="14"/>
      <c r="D136" s="18">
        <v>1090</v>
      </c>
      <c r="E136" s="20">
        <v>1915</v>
      </c>
      <c r="F136" s="14"/>
      <c r="G136" s="14"/>
      <c r="H136" s="14"/>
      <c r="I136" s="14"/>
      <c r="J136" s="14"/>
      <c r="K136" s="14"/>
      <c r="L136" s="14"/>
      <c r="M136" s="14"/>
      <c r="N136" s="14"/>
      <c r="O136" s="14"/>
      <c r="P136" s="14"/>
      <c r="Q136" s="14"/>
      <c r="R136" s="14"/>
    </row>
    <row r="137" spans="1:18" x14ac:dyDescent="0.3">
      <c r="A137" s="18">
        <v>1091</v>
      </c>
      <c r="B137" s="37">
        <v>8</v>
      </c>
      <c r="C137" s="14"/>
      <c r="D137" s="18">
        <v>1091</v>
      </c>
      <c r="E137" s="20">
        <v>489248</v>
      </c>
      <c r="F137" s="14"/>
      <c r="G137" s="14"/>
      <c r="H137" s="14"/>
      <c r="I137" s="14"/>
      <c r="J137" s="14"/>
      <c r="K137" s="14"/>
      <c r="L137" s="14"/>
      <c r="M137" s="14"/>
      <c r="N137" s="14"/>
      <c r="O137" s="14"/>
      <c r="P137" s="14"/>
      <c r="Q137" s="14"/>
      <c r="R137" s="14"/>
    </row>
    <row r="138" spans="1:18" x14ac:dyDescent="0.3">
      <c r="A138" s="18">
        <v>1092</v>
      </c>
      <c r="B138" s="37">
        <v>4</v>
      </c>
      <c r="C138" s="14"/>
      <c r="D138" s="18">
        <v>1092</v>
      </c>
      <c r="E138" s="20">
        <v>14428</v>
      </c>
      <c r="F138" s="14"/>
      <c r="G138" s="14"/>
      <c r="H138" s="14"/>
      <c r="I138" s="14"/>
      <c r="J138" s="14"/>
      <c r="K138" s="14"/>
      <c r="L138" s="14"/>
      <c r="M138" s="14"/>
      <c r="N138" s="14"/>
      <c r="O138" s="14"/>
      <c r="P138" s="14"/>
      <c r="Q138" s="14"/>
      <c r="R138" s="14"/>
    </row>
    <row r="139" spans="1:18" x14ac:dyDescent="0.3">
      <c r="A139" s="18">
        <v>1093</v>
      </c>
      <c r="B139" s="37">
        <v>3</v>
      </c>
      <c r="C139" s="14"/>
      <c r="D139" s="18">
        <v>1093</v>
      </c>
      <c r="E139" s="20">
        <v>27495</v>
      </c>
      <c r="F139" s="14"/>
      <c r="G139" s="14"/>
      <c r="H139" s="14"/>
      <c r="I139" s="14"/>
      <c r="J139" s="14"/>
      <c r="K139" s="14"/>
      <c r="L139" s="14"/>
      <c r="M139" s="14"/>
      <c r="N139" s="14"/>
      <c r="O139" s="14"/>
      <c r="P139" s="14"/>
      <c r="Q139" s="14"/>
      <c r="R139" s="14"/>
    </row>
    <row r="140" spans="1:18" x14ac:dyDescent="0.3">
      <c r="A140" s="18">
        <v>1094</v>
      </c>
      <c r="B140" s="37">
        <v>4</v>
      </c>
      <c r="C140" s="14"/>
      <c r="D140" s="18">
        <v>1094</v>
      </c>
      <c r="E140" s="20">
        <v>289696</v>
      </c>
      <c r="F140" s="14"/>
      <c r="G140" s="14"/>
      <c r="H140" s="14"/>
      <c r="I140" s="14"/>
      <c r="J140" s="14"/>
      <c r="K140" s="14"/>
      <c r="L140" s="14"/>
      <c r="M140" s="14"/>
      <c r="N140" s="14"/>
      <c r="O140" s="14"/>
      <c r="P140" s="14"/>
      <c r="Q140" s="14"/>
      <c r="R140" s="14"/>
    </row>
    <row r="141" spans="1:18" x14ac:dyDescent="0.3">
      <c r="A141" s="18">
        <v>1095</v>
      </c>
      <c r="B141" s="37">
        <v>2</v>
      </c>
      <c r="C141" s="14"/>
      <c r="D141" s="18">
        <v>1095</v>
      </c>
      <c r="E141" s="20">
        <v>1030</v>
      </c>
      <c r="F141" s="14"/>
      <c r="G141" s="14"/>
      <c r="H141" s="14"/>
      <c r="I141" s="14"/>
      <c r="J141" s="14"/>
      <c r="K141" s="14"/>
      <c r="L141" s="14"/>
      <c r="M141" s="14"/>
      <c r="N141" s="14"/>
      <c r="O141" s="14"/>
      <c r="P141" s="14"/>
      <c r="Q141" s="14"/>
      <c r="R141" s="14"/>
    </row>
    <row r="142" spans="1:18" x14ac:dyDescent="0.3">
      <c r="A142" s="18">
        <v>1096</v>
      </c>
      <c r="B142" s="37">
        <v>4</v>
      </c>
      <c r="C142" s="14"/>
      <c r="D142" s="18">
        <v>1096</v>
      </c>
      <c r="E142" s="20">
        <v>52868</v>
      </c>
      <c r="F142" s="14"/>
      <c r="G142" s="14"/>
      <c r="H142" s="14"/>
      <c r="I142" s="14"/>
      <c r="J142" s="14"/>
      <c r="K142" s="14"/>
      <c r="L142" s="14"/>
      <c r="M142" s="14"/>
      <c r="N142" s="14"/>
      <c r="O142" s="14"/>
      <c r="P142" s="14"/>
      <c r="Q142" s="14"/>
      <c r="R142" s="14"/>
    </row>
    <row r="143" spans="1:18" x14ac:dyDescent="0.3">
      <c r="A143" s="18">
        <v>1097</v>
      </c>
      <c r="B143" s="37">
        <v>4</v>
      </c>
      <c r="C143" s="14"/>
      <c r="D143" s="18">
        <v>1097</v>
      </c>
      <c r="E143" s="20">
        <v>4088</v>
      </c>
      <c r="F143" s="14"/>
      <c r="G143" s="14"/>
      <c r="H143" s="14"/>
      <c r="I143" s="14"/>
      <c r="J143" s="14"/>
      <c r="K143" s="14"/>
      <c r="L143" s="14"/>
      <c r="M143" s="14"/>
      <c r="N143" s="14"/>
      <c r="O143" s="14"/>
      <c r="P143" s="14"/>
      <c r="Q143" s="14"/>
      <c r="R143" s="14"/>
    </row>
    <row r="144" spans="1:18" x14ac:dyDescent="0.3">
      <c r="A144" s="18">
        <v>1098</v>
      </c>
      <c r="B144" s="37">
        <v>3</v>
      </c>
      <c r="C144" s="14"/>
      <c r="D144" s="18">
        <v>1098</v>
      </c>
      <c r="E144" s="20">
        <v>3078</v>
      </c>
      <c r="F144" s="14"/>
      <c r="G144" s="14"/>
      <c r="H144" s="14"/>
      <c r="I144" s="14"/>
      <c r="J144" s="14"/>
      <c r="K144" s="14"/>
      <c r="L144" s="14"/>
      <c r="M144" s="14"/>
      <c r="N144" s="14"/>
      <c r="O144" s="14"/>
      <c r="P144" s="14"/>
      <c r="Q144" s="14"/>
      <c r="R144" s="14"/>
    </row>
    <row r="145" spans="1:18" x14ac:dyDescent="0.3">
      <c r="A145" s="18">
        <v>1099</v>
      </c>
      <c r="B145" s="37">
        <v>4</v>
      </c>
      <c r="C145" s="14"/>
      <c r="D145" s="18">
        <v>1099</v>
      </c>
      <c r="E145" s="20">
        <v>50264</v>
      </c>
      <c r="F145" s="14"/>
      <c r="G145" s="14"/>
      <c r="H145" s="14"/>
      <c r="I145" s="14"/>
      <c r="J145" s="14"/>
      <c r="K145" s="14"/>
      <c r="L145" s="14"/>
      <c r="M145" s="14"/>
      <c r="N145" s="14"/>
      <c r="O145" s="14"/>
      <c r="P145" s="14"/>
      <c r="Q145" s="14"/>
      <c r="R145" s="14"/>
    </row>
    <row r="146" spans="1:18" x14ac:dyDescent="0.3">
      <c r="A146" s="18">
        <v>1100</v>
      </c>
      <c r="B146" s="37">
        <v>6</v>
      </c>
      <c r="C146" s="14"/>
      <c r="D146" s="18">
        <v>1100</v>
      </c>
      <c r="E146" s="20">
        <v>13248</v>
      </c>
      <c r="F146" s="14"/>
      <c r="G146" s="14"/>
      <c r="H146" s="14"/>
      <c r="I146" s="14"/>
      <c r="J146" s="14"/>
      <c r="K146" s="14"/>
      <c r="L146" s="14"/>
      <c r="M146" s="14"/>
      <c r="N146" s="14"/>
      <c r="O146" s="14"/>
      <c r="P146" s="14"/>
      <c r="Q146" s="14"/>
      <c r="R146" s="14"/>
    </row>
    <row r="147" spans="1:18" x14ac:dyDescent="0.3">
      <c r="A147" s="18">
        <v>1101</v>
      </c>
      <c r="B147" s="37">
        <v>3</v>
      </c>
      <c r="C147" s="14"/>
      <c r="D147" s="18">
        <v>1101</v>
      </c>
      <c r="E147" s="20">
        <v>169323</v>
      </c>
      <c r="F147" s="14"/>
      <c r="G147" s="14"/>
      <c r="H147" s="14"/>
      <c r="I147" s="14"/>
      <c r="J147" s="14"/>
      <c r="K147" s="14"/>
      <c r="L147" s="14"/>
      <c r="M147" s="14"/>
      <c r="N147" s="14"/>
      <c r="O147" s="14"/>
      <c r="P147" s="14"/>
      <c r="Q147" s="14"/>
      <c r="R147" s="14"/>
    </row>
    <row r="148" spans="1:18" x14ac:dyDescent="0.3">
      <c r="A148" s="18">
        <v>1102</v>
      </c>
      <c r="B148" s="37">
        <v>4</v>
      </c>
      <c r="C148" s="14"/>
      <c r="D148" s="18">
        <v>1102</v>
      </c>
      <c r="E148" s="20">
        <v>38664</v>
      </c>
      <c r="F148" s="14"/>
      <c r="G148" s="14"/>
      <c r="H148" s="14"/>
      <c r="I148" s="14"/>
      <c r="J148" s="14"/>
      <c r="K148" s="14"/>
      <c r="L148" s="14"/>
      <c r="M148" s="14"/>
      <c r="N148" s="14"/>
      <c r="O148" s="14"/>
      <c r="P148" s="14"/>
      <c r="Q148" s="14"/>
      <c r="R148" s="14"/>
    </row>
    <row r="149" spans="1:18" x14ac:dyDescent="0.3">
      <c r="A149" s="18">
        <v>1103</v>
      </c>
      <c r="B149" s="37">
        <v>8</v>
      </c>
      <c r="C149" s="14"/>
      <c r="D149" s="18">
        <v>1103</v>
      </c>
      <c r="E149" s="20">
        <v>10512</v>
      </c>
      <c r="F149" s="14"/>
      <c r="G149" s="14"/>
      <c r="H149" s="14"/>
      <c r="I149" s="14"/>
      <c r="J149" s="14"/>
      <c r="K149" s="14"/>
      <c r="L149" s="14"/>
      <c r="M149" s="14"/>
      <c r="N149" s="14"/>
      <c r="O149" s="14"/>
      <c r="P149" s="14"/>
      <c r="Q149" s="14"/>
      <c r="R149" s="14"/>
    </row>
    <row r="150" spans="1:18" x14ac:dyDescent="0.3">
      <c r="A150" s="18">
        <v>1104</v>
      </c>
      <c r="B150" s="37">
        <v>2</v>
      </c>
      <c r="C150" s="14"/>
      <c r="D150" s="18">
        <v>1104</v>
      </c>
      <c r="E150" s="20">
        <v>10402</v>
      </c>
      <c r="F150" s="14"/>
      <c r="G150" s="14"/>
      <c r="H150" s="14"/>
      <c r="I150" s="14"/>
      <c r="J150" s="14"/>
      <c r="K150" s="14"/>
      <c r="L150" s="14"/>
      <c r="M150" s="14"/>
      <c r="N150" s="14"/>
      <c r="O150" s="14"/>
      <c r="P150" s="14"/>
      <c r="Q150" s="14"/>
      <c r="R150" s="14"/>
    </row>
    <row r="151" spans="1:18" x14ac:dyDescent="0.3">
      <c r="A151" s="18">
        <v>1105</v>
      </c>
      <c r="B151" s="37">
        <v>6</v>
      </c>
      <c r="C151" s="14"/>
      <c r="D151" s="18">
        <v>1105</v>
      </c>
      <c r="E151" s="20">
        <v>5628</v>
      </c>
      <c r="F151" s="14"/>
      <c r="G151" s="14"/>
      <c r="H151" s="14"/>
      <c r="I151" s="14"/>
      <c r="J151" s="14"/>
      <c r="K151" s="14"/>
      <c r="L151" s="14"/>
      <c r="M151" s="14"/>
      <c r="N151" s="14"/>
      <c r="O151" s="14"/>
      <c r="P151" s="14"/>
      <c r="Q151" s="14"/>
      <c r="R151" s="14"/>
    </row>
    <row r="152" spans="1:18" x14ac:dyDescent="0.3">
      <c r="A152" s="18">
        <v>1106</v>
      </c>
      <c r="B152" s="37">
        <v>5</v>
      </c>
      <c r="C152" s="14"/>
      <c r="D152" s="18">
        <v>1106</v>
      </c>
      <c r="E152" s="20">
        <v>244480</v>
      </c>
      <c r="F152" s="14"/>
      <c r="G152" s="14"/>
      <c r="H152" s="14"/>
      <c r="I152" s="14"/>
      <c r="J152" s="14"/>
      <c r="K152" s="14"/>
      <c r="L152" s="14"/>
      <c r="M152" s="14"/>
      <c r="N152" s="14"/>
      <c r="O152" s="14"/>
      <c r="P152" s="14"/>
      <c r="Q152" s="14"/>
      <c r="R152" s="14"/>
    </row>
    <row r="153" spans="1:18" x14ac:dyDescent="0.3">
      <c r="A153" s="18">
        <v>1107</v>
      </c>
      <c r="B153" s="37">
        <v>2</v>
      </c>
      <c r="C153" s="14"/>
      <c r="D153" s="18">
        <v>1107</v>
      </c>
      <c r="E153" s="20">
        <v>2268</v>
      </c>
      <c r="F153" s="14"/>
      <c r="G153" s="14"/>
      <c r="H153" s="14"/>
      <c r="I153" s="14"/>
      <c r="J153" s="14"/>
      <c r="K153" s="14"/>
      <c r="L153" s="14"/>
      <c r="M153" s="14"/>
      <c r="N153" s="14"/>
      <c r="O153" s="14"/>
      <c r="P153" s="14"/>
      <c r="Q153" s="14"/>
      <c r="R153" s="14"/>
    </row>
    <row r="154" spans="1:18" x14ac:dyDescent="0.3">
      <c r="A154" s="18">
        <v>1108</v>
      </c>
      <c r="B154" s="37">
        <v>6</v>
      </c>
      <c r="C154" s="14"/>
      <c r="D154" s="18">
        <v>1108</v>
      </c>
      <c r="E154" s="20">
        <v>7860</v>
      </c>
      <c r="F154" s="14"/>
      <c r="G154" s="14"/>
      <c r="H154" s="14"/>
      <c r="I154" s="14"/>
      <c r="J154" s="14"/>
      <c r="K154" s="14"/>
      <c r="L154" s="14"/>
      <c r="M154" s="14"/>
      <c r="N154" s="14"/>
      <c r="O154" s="14"/>
      <c r="P154" s="14"/>
      <c r="Q154" s="14"/>
      <c r="R154" s="14"/>
    </row>
    <row r="155" spans="1:18" x14ac:dyDescent="0.3">
      <c r="A155" s="18">
        <v>1109</v>
      </c>
      <c r="B155" s="37">
        <v>3</v>
      </c>
      <c r="C155" s="14"/>
      <c r="D155" s="18">
        <v>1109</v>
      </c>
      <c r="E155" s="20">
        <v>16770</v>
      </c>
      <c r="F155" s="14"/>
      <c r="G155" s="14"/>
      <c r="H155" s="14"/>
      <c r="I155" s="14"/>
      <c r="J155" s="14"/>
      <c r="K155" s="14"/>
      <c r="L155" s="14"/>
      <c r="M155" s="14"/>
      <c r="N155" s="14"/>
      <c r="O155" s="14"/>
      <c r="P155" s="14"/>
      <c r="Q155" s="14"/>
      <c r="R155" s="14"/>
    </row>
    <row r="156" spans="1:18" x14ac:dyDescent="0.3">
      <c r="A156" s="18">
        <v>1110</v>
      </c>
      <c r="B156" s="37">
        <v>5</v>
      </c>
      <c r="C156" s="14"/>
      <c r="D156" s="18">
        <v>1110</v>
      </c>
      <c r="E156" s="20">
        <v>6075</v>
      </c>
      <c r="F156" s="14"/>
      <c r="G156" s="14"/>
      <c r="H156" s="14"/>
      <c r="I156" s="14"/>
      <c r="J156" s="14"/>
      <c r="K156" s="14"/>
      <c r="L156" s="14"/>
      <c r="M156" s="14"/>
      <c r="N156" s="14"/>
      <c r="O156" s="14"/>
      <c r="P156" s="14"/>
      <c r="Q156" s="14"/>
      <c r="R156" s="14"/>
    </row>
    <row r="157" spans="1:18" x14ac:dyDescent="0.3">
      <c r="A157" s="18">
        <v>1111</v>
      </c>
      <c r="B157" s="37">
        <v>4</v>
      </c>
      <c r="C157" s="14"/>
      <c r="D157" s="18">
        <v>1111</v>
      </c>
      <c r="E157" s="20">
        <v>207936</v>
      </c>
      <c r="F157" s="14"/>
      <c r="G157" s="14"/>
      <c r="H157" s="14"/>
      <c r="I157" s="14"/>
      <c r="J157" s="14"/>
      <c r="K157" s="14"/>
      <c r="L157" s="14"/>
      <c r="M157" s="14"/>
      <c r="N157" s="14"/>
      <c r="O157" s="14"/>
      <c r="P157" s="14"/>
      <c r="Q157" s="14"/>
      <c r="R157" s="14"/>
    </row>
    <row r="158" spans="1:18" x14ac:dyDescent="0.3">
      <c r="A158" s="18">
        <v>1112</v>
      </c>
      <c r="B158" s="37">
        <v>2</v>
      </c>
      <c r="C158" s="14"/>
      <c r="D158" s="18">
        <v>1112</v>
      </c>
      <c r="E158" s="20">
        <v>16596</v>
      </c>
      <c r="F158" s="14"/>
      <c r="G158" s="14"/>
      <c r="H158" s="14"/>
      <c r="I158" s="14"/>
      <c r="J158" s="14"/>
      <c r="K158" s="14"/>
      <c r="L158" s="14"/>
      <c r="M158" s="14"/>
      <c r="N158" s="14"/>
      <c r="O158" s="14"/>
      <c r="P158" s="14"/>
      <c r="Q158" s="14"/>
      <c r="R158" s="14"/>
    </row>
    <row r="159" spans="1:18" x14ac:dyDescent="0.3">
      <c r="A159" s="18">
        <v>1113</v>
      </c>
      <c r="B159" s="37">
        <v>4</v>
      </c>
      <c r="C159" s="14"/>
      <c r="D159" s="18">
        <v>1113</v>
      </c>
      <c r="E159" s="20">
        <v>31500</v>
      </c>
      <c r="F159" s="14"/>
      <c r="G159" s="14"/>
      <c r="H159" s="14"/>
      <c r="I159" s="14"/>
      <c r="J159" s="14"/>
      <c r="K159" s="14"/>
      <c r="L159" s="14"/>
      <c r="M159" s="14"/>
      <c r="N159" s="14"/>
      <c r="O159" s="14"/>
      <c r="P159" s="14"/>
      <c r="Q159" s="14"/>
      <c r="R159" s="14"/>
    </row>
    <row r="160" spans="1:18" x14ac:dyDescent="0.3">
      <c r="A160" s="18">
        <v>1114</v>
      </c>
      <c r="B160" s="37">
        <v>5</v>
      </c>
      <c r="C160" s="14"/>
      <c r="D160" s="18">
        <v>1114</v>
      </c>
      <c r="E160" s="20">
        <v>25730</v>
      </c>
      <c r="F160" s="14"/>
      <c r="G160" s="14"/>
      <c r="H160" s="14"/>
      <c r="I160" s="14"/>
      <c r="J160" s="14"/>
      <c r="K160" s="14"/>
      <c r="L160" s="14"/>
      <c r="M160" s="14"/>
      <c r="N160" s="14"/>
      <c r="O160" s="14"/>
      <c r="P160" s="14"/>
      <c r="Q160" s="14"/>
      <c r="R160" s="14"/>
    </row>
    <row r="161" spans="1:18" x14ac:dyDescent="0.3">
      <c r="A161" s="18">
        <v>1115</v>
      </c>
      <c r="B161" s="37">
        <v>2</v>
      </c>
      <c r="C161" s="14"/>
      <c r="D161" s="18">
        <v>1115</v>
      </c>
      <c r="E161" s="20">
        <v>3192</v>
      </c>
      <c r="F161" s="14"/>
      <c r="G161" s="14"/>
      <c r="H161" s="14"/>
      <c r="I161" s="14"/>
      <c r="J161" s="14"/>
      <c r="K161" s="14"/>
      <c r="L161" s="14"/>
      <c r="M161" s="14"/>
      <c r="N161" s="14"/>
      <c r="O161" s="14"/>
      <c r="P161" s="14"/>
      <c r="Q161" s="14"/>
      <c r="R161" s="14"/>
    </row>
    <row r="162" spans="1:18" x14ac:dyDescent="0.3">
      <c r="A162" s="18">
        <v>1116</v>
      </c>
      <c r="B162" s="37">
        <v>2</v>
      </c>
      <c r="C162" s="14"/>
      <c r="D162" s="18">
        <v>1116</v>
      </c>
      <c r="E162" s="20">
        <v>126068</v>
      </c>
      <c r="F162" s="14"/>
      <c r="G162" s="14"/>
      <c r="H162" s="14"/>
      <c r="I162" s="14"/>
      <c r="J162" s="14"/>
      <c r="K162" s="14"/>
      <c r="L162" s="14"/>
      <c r="M162" s="14"/>
      <c r="N162" s="14"/>
      <c r="O162" s="14"/>
      <c r="P162" s="14"/>
      <c r="Q162" s="14"/>
      <c r="R162" s="14"/>
    </row>
    <row r="163" spans="1:18" x14ac:dyDescent="0.3">
      <c r="A163" s="18">
        <v>1117</v>
      </c>
      <c r="B163" s="37">
        <v>4</v>
      </c>
      <c r="C163" s="14"/>
      <c r="D163" s="18">
        <v>1117</v>
      </c>
      <c r="E163" s="20">
        <v>1372</v>
      </c>
      <c r="F163" s="14"/>
      <c r="G163" s="14"/>
      <c r="H163" s="14"/>
      <c r="I163" s="14"/>
      <c r="J163" s="14"/>
      <c r="K163" s="14"/>
      <c r="L163" s="14"/>
      <c r="M163" s="14"/>
      <c r="N163" s="14"/>
      <c r="O163" s="14"/>
      <c r="P163" s="14"/>
      <c r="Q163" s="14"/>
      <c r="R163" s="14"/>
    </row>
    <row r="164" spans="1:18" x14ac:dyDescent="0.3">
      <c r="A164" s="18">
        <v>1118</v>
      </c>
      <c r="B164" s="37">
        <v>2</v>
      </c>
      <c r="C164" s="14"/>
      <c r="D164" s="18">
        <v>1118</v>
      </c>
      <c r="E164" s="20">
        <v>6126</v>
      </c>
      <c r="F164" s="14"/>
      <c r="G164" s="14"/>
      <c r="H164" s="14"/>
      <c r="I164" s="14"/>
      <c r="J164" s="14"/>
      <c r="K164" s="14"/>
      <c r="L164" s="14"/>
      <c r="M164" s="14"/>
      <c r="N164" s="14"/>
      <c r="O164" s="14"/>
      <c r="P164" s="14"/>
      <c r="Q164" s="14"/>
      <c r="R164" s="14"/>
    </row>
    <row r="165" spans="1:18" x14ac:dyDescent="0.3">
      <c r="A165" s="18">
        <v>1119</v>
      </c>
      <c r="B165" s="37">
        <v>5</v>
      </c>
      <c r="C165" s="14"/>
      <c r="D165" s="18">
        <v>1119</v>
      </c>
      <c r="E165" s="20">
        <v>42715</v>
      </c>
      <c r="F165" s="14"/>
      <c r="G165" s="14"/>
      <c r="H165" s="14"/>
      <c r="I165" s="14"/>
      <c r="J165" s="14"/>
      <c r="K165" s="14"/>
      <c r="L165" s="14"/>
      <c r="M165" s="14"/>
      <c r="N165" s="14"/>
      <c r="O165" s="14"/>
      <c r="P165" s="14"/>
      <c r="Q165" s="14"/>
      <c r="R165" s="14"/>
    </row>
    <row r="166" spans="1:18" x14ac:dyDescent="0.3">
      <c r="A166" s="18">
        <v>1120</v>
      </c>
      <c r="B166" s="37">
        <v>1</v>
      </c>
      <c r="C166" s="14"/>
      <c r="D166" s="18">
        <v>1120</v>
      </c>
      <c r="E166" s="20">
        <v>470</v>
      </c>
      <c r="F166" s="14"/>
      <c r="G166" s="14"/>
      <c r="H166" s="14"/>
      <c r="I166" s="14"/>
      <c r="J166" s="14"/>
      <c r="K166" s="14"/>
      <c r="L166" s="14"/>
      <c r="M166" s="14"/>
      <c r="N166" s="14"/>
      <c r="O166" s="14"/>
      <c r="P166" s="14"/>
      <c r="Q166" s="14"/>
      <c r="R166" s="14"/>
    </row>
    <row r="167" spans="1:18" x14ac:dyDescent="0.3">
      <c r="A167" s="18">
        <v>1121</v>
      </c>
      <c r="B167" s="37">
        <v>3</v>
      </c>
      <c r="C167" s="14"/>
      <c r="D167" s="18">
        <v>1121</v>
      </c>
      <c r="E167" s="20">
        <v>155520</v>
      </c>
      <c r="F167" s="14"/>
      <c r="G167" s="14"/>
      <c r="H167" s="14"/>
      <c r="I167" s="14"/>
      <c r="J167" s="14"/>
      <c r="K167" s="14"/>
      <c r="L167" s="14"/>
      <c r="M167" s="14"/>
      <c r="N167" s="14"/>
      <c r="O167" s="14"/>
      <c r="P167" s="14"/>
      <c r="Q167" s="14"/>
      <c r="R167" s="14"/>
    </row>
    <row r="168" spans="1:18" x14ac:dyDescent="0.3">
      <c r="A168" s="18">
        <v>1122</v>
      </c>
      <c r="B168" s="37">
        <v>6</v>
      </c>
      <c r="C168" s="14"/>
      <c r="D168" s="18">
        <v>1122</v>
      </c>
      <c r="E168" s="20">
        <v>53220</v>
      </c>
      <c r="F168" s="14"/>
      <c r="G168" s="14"/>
      <c r="H168" s="14"/>
      <c r="I168" s="14"/>
      <c r="J168" s="14"/>
      <c r="K168" s="14"/>
      <c r="L168" s="14"/>
      <c r="M168" s="14"/>
      <c r="N168" s="14"/>
      <c r="O168" s="14"/>
      <c r="P168" s="14"/>
      <c r="Q168" s="14"/>
      <c r="R168" s="14"/>
    </row>
    <row r="169" spans="1:18" x14ac:dyDescent="0.3">
      <c r="A169" s="18">
        <v>1123</v>
      </c>
      <c r="B169" s="37">
        <v>3</v>
      </c>
      <c r="C169" s="14"/>
      <c r="D169" s="18">
        <v>1123</v>
      </c>
      <c r="E169" s="20">
        <v>19242</v>
      </c>
      <c r="F169" s="14"/>
      <c r="G169" s="14"/>
      <c r="H169" s="14"/>
      <c r="I169" s="14"/>
      <c r="J169" s="14"/>
      <c r="K169" s="14"/>
      <c r="L169" s="14"/>
      <c r="M169" s="14"/>
      <c r="N169" s="14"/>
      <c r="O169" s="14"/>
      <c r="P169" s="14"/>
      <c r="Q169" s="14"/>
      <c r="R169" s="14"/>
    </row>
    <row r="170" spans="1:18" x14ac:dyDescent="0.3">
      <c r="A170" s="18">
        <v>1124</v>
      </c>
      <c r="B170" s="37">
        <v>3</v>
      </c>
      <c r="C170" s="14"/>
      <c r="D170" s="18">
        <v>1124</v>
      </c>
      <c r="E170" s="20">
        <v>81510</v>
      </c>
      <c r="F170" s="14"/>
      <c r="G170" s="14"/>
      <c r="H170" s="14"/>
      <c r="I170" s="14"/>
      <c r="J170" s="14"/>
      <c r="K170" s="14"/>
      <c r="L170" s="14"/>
      <c r="M170" s="14"/>
      <c r="N170" s="14"/>
      <c r="O170" s="14"/>
      <c r="P170" s="14"/>
      <c r="Q170" s="14"/>
      <c r="R170" s="14"/>
    </row>
    <row r="171" spans="1:18" x14ac:dyDescent="0.3">
      <c r="A171" s="18">
        <v>1125</v>
      </c>
      <c r="B171" s="37">
        <v>5</v>
      </c>
      <c r="C171" s="14"/>
      <c r="D171" s="18">
        <v>1125</v>
      </c>
      <c r="E171" s="20">
        <v>4805</v>
      </c>
      <c r="F171" s="14"/>
      <c r="G171" s="14"/>
      <c r="H171" s="14"/>
      <c r="I171" s="14"/>
      <c r="J171" s="14"/>
      <c r="K171" s="14"/>
      <c r="L171" s="14"/>
      <c r="M171" s="14"/>
      <c r="N171" s="14"/>
      <c r="O171" s="14"/>
      <c r="P171" s="14"/>
      <c r="Q171" s="14"/>
      <c r="R171" s="14"/>
    </row>
    <row r="172" spans="1:18" x14ac:dyDescent="0.3">
      <c r="A172" s="18">
        <v>1126</v>
      </c>
      <c r="B172" s="37">
        <v>5</v>
      </c>
      <c r="C172" s="14"/>
      <c r="D172" s="18">
        <v>1126</v>
      </c>
      <c r="E172" s="20">
        <v>288910</v>
      </c>
      <c r="F172" s="14"/>
      <c r="G172" s="14"/>
      <c r="H172" s="14"/>
      <c r="I172" s="14"/>
      <c r="J172" s="14"/>
      <c r="K172" s="14"/>
      <c r="L172" s="14"/>
      <c r="M172" s="14"/>
      <c r="N172" s="14"/>
      <c r="O172" s="14"/>
      <c r="P172" s="14"/>
      <c r="Q172" s="14"/>
      <c r="R172" s="14"/>
    </row>
    <row r="173" spans="1:18" x14ac:dyDescent="0.3">
      <c r="A173" s="18">
        <v>1127</v>
      </c>
      <c r="B173" s="37">
        <v>5</v>
      </c>
      <c r="C173" s="14"/>
      <c r="D173" s="18">
        <v>1127</v>
      </c>
      <c r="E173" s="20">
        <v>6495</v>
      </c>
      <c r="F173" s="14"/>
      <c r="G173" s="14"/>
      <c r="H173" s="14"/>
      <c r="I173" s="14"/>
      <c r="J173" s="14"/>
      <c r="K173" s="14"/>
      <c r="L173" s="14"/>
      <c r="M173" s="14"/>
      <c r="N173" s="14"/>
      <c r="O173" s="14"/>
      <c r="P173" s="14"/>
      <c r="Q173" s="14"/>
      <c r="R173" s="14"/>
    </row>
    <row r="174" spans="1:18" x14ac:dyDescent="0.3">
      <c r="A174" s="18">
        <v>1128</v>
      </c>
      <c r="B174" s="37">
        <v>3</v>
      </c>
      <c r="C174" s="14"/>
      <c r="D174" s="18">
        <v>1128</v>
      </c>
      <c r="E174" s="20">
        <v>5472</v>
      </c>
      <c r="F174" s="14"/>
      <c r="G174" s="14"/>
      <c r="H174" s="14"/>
      <c r="I174" s="14"/>
      <c r="J174" s="14"/>
      <c r="K174" s="14"/>
      <c r="L174" s="14"/>
      <c r="M174" s="14"/>
      <c r="N174" s="14"/>
      <c r="O174" s="14"/>
      <c r="P174" s="14"/>
      <c r="Q174" s="14"/>
      <c r="R174" s="14"/>
    </row>
    <row r="175" spans="1:18" x14ac:dyDescent="0.3">
      <c r="A175" s="18">
        <v>1129</v>
      </c>
      <c r="B175" s="37">
        <v>2</v>
      </c>
      <c r="C175" s="14"/>
      <c r="D175" s="18">
        <v>1129</v>
      </c>
      <c r="E175" s="20">
        <v>51168</v>
      </c>
      <c r="F175" s="14"/>
      <c r="G175" s="14"/>
      <c r="H175" s="14"/>
      <c r="I175" s="14"/>
      <c r="J175" s="14"/>
      <c r="K175" s="14"/>
      <c r="L175" s="14"/>
      <c r="M175" s="14"/>
      <c r="N175" s="14"/>
      <c r="O175" s="14"/>
      <c r="P175" s="14"/>
      <c r="Q175" s="14"/>
      <c r="R175" s="14"/>
    </row>
    <row r="176" spans="1:18" x14ac:dyDescent="0.3">
      <c r="A176" s="18">
        <v>1130</v>
      </c>
      <c r="B176" s="37">
        <v>3</v>
      </c>
      <c r="C176" s="14"/>
      <c r="D176" s="18">
        <v>1130</v>
      </c>
      <c r="E176" s="20">
        <v>1350</v>
      </c>
      <c r="F176" s="14"/>
      <c r="G176" s="14"/>
      <c r="H176" s="14"/>
      <c r="I176" s="14"/>
      <c r="J176" s="14"/>
      <c r="K176" s="14"/>
      <c r="L176" s="14"/>
      <c r="M176" s="14"/>
      <c r="N176" s="14"/>
      <c r="O176" s="14"/>
      <c r="P176" s="14"/>
      <c r="Q176" s="14"/>
      <c r="R176" s="14"/>
    </row>
    <row r="177" spans="1:18" x14ac:dyDescent="0.3">
      <c r="A177" s="18">
        <v>1131</v>
      </c>
      <c r="B177" s="37">
        <v>2</v>
      </c>
      <c r="C177" s="14"/>
      <c r="D177" s="18">
        <v>1131</v>
      </c>
      <c r="E177" s="20">
        <v>122518</v>
      </c>
      <c r="F177" s="14"/>
      <c r="G177" s="14"/>
      <c r="H177" s="14"/>
      <c r="I177" s="14"/>
      <c r="J177" s="14"/>
      <c r="K177" s="14"/>
      <c r="L177" s="14"/>
      <c r="M177" s="14"/>
      <c r="N177" s="14"/>
      <c r="O177" s="14"/>
      <c r="P177" s="14"/>
      <c r="Q177" s="14"/>
      <c r="R177" s="14"/>
    </row>
    <row r="178" spans="1:18" x14ac:dyDescent="0.3">
      <c r="A178" s="18">
        <v>1132</v>
      </c>
      <c r="B178" s="37">
        <v>3</v>
      </c>
      <c r="C178" s="14"/>
      <c r="D178" s="18">
        <v>1132</v>
      </c>
      <c r="E178" s="20">
        <v>8994</v>
      </c>
      <c r="F178" s="14"/>
      <c r="G178" s="14"/>
      <c r="H178" s="14"/>
      <c r="I178" s="14"/>
      <c r="J178" s="14"/>
      <c r="K178" s="14"/>
      <c r="L178" s="14"/>
      <c r="M178" s="14"/>
      <c r="N178" s="14"/>
      <c r="O178" s="14"/>
      <c r="P178" s="14"/>
      <c r="Q178" s="14"/>
      <c r="R178" s="14"/>
    </row>
    <row r="179" spans="1:18" x14ac:dyDescent="0.3">
      <c r="A179" s="18">
        <v>1133</v>
      </c>
      <c r="B179" s="37">
        <v>4</v>
      </c>
      <c r="C179" s="14"/>
      <c r="D179" s="18">
        <v>1133</v>
      </c>
      <c r="E179" s="20">
        <v>20184</v>
      </c>
      <c r="F179" s="14"/>
      <c r="G179" s="14"/>
      <c r="H179" s="14"/>
      <c r="I179" s="14"/>
      <c r="J179" s="14"/>
      <c r="K179" s="14"/>
      <c r="L179" s="14"/>
      <c r="M179" s="14"/>
      <c r="N179" s="14"/>
      <c r="O179" s="14"/>
      <c r="P179" s="14"/>
      <c r="Q179" s="14"/>
      <c r="R179" s="14"/>
    </row>
    <row r="180" spans="1:18" x14ac:dyDescent="0.3">
      <c r="A180" s="18">
        <v>1134</v>
      </c>
      <c r="B180" s="37">
        <v>4</v>
      </c>
      <c r="C180" s="14"/>
      <c r="D180" s="18">
        <v>1134</v>
      </c>
      <c r="E180" s="20">
        <v>50304</v>
      </c>
      <c r="F180" s="14"/>
      <c r="G180" s="14"/>
      <c r="H180" s="14"/>
      <c r="I180" s="14"/>
      <c r="J180" s="14"/>
      <c r="K180" s="14"/>
      <c r="L180" s="14"/>
      <c r="M180" s="14"/>
      <c r="N180" s="14"/>
      <c r="O180" s="14"/>
      <c r="P180" s="14"/>
      <c r="Q180" s="14"/>
      <c r="R180" s="14"/>
    </row>
    <row r="181" spans="1:18" x14ac:dyDescent="0.3">
      <c r="A181" s="18">
        <v>1135</v>
      </c>
      <c r="B181" s="37">
        <v>5</v>
      </c>
      <c r="C181" s="14"/>
      <c r="D181" s="18">
        <v>1135</v>
      </c>
      <c r="E181" s="20">
        <v>3700</v>
      </c>
      <c r="F181" s="14"/>
      <c r="G181" s="14"/>
      <c r="H181" s="14"/>
      <c r="I181" s="14"/>
      <c r="J181" s="14"/>
      <c r="K181" s="14"/>
      <c r="L181" s="14"/>
      <c r="M181" s="14"/>
      <c r="N181" s="14"/>
      <c r="O181" s="14"/>
      <c r="P181" s="14"/>
      <c r="Q181" s="14"/>
      <c r="R181" s="14"/>
    </row>
    <row r="182" spans="1:18" x14ac:dyDescent="0.3">
      <c r="A182" s="18">
        <v>1136</v>
      </c>
      <c r="B182" s="37">
        <v>4</v>
      </c>
      <c r="C182" s="14"/>
      <c r="D182" s="18">
        <v>1136</v>
      </c>
      <c r="E182" s="20">
        <v>309520</v>
      </c>
      <c r="F182" s="14"/>
      <c r="G182" s="14"/>
      <c r="H182" s="14"/>
      <c r="I182" s="14"/>
      <c r="J182" s="14"/>
      <c r="K182" s="14"/>
      <c r="L182" s="14"/>
      <c r="M182" s="14"/>
      <c r="N182" s="14"/>
      <c r="O182" s="14"/>
      <c r="P182" s="14"/>
      <c r="Q182" s="14"/>
      <c r="R182" s="14"/>
    </row>
    <row r="183" spans="1:18" x14ac:dyDescent="0.3">
      <c r="A183" s="18">
        <v>1137</v>
      </c>
      <c r="B183" s="37">
        <v>4</v>
      </c>
      <c r="C183" s="14"/>
      <c r="D183" s="18">
        <v>1137</v>
      </c>
      <c r="E183" s="20">
        <v>1236</v>
      </c>
      <c r="F183" s="14"/>
      <c r="G183" s="14"/>
      <c r="H183" s="14"/>
      <c r="I183" s="14"/>
      <c r="J183" s="14"/>
      <c r="K183" s="14"/>
      <c r="L183" s="14"/>
      <c r="M183" s="14"/>
      <c r="N183" s="14"/>
      <c r="O183" s="14"/>
      <c r="P183" s="14"/>
      <c r="Q183" s="14"/>
      <c r="R183" s="14"/>
    </row>
    <row r="184" spans="1:18" x14ac:dyDescent="0.3">
      <c r="A184" s="18">
        <v>1138</v>
      </c>
      <c r="B184" s="37">
        <v>4</v>
      </c>
      <c r="C184" s="14"/>
      <c r="D184" s="18">
        <v>1138</v>
      </c>
      <c r="E184" s="20">
        <v>20040</v>
      </c>
      <c r="F184" s="14"/>
      <c r="G184" s="14"/>
      <c r="H184" s="14"/>
      <c r="I184" s="14"/>
      <c r="J184" s="14"/>
      <c r="K184" s="14"/>
      <c r="L184" s="14"/>
      <c r="M184" s="14"/>
      <c r="N184" s="14"/>
      <c r="O184" s="14"/>
      <c r="P184" s="14"/>
      <c r="Q184" s="14"/>
      <c r="R184" s="14"/>
    </row>
    <row r="185" spans="1:18" x14ac:dyDescent="0.3">
      <c r="A185" s="18">
        <v>1139</v>
      </c>
      <c r="B185" s="37">
        <v>4</v>
      </c>
      <c r="C185" s="14"/>
      <c r="D185" s="18">
        <v>1139</v>
      </c>
      <c r="E185" s="20">
        <v>55632</v>
      </c>
      <c r="F185" s="14"/>
      <c r="G185" s="14"/>
      <c r="H185" s="14"/>
      <c r="I185" s="14"/>
      <c r="J185" s="14"/>
      <c r="K185" s="14"/>
      <c r="L185" s="14"/>
      <c r="M185" s="14"/>
      <c r="N185" s="14"/>
      <c r="O185" s="14"/>
      <c r="P185" s="14"/>
      <c r="Q185" s="14"/>
      <c r="R185" s="14"/>
    </row>
    <row r="186" spans="1:18" x14ac:dyDescent="0.3">
      <c r="A186" s="18">
        <v>1140</v>
      </c>
      <c r="B186" s="37">
        <v>4</v>
      </c>
      <c r="C186" s="14"/>
      <c r="D186" s="18">
        <v>1140</v>
      </c>
      <c r="E186" s="20">
        <v>2476</v>
      </c>
      <c r="F186" s="14"/>
      <c r="G186" s="14"/>
      <c r="H186" s="14"/>
      <c r="I186" s="14"/>
      <c r="J186" s="14"/>
      <c r="K186" s="14"/>
      <c r="L186" s="14"/>
      <c r="M186" s="14"/>
      <c r="N186" s="14"/>
      <c r="O186" s="14"/>
      <c r="P186" s="14"/>
      <c r="Q186" s="14"/>
      <c r="R186" s="14"/>
    </row>
    <row r="187" spans="1:18" x14ac:dyDescent="0.3">
      <c r="A187" s="18">
        <v>1141</v>
      </c>
      <c r="B187" s="37">
        <v>2</v>
      </c>
      <c r="C187" s="14"/>
      <c r="D187" s="18">
        <v>1141</v>
      </c>
      <c r="E187" s="20">
        <v>117322</v>
      </c>
      <c r="F187" s="14"/>
      <c r="G187" s="14"/>
      <c r="H187" s="14"/>
      <c r="I187" s="14"/>
      <c r="J187" s="14"/>
      <c r="K187" s="14"/>
      <c r="L187" s="14"/>
      <c r="M187" s="14"/>
      <c r="N187" s="14"/>
      <c r="O187" s="14"/>
      <c r="P187" s="14"/>
      <c r="Q187" s="14"/>
      <c r="R187" s="14"/>
    </row>
    <row r="188" spans="1:18" x14ac:dyDescent="0.3">
      <c r="A188" s="18">
        <v>1142</v>
      </c>
      <c r="B188" s="37">
        <v>5</v>
      </c>
      <c r="C188" s="14"/>
      <c r="D188" s="18">
        <v>1142</v>
      </c>
      <c r="E188" s="20">
        <v>51615</v>
      </c>
      <c r="F188" s="14"/>
      <c r="G188" s="14"/>
      <c r="H188" s="14"/>
      <c r="I188" s="14"/>
      <c r="J188" s="14"/>
      <c r="K188" s="14"/>
      <c r="L188" s="14"/>
      <c r="M188" s="14"/>
      <c r="N188" s="14"/>
      <c r="O188" s="14"/>
      <c r="P188" s="14"/>
      <c r="Q188" s="14"/>
      <c r="R188" s="14"/>
    </row>
    <row r="189" spans="1:18" x14ac:dyDescent="0.3">
      <c r="A189" s="18">
        <v>1143</v>
      </c>
      <c r="B189" s="37">
        <v>5</v>
      </c>
      <c r="C189" s="14"/>
      <c r="D189" s="18">
        <v>1143</v>
      </c>
      <c r="E189" s="20">
        <v>45030</v>
      </c>
      <c r="F189" s="14"/>
      <c r="G189" s="14"/>
      <c r="H189" s="14"/>
      <c r="I189" s="14"/>
      <c r="J189" s="14"/>
      <c r="K189" s="14"/>
      <c r="L189" s="14"/>
      <c r="M189" s="14"/>
      <c r="N189" s="14"/>
      <c r="O189" s="14"/>
      <c r="P189" s="14"/>
      <c r="Q189" s="14"/>
      <c r="R189" s="14"/>
    </row>
    <row r="190" spans="1:18" x14ac:dyDescent="0.3">
      <c r="A190" s="18">
        <v>1144</v>
      </c>
      <c r="B190" s="37">
        <v>2</v>
      </c>
      <c r="C190" s="14"/>
      <c r="D190" s="18">
        <v>1144</v>
      </c>
      <c r="E190" s="20">
        <v>108350</v>
      </c>
      <c r="F190" s="14"/>
      <c r="G190" s="14"/>
      <c r="H190" s="14"/>
      <c r="I190" s="14"/>
      <c r="J190" s="14"/>
      <c r="K190" s="14"/>
      <c r="L190" s="14"/>
      <c r="M190" s="14"/>
      <c r="N190" s="14"/>
      <c r="O190" s="14"/>
      <c r="P190" s="14"/>
      <c r="Q190" s="14"/>
      <c r="R190" s="14"/>
    </row>
    <row r="191" spans="1:18" x14ac:dyDescent="0.3">
      <c r="A191" s="18">
        <v>1145</v>
      </c>
      <c r="B191" s="37">
        <v>4</v>
      </c>
      <c r="C191" s="14"/>
      <c r="D191" s="18">
        <v>1145</v>
      </c>
      <c r="E191" s="20">
        <v>2672</v>
      </c>
      <c r="F191" s="14"/>
      <c r="G191" s="14"/>
      <c r="H191" s="14"/>
      <c r="I191" s="14"/>
      <c r="J191" s="14"/>
      <c r="K191" s="14"/>
      <c r="L191" s="14"/>
      <c r="M191" s="14"/>
      <c r="N191" s="14"/>
      <c r="O191" s="14"/>
      <c r="P191" s="14"/>
      <c r="Q191" s="14"/>
      <c r="R191" s="14"/>
    </row>
    <row r="192" spans="1:18" x14ac:dyDescent="0.3">
      <c r="A192" s="18">
        <v>1146</v>
      </c>
      <c r="B192" s="37">
        <v>3</v>
      </c>
      <c r="C192" s="14"/>
      <c r="D192" s="18">
        <v>1146</v>
      </c>
      <c r="E192" s="20">
        <v>89952</v>
      </c>
      <c r="F192" s="14"/>
      <c r="G192" s="14"/>
      <c r="H192" s="14"/>
      <c r="I192" s="14"/>
      <c r="J192" s="14"/>
      <c r="K192" s="14"/>
      <c r="L192" s="14"/>
      <c r="M192" s="14"/>
      <c r="N192" s="14"/>
      <c r="O192" s="14"/>
      <c r="P192" s="14"/>
      <c r="Q192" s="14"/>
      <c r="R192" s="14"/>
    </row>
    <row r="193" spans="1:18" x14ac:dyDescent="0.3">
      <c r="A193" s="18">
        <v>1147</v>
      </c>
      <c r="B193" s="37">
        <v>6</v>
      </c>
      <c r="C193" s="14"/>
      <c r="D193" s="18">
        <v>1147</v>
      </c>
      <c r="E193" s="20">
        <v>6930</v>
      </c>
      <c r="F193" s="14"/>
      <c r="G193" s="14"/>
      <c r="H193" s="14"/>
      <c r="I193" s="14"/>
      <c r="J193" s="14"/>
      <c r="K193" s="14"/>
      <c r="L193" s="14"/>
      <c r="M193" s="14"/>
      <c r="N193" s="14"/>
      <c r="O193" s="14"/>
      <c r="P193" s="14"/>
      <c r="Q193" s="14"/>
      <c r="R193" s="14"/>
    </row>
    <row r="194" spans="1:18" x14ac:dyDescent="0.3">
      <c r="A194" s="18">
        <v>1148</v>
      </c>
      <c r="B194" s="37">
        <v>2</v>
      </c>
      <c r="C194" s="14"/>
      <c r="D194" s="18">
        <v>1148</v>
      </c>
      <c r="E194" s="20">
        <v>2392</v>
      </c>
      <c r="F194" s="14"/>
      <c r="G194" s="14"/>
      <c r="H194" s="14"/>
      <c r="I194" s="14"/>
      <c r="J194" s="14"/>
      <c r="K194" s="14"/>
      <c r="L194" s="14"/>
      <c r="M194" s="14"/>
      <c r="N194" s="14"/>
      <c r="O194" s="14"/>
      <c r="P194" s="14"/>
      <c r="Q194" s="14"/>
      <c r="R194" s="14"/>
    </row>
    <row r="195" spans="1:18" x14ac:dyDescent="0.3">
      <c r="A195" s="18">
        <v>1149</v>
      </c>
      <c r="B195" s="37">
        <v>3</v>
      </c>
      <c r="C195" s="14"/>
      <c r="D195" s="18">
        <v>1149</v>
      </c>
      <c r="E195" s="20">
        <v>28596</v>
      </c>
      <c r="F195" s="14"/>
      <c r="G195" s="14"/>
      <c r="H195" s="14"/>
      <c r="I195" s="14"/>
      <c r="J195" s="14"/>
      <c r="K195" s="14"/>
      <c r="L195" s="14"/>
      <c r="M195" s="14"/>
      <c r="N195" s="14"/>
      <c r="O195" s="14"/>
      <c r="P195" s="14"/>
      <c r="Q195" s="14"/>
      <c r="R195" s="14"/>
    </row>
    <row r="196" spans="1:18" x14ac:dyDescent="0.3">
      <c r="A196" s="18">
        <v>1150</v>
      </c>
      <c r="B196" s="37">
        <v>7</v>
      </c>
      <c r="C196" s="14"/>
      <c r="D196" s="18">
        <v>1150</v>
      </c>
      <c r="E196" s="20">
        <v>8876</v>
      </c>
      <c r="F196" s="14"/>
      <c r="G196" s="14"/>
      <c r="H196" s="14"/>
      <c r="I196" s="14"/>
      <c r="J196" s="14"/>
      <c r="K196" s="14"/>
      <c r="L196" s="14"/>
      <c r="M196" s="14"/>
      <c r="N196" s="14"/>
      <c r="O196" s="14"/>
      <c r="P196" s="14"/>
      <c r="Q196" s="14"/>
      <c r="R196" s="14"/>
    </row>
    <row r="197" spans="1:18" x14ac:dyDescent="0.3">
      <c r="A197" s="18">
        <v>1151</v>
      </c>
      <c r="B197" s="37">
        <v>5</v>
      </c>
      <c r="C197" s="14"/>
      <c r="D197" s="18">
        <v>1151</v>
      </c>
      <c r="E197" s="20">
        <v>597350</v>
      </c>
      <c r="F197" s="14"/>
      <c r="G197" s="14"/>
      <c r="H197" s="14"/>
      <c r="I197" s="14"/>
      <c r="J197" s="14"/>
      <c r="K197" s="14"/>
      <c r="L197" s="14"/>
      <c r="M197" s="14"/>
      <c r="N197" s="14"/>
      <c r="O197" s="14"/>
      <c r="P197" s="14"/>
      <c r="Q197" s="14"/>
      <c r="R197" s="14"/>
    </row>
    <row r="198" spans="1:18" x14ac:dyDescent="0.3">
      <c r="A198" s="18">
        <v>1152</v>
      </c>
      <c r="B198" s="37">
        <v>5</v>
      </c>
      <c r="C198" s="14"/>
      <c r="D198" s="18">
        <v>1152</v>
      </c>
      <c r="E198" s="20">
        <v>39500</v>
      </c>
      <c r="F198" s="14"/>
      <c r="G198" s="14"/>
      <c r="H198" s="14"/>
      <c r="I198" s="14"/>
      <c r="J198" s="14"/>
      <c r="K198" s="14"/>
      <c r="L198" s="14"/>
      <c r="M198" s="14"/>
      <c r="N198" s="14"/>
      <c r="O198" s="14"/>
      <c r="P198" s="14"/>
      <c r="Q198" s="14"/>
      <c r="R198" s="14"/>
    </row>
    <row r="199" spans="1:18" x14ac:dyDescent="0.3">
      <c r="A199" s="18">
        <v>1153</v>
      </c>
      <c r="B199" s="37">
        <v>2</v>
      </c>
      <c r="C199" s="14"/>
      <c r="D199" s="18">
        <v>1153</v>
      </c>
      <c r="E199" s="20">
        <v>13052</v>
      </c>
      <c r="F199" s="14"/>
      <c r="G199" s="14"/>
      <c r="H199" s="14"/>
      <c r="I199" s="14"/>
      <c r="J199" s="14"/>
      <c r="K199" s="14"/>
      <c r="L199" s="14"/>
      <c r="M199" s="14"/>
      <c r="N199" s="14"/>
      <c r="O199" s="14"/>
      <c r="P199" s="14"/>
      <c r="Q199" s="14"/>
      <c r="R199" s="14"/>
    </row>
    <row r="200" spans="1:18" x14ac:dyDescent="0.3">
      <c r="A200" s="18">
        <v>1154</v>
      </c>
      <c r="B200" s="37">
        <v>5</v>
      </c>
      <c r="C200" s="14"/>
      <c r="D200" s="18">
        <v>1154</v>
      </c>
      <c r="E200" s="20">
        <v>170280</v>
      </c>
      <c r="F200" s="14"/>
      <c r="G200" s="14"/>
      <c r="H200" s="14"/>
      <c r="I200" s="14"/>
      <c r="J200" s="14"/>
      <c r="K200" s="14"/>
      <c r="L200" s="14"/>
      <c r="M200" s="14"/>
      <c r="N200" s="14"/>
      <c r="O200" s="14"/>
      <c r="P200" s="14"/>
      <c r="Q200" s="14"/>
      <c r="R200" s="14"/>
    </row>
    <row r="201" spans="1:18" x14ac:dyDescent="0.3">
      <c r="A201" s="18">
        <v>1155</v>
      </c>
      <c r="B201" s="37">
        <v>5</v>
      </c>
      <c r="C201" s="14"/>
      <c r="D201" s="18">
        <v>1155</v>
      </c>
      <c r="E201" s="20">
        <v>1720</v>
      </c>
      <c r="F201" s="14"/>
      <c r="G201" s="14"/>
      <c r="H201" s="14"/>
      <c r="I201" s="14"/>
      <c r="J201" s="14"/>
      <c r="K201" s="14"/>
      <c r="L201" s="14"/>
      <c r="M201" s="14"/>
      <c r="N201" s="14"/>
      <c r="O201" s="14"/>
      <c r="P201" s="14"/>
      <c r="Q201" s="14"/>
      <c r="R201" s="14"/>
    </row>
    <row r="202" spans="1:18" x14ac:dyDescent="0.3">
      <c r="A202" s="18">
        <v>1156</v>
      </c>
      <c r="B202" s="37">
        <v>4</v>
      </c>
      <c r="C202" s="14"/>
      <c r="D202" s="18">
        <v>1156</v>
      </c>
      <c r="E202" s="20">
        <v>84308</v>
      </c>
      <c r="F202" s="14"/>
      <c r="G202" s="14"/>
      <c r="H202" s="14"/>
      <c r="I202" s="14"/>
      <c r="J202" s="14"/>
      <c r="K202" s="14"/>
      <c r="L202" s="14"/>
      <c r="M202" s="14"/>
      <c r="N202" s="14"/>
      <c r="O202" s="14"/>
      <c r="P202" s="14"/>
      <c r="Q202" s="14"/>
      <c r="R202" s="14"/>
    </row>
    <row r="203" spans="1:18" x14ac:dyDescent="0.3">
      <c r="A203" s="18">
        <v>1157</v>
      </c>
      <c r="B203" s="37">
        <v>5</v>
      </c>
      <c r="C203" s="14"/>
      <c r="D203" s="18">
        <v>1157</v>
      </c>
      <c r="E203" s="20">
        <v>18675</v>
      </c>
      <c r="F203" s="14"/>
      <c r="G203" s="14"/>
      <c r="H203" s="14"/>
      <c r="I203" s="14"/>
      <c r="J203" s="14"/>
      <c r="K203" s="14"/>
      <c r="L203" s="14"/>
      <c r="M203" s="14"/>
      <c r="N203" s="14"/>
      <c r="O203" s="14"/>
      <c r="P203" s="14"/>
      <c r="Q203" s="14"/>
      <c r="R203" s="14"/>
    </row>
    <row r="204" spans="1:18" x14ac:dyDescent="0.3">
      <c r="A204" s="18">
        <v>1158</v>
      </c>
      <c r="B204" s="37">
        <v>8</v>
      </c>
      <c r="C204" s="14"/>
      <c r="D204" s="18">
        <v>1158</v>
      </c>
      <c r="E204" s="20">
        <v>13600</v>
      </c>
      <c r="F204" s="14"/>
      <c r="G204" s="14"/>
      <c r="H204" s="14"/>
      <c r="I204" s="14"/>
      <c r="J204" s="14"/>
      <c r="K204" s="14"/>
      <c r="L204" s="14"/>
      <c r="M204" s="14"/>
      <c r="N204" s="14"/>
      <c r="O204" s="14"/>
      <c r="P204" s="14"/>
      <c r="Q204" s="14"/>
      <c r="R204" s="14"/>
    </row>
    <row r="205" spans="1:18" x14ac:dyDescent="0.3">
      <c r="A205" s="18">
        <v>1159</v>
      </c>
      <c r="B205" s="37">
        <v>5</v>
      </c>
      <c r="C205" s="14"/>
      <c r="D205" s="18">
        <v>1159</v>
      </c>
      <c r="E205" s="20">
        <v>137710</v>
      </c>
      <c r="F205" s="14"/>
      <c r="G205" s="14"/>
      <c r="H205" s="14"/>
      <c r="I205" s="14"/>
      <c r="J205" s="14"/>
      <c r="K205" s="14"/>
      <c r="L205" s="14"/>
      <c r="M205" s="14"/>
      <c r="N205" s="14"/>
      <c r="O205" s="14"/>
      <c r="P205" s="14"/>
      <c r="Q205" s="14"/>
      <c r="R205" s="14"/>
    </row>
    <row r="206" spans="1:18" x14ac:dyDescent="0.3">
      <c r="A206" s="18">
        <v>1160</v>
      </c>
      <c r="B206" s="37">
        <v>4</v>
      </c>
      <c r="C206" s="14"/>
      <c r="D206" s="18">
        <v>1160</v>
      </c>
      <c r="E206" s="20">
        <v>4128</v>
      </c>
      <c r="F206" s="14"/>
      <c r="G206" s="14"/>
      <c r="H206" s="14"/>
      <c r="I206" s="14"/>
      <c r="J206" s="14"/>
      <c r="K206" s="14"/>
      <c r="L206" s="14"/>
      <c r="M206" s="14"/>
      <c r="N206" s="14"/>
      <c r="O206" s="14"/>
      <c r="P206" s="14"/>
      <c r="Q206" s="14"/>
      <c r="R206" s="14"/>
    </row>
    <row r="207" spans="1:18" x14ac:dyDescent="0.3">
      <c r="A207" s="18">
        <v>1161</v>
      </c>
      <c r="B207" s="37">
        <v>4</v>
      </c>
      <c r="C207" s="14"/>
      <c r="D207" s="18">
        <v>1161</v>
      </c>
      <c r="E207" s="20">
        <v>358848</v>
      </c>
      <c r="F207" s="14"/>
      <c r="G207" s="14"/>
      <c r="H207" s="14"/>
      <c r="I207" s="14"/>
      <c r="J207" s="14"/>
      <c r="K207" s="14"/>
      <c r="L207" s="14"/>
      <c r="M207" s="14"/>
      <c r="N207" s="14"/>
      <c r="O207" s="14"/>
      <c r="P207" s="14"/>
      <c r="Q207" s="14"/>
      <c r="R207" s="14"/>
    </row>
    <row r="208" spans="1:18" x14ac:dyDescent="0.3">
      <c r="A208" s="18">
        <v>1162</v>
      </c>
      <c r="B208" s="37">
        <v>4</v>
      </c>
      <c r="C208" s="14"/>
      <c r="D208" s="18">
        <v>1162</v>
      </c>
      <c r="E208" s="20">
        <v>37932</v>
      </c>
      <c r="F208" s="14"/>
      <c r="G208" s="14"/>
      <c r="H208" s="14"/>
      <c r="I208" s="14"/>
      <c r="J208" s="14"/>
      <c r="K208" s="14"/>
      <c r="L208" s="14"/>
      <c r="M208" s="14"/>
      <c r="N208" s="14"/>
      <c r="O208" s="14"/>
      <c r="P208" s="14"/>
      <c r="Q208" s="14"/>
      <c r="R208" s="14"/>
    </row>
    <row r="209" spans="1:18" x14ac:dyDescent="0.3">
      <c r="A209" s="18">
        <v>1163</v>
      </c>
      <c r="B209" s="37">
        <v>5</v>
      </c>
      <c r="C209" s="14"/>
      <c r="D209" s="18">
        <v>1163</v>
      </c>
      <c r="E209" s="20">
        <v>22320</v>
      </c>
      <c r="F209" s="14"/>
      <c r="G209" s="14"/>
      <c r="H209" s="14"/>
      <c r="I209" s="14"/>
      <c r="J209" s="14"/>
      <c r="K209" s="14"/>
      <c r="L209" s="14"/>
      <c r="M209" s="14"/>
      <c r="N209" s="14"/>
      <c r="O209" s="14"/>
      <c r="P209" s="14"/>
      <c r="Q209" s="14"/>
      <c r="R209" s="14"/>
    </row>
    <row r="210" spans="1:18" x14ac:dyDescent="0.3">
      <c r="A210" s="18">
        <v>1164</v>
      </c>
      <c r="B210" s="37">
        <v>6</v>
      </c>
      <c r="C210" s="14"/>
      <c r="D210" s="18">
        <v>1164</v>
      </c>
      <c r="E210" s="20">
        <v>28548</v>
      </c>
      <c r="F210" s="14"/>
      <c r="G210" s="14"/>
      <c r="H210" s="14"/>
      <c r="I210" s="14"/>
      <c r="J210" s="14"/>
      <c r="K210" s="14"/>
      <c r="L210" s="14"/>
      <c r="M210" s="14"/>
      <c r="N210" s="14"/>
      <c r="O210" s="14"/>
      <c r="P210" s="14"/>
      <c r="Q210" s="14"/>
      <c r="R210" s="14"/>
    </row>
    <row r="211" spans="1:18" x14ac:dyDescent="0.3">
      <c r="A211" s="18">
        <v>1165</v>
      </c>
      <c r="B211" s="37">
        <v>8</v>
      </c>
      <c r="C211" s="14"/>
      <c r="D211" s="18">
        <v>1165</v>
      </c>
      <c r="E211" s="20">
        <v>15680</v>
      </c>
      <c r="F211" s="14"/>
      <c r="G211" s="14"/>
      <c r="H211" s="14"/>
      <c r="I211" s="14"/>
      <c r="J211" s="14"/>
      <c r="K211" s="14"/>
      <c r="L211" s="14"/>
      <c r="M211" s="14"/>
      <c r="N211" s="14"/>
      <c r="O211" s="14"/>
      <c r="P211" s="14"/>
      <c r="Q211" s="14"/>
      <c r="R211" s="14"/>
    </row>
    <row r="212" spans="1:18" x14ac:dyDescent="0.3">
      <c r="A212" s="18">
        <v>1166</v>
      </c>
      <c r="B212" s="37">
        <v>4</v>
      </c>
      <c r="C212" s="14"/>
      <c r="D212" s="18">
        <v>1166</v>
      </c>
      <c r="E212" s="20">
        <v>154956</v>
      </c>
      <c r="F212" s="14"/>
      <c r="G212" s="14"/>
      <c r="H212" s="14"/>
      <c r="I212" s="14"/>
      <c r="J212" s="14"/>
      <c r="K212" s="14"/>
      <c r="L212" s="14"/>
      <c r="M212" s="14"/>
      <c r="N212" s="14"/>
      <c r="O212" s="14"/>
      <c r="P212" s="14"/>
      <c r="Q212" s="14"/>
      <c r="R212" s="14"/>
    </row>
    <row r="213" spans="1:18" x14ac:dyDescent="0.3">
      <c r="A213" s="18">
        <v>1167</v>
      </c>
      <c r="B213" s="37">
        <v>4</v>
      </c>
      <c r="C213" s="14"/>
      <c r="D213" s="18">
        <v>1167</v>
      </c>
      <c r="E213" s="20">
        <v>4416</v>
      </c>
      <c r="F213" s="14"/>
      <c r="G213" s="14"/>
      <c r="H213" s="14"/>
      <c r="I213" s="14"/>
      <c r="J213" s="14"/>
      <c r="K213" s="14"/>
      <c r="L213" s="14"/>
      <c r="M213" s="14"/>
      <c r="N213" s="14"/>
      <c r="O213" s="14"/>
      <c r="P213" s="14"/>
      <c r="Q213" s="14"/>
      <c r="R213" s="14"/>
    </row>
    <row r="214" spans="1:18" x14ac:dyDescent="0.3">
      <c r="A214" s="18">
        <v>1168</v>
      </c>
      <c r="B214" s="37">
        <v>2</v>
      </c>
      <c r="C214" s="14"/>
      <c r="D214" s="18">
        <v>1168</v>
      </c>
      <c r="E214" s="20">
        <v>3862</v>
      </c>
      <c r="F214" s="14"/>
      <c r="G214" s="14"/>
      <c r="H214" s="14"/>
      <c r="I214" s="14"/>
      <c r="J214" s="14"/>
      <c r="K214" s="14"/>
      <c r="L214" s="14"/>
      <c r="M214" s="14"/>
      <c r="N214" s="14"/>
      <c r="O214" s="14"/>
      <c r="P214" s="14"/>
      <c r="Q214" s="14"/>
      <c r="R214" s="14"/>
    </row>
    <row r="215" spans="1:18" x14ac:dyDescent="0.3">
      <c r="A215" s="18">
        <v>1169</v>
      </c>
      <c r="B215" s="37">
        <v>6</v>
      </c>
      <c r="C215" s="14"/>
      <c r="D215" s="18">
        <v>1169</v>
      </c>
      <c r="E215" s="20">
        <v>172440</v>
      </c>
      <c r="F215" s="14"/>
      <c r="G215" s="14"/>
      <c r="H215" s="14"/>
      <c r="I215" s="14"/>
      <c r="J215" s="14"/>
      <c r="K215" s="14"/>
      <c r="L215" s="14"/>
      <c r="M215" s="14"/>
      <c r="N215" s="14"/>
      <c r="O215" s="14"/>
      <c r="P215" s="14"/>
      <c r="Q215" s="14"/>
      <c r="R215" s="14"/>
    </row>
    <row r="216" spans="1:18" x14ac:dyDescent="0.3">
      <c r="A216" s="18">
        <v>1170</v>
      </c>
      <c r="B216" s="37">
        <v>4</v>
      </c>
      <c r="C216" s="14"/>
      <c r="D216" s="18">
        <v>1170</v>
      </c>
      <c r="E216" s="20">
        <v>6240</v>
      </c>
      <c r="F216" s="14"/>
      <c r="G216" s="14"/>
      <c r="H216" s="14"/>
      <c r="I216" s="14"/>
      <c r="J216" s="14"/>
      <c r="K216" s="14"/>
      <c r="L216" s="14"/>
      <c r="M216" s="14"/>
      <c r="N216" s="14"/>
      <c r="O216" s="14"/>
      <c r="P216" s="14"/>
      <c r="Q216" s="14"/>
      <c r="R216" s="14"/>
    </row>
    <row r="217" spans="1:18" x14ac:dyDescent="0.3">
      <c r="A217" s="18">
        <v>1171</v>
      </c>
      <c r="B217" s="37">
        <v>2</v>
      </c>
      <c r="C217" s="14"/>
      <c r="D217" s="18">
        <v>1171</v>
      </c>
      <c r="E217" s="20">
        <v>219460</v>
      </c>
      <c r="F217" s="14"/>
      <c r="G217" s="14"/>
      <c r="H217" s="14"/>
      <c r="I217" s="14"/>
      <c r="J217" s="14"/>
      <c r="K217" s="14"/>
      <c r="L217" s="14"/>
      <c r="M217" s="14"/>
      <c r="N217" s="14"/>
      <c r="O217" s="14"/>
      <c r="P217" s="14"/>
      <c r="Q217" s="14"/>
      <c r="R217" s="14"/>
    </row>
    <row r="218" spans="1:18" x14ac:dyDescent="0.3">
      <c r="A218" s="18">
        <v>1172</v>
      </c>
      <c r="B218" s="37">
        <v>3</v>
      </c>
      <c r="C218" s="14"/>
      <c r="D218" s="18">
        <v>1172</v>
      </c>
      <c r="E218" s="20">
        <v>26886</v>
      </c>
      <c r="F218" s="14"/>
      <c r="G218" s="14"/>
      <c r="H218" s="14"/>
      <c r="I218" s="14"/>
      <c r="J218" s="14"/>
      <c r="K218" s="14"/>
      <c r="L218" s="14"/>
      <c r="M218" s="14"/>
      <c r="N218" s="14"/>
      <c r="O218" s="14"/>
      <c r="P218" s="14"/>
      <c r="Q218" s="14"/>
      <c r="R218" s="14"/>
    </row>
    <row r="219" spans="1:18" x14ac:dyDescent="0.3">
      <c r="A219" s="18">
        <v>1173</v>
      </c>
      <c r="B219" s="37">
        <v>5</v>
      </c>
      <c r="C219" s="14"/>
      <c r="D219" s="18">
        <v>1173</v>
      </c>
      <c r="E219" s="20">
        <v>19720</v>
      </c>
      <c r="F219" s="14"/>
      <c r="G219" s="14"/>
      <c r="H219" s="14"/>
      <c r="I219" s="14"/>
      <c r="J219" s="14"/>
      <c r="K219" s="14"/>
      <c r="L219" s="14"/>
      <c r="M219" s="14"/>
      <c r="N219" s="14"/>
      <c r="O219" s="14"/>
      <c r="P219" s="14"/>
      <c r="Q219" s="14"/>
      <c r="R219" s="14"/>
    </row>
    <row r="220" spans="1:18" x14ac:dyDescent="0.3">
      <c r="A220" s="18">
        <v>1174</v>
      </c>
      <c r="B220" s="37">
        <v>4</v>
      </c>
      <c r="C220" s="14"/>
      <c r="D220" s="18">
        <v>1174</v>
      </c>
      <c r="E220" s="20">
        <v>39348</v>
      </c>
      <c r="F220" s="14"/>
      <c r="G220" s="14"/>
      <c r="H220" s="14"/>
      <c r="I220" s="14"/>
      <c r="J220" s="14"/>
      <c r="K220" s="14"/>
      <c r="L220" s="14"/>
      <c r="M220" s="14"/>
      <c r="N220" s="14"/>
      <c r="O220" s="14"/>
      <c r="P220" s="14"/>
      <c r="Q220" s="14"/>
      <c r="R220" s="14"/>
    </row>
    <row r="221" spans="1:18" x14ac:dyDescent="0.3">
      <c r="A221" s="18">
        <v>1175</v>
      </c>
      <c r="B221" s="37">
        <v>2</v>
      </c>
      <c r="C221" s="14"/>
      <c r="D221" s="18">
        <v>1175</v>
      </c>
      <c r="E221" s="20">
        <v>8570</v>
      </c>
      <c r="F221" s="14"/>
      <c r="G221" s="14"/>
      <c r="H221" s="14"/>
      <c r="I221" s="14"/>
      <c r="J221" s="14"/>
      <c r="K221" s="14"/>
      <c r="L221" s="14"/>
      <c r="M221" s="14"/>
      <c r="N221" s="14"/>
      <c r="O221" s="14"/>
      <c r="P221" s="14"/>
      <c r="Q221" s="14"/>
      <c r="R221" s="14"/>
    </row>
    <row r="222" spans="1:18" x14ac:dyDescent="0.3">
      <c r="A222" s="18">
        <v>1176</v>
      </c>
      <c r="B222" s="37">
        <v>4</v>
      </c>
      <c r="C222" s="14"/>
      <c r="D222" s="18">
        <v>1176</v>
      </c>
      <c r="E222" s="20">
        <v>81292</v>
      </c>
      <c r="F222" s="14"/>
      <c r="G222" s="14"/>
      <c r="H222" s="14"/>
      <c r="I222" s="14"/>
      <c r="J222" s="14"/>
      <c r="K222" s="14"/>
      <c r="L222" s="14"/>
      <c r="M222" s="14"/>
      <c r="N222" s="14"/>
      <c r="O222" s="14"/>
      <c r="P222" s="14"/>
      <c r="Q222" s="14"/>
      <c r="R222" s="14"/>
    </row>
    <row r="223" spans="1:18" x14ac:dyDescent="0.3">
      <c r="A223" s="18">
        <v>1177</v>
      </c>
      <c r="B223" s="37">
        <v>4</v>
      </c>
      <c r="C223" s="14"/>
      <c r="D223" s="18">
        <v>1177</v>
      </c>
      <c r="E223" s="20">
        <v>20000</v>
      </c>
      <c r="F223" s="14"/>
      <c r="G223" s="14"/>
      <c r="H223" s="14"/>
      <c r="I223" s="14"/>
      <c r="J223" s="14"/>
      <c r="K223" s="14"/>
      <c r="L223" s="14"/>
      <c r="M223" s="14"/>
      <c r="N223" s="14"/>
      <c r="O223" s="14"/>
      <c r="P223" s="14"/>
      <c r="Q223" s="14"/>
      <c r="R223" s="14"/>
    </row>
    <row r="224" spans="1:18" x14ac:dyDescent="0.3">
      <c r="A224" s="18">
        <v>1178</v>
      </c>
      <c r="B224" s="37">
        <v>3</v>
      </c>
      <c r="C224" s="14"/>
      <c r="D224" s="18">
        <v>1178</v>
      </c>
      <c r="E224" s="20">
        <v>20385</v>
      </c>
      <c r="F224" s="14"/>
      <c r="G224" s="14"/>
      <c r="H224" s="14"/>
      <c r="I224" s="14"/>
      <c r="J224" s="14"/>
      <c r="K224" s="14"/>
      <c r="L224" s="14"/>
      <c r="M224" s="14"/>
      <c r="N224" s="14"/>
      <c r="O224" s="14"/>
      <c r="P224" s="14"/>
      <c r="Q224" s="14"/>
      <c r="R224" s="14"/>
    </row>
    <row r="225" spans="1:18" x14ac:dyDescent="0.3">
      <c r="A225" s="18">
        <v>1179</v>
      </c>
      <c r="B225" s="37">
        <v>2</v>
      </c>
      <c r="C225" s="14"/>
      <c r="D225" s="18">
        <v>1179</v>
      </c>
      <c r="E225" s="20">
        <v>28052</v>
      </c>
      <c r="F225" s="14"/>
      <c r="G225" s="14"/>
      <c r="H225" s="14"/>
      <c r="I225" s="14"/>
      <c r="J225" s="14"/>
      <c r="K225" s="14"/>
      <c r="L225" s="14"/>
      <c r="M225" s="14"/>
      <c r="N225" s="14"/>
      <c r="O225" s="14"/>
      <c r="P225" s="14"/>
      <c r="Q225" s="14"/>
      <c r="R225" s="14"/>
    </row>
    <row r="226" spans="1:18" x14ac:dyDescent="0.3">
      <c r="A226" s="18">
        <v>1180</v>
      </c>
      <c r="B226" s="37">
        <v>4</v>
      </c>
      <c r="C226" s="14"/>
      <c r="D226" s="18">
        <v>1180</v>
      </c>
      <c r="E226" s="20">
        <v>5480</v>
      </c>
      <c r="F226" s="14"/>
      <c r="G226" s="14"/>
      <c r="H226" s="14"/>
      <c r="I226" s="14"/>
      <c r="J226" s="14"/>
      <c r="K226" s="14"/>
      <c r="L226" s="14"/>
      <c r="M226" s="14"/>
      <c r="N226" s="14"/>
      <c r="O226" s="14"/>
      <c r="P226" s="14"/>
      <c r="Q226" s="14"/>
      <c r="R226" s="14"/>
    </row>
    <row r="227" spans="1:18" x14ac:dyDescent="0.3">
      <c r="A227" s="18">
        <v>1181</v>
      </c>
      <c r="B227" s="37">
        <v>5</v>
      </c>
      <c r="C227" s="14"/>
      <c r="D227" s="18">
        <v>1181</v>
      </c>
      <c r="E227" s="20">
        <v>271555</v>
      </c>
      <c r="F227" s="14"/>
      <c r="G227" s="14"/>
      <c r="H227" s="14"/>
      <c r="I227" s="14"/>
      <c r="J227" s="14"/>
      <c r="K227" s="14"/>
      <c r="L227" s="14"/>
      <c r="M227" s="14"/>
      <c r="N227" s="14"/>
      <c r="O227" s="14"/>
      <c r="P227" s="14"/>
      <c r="Q227" s="14"/>
      <c r="R227" s="14"/>
    </row>
    <row r="228" spans="1:18" x14ac:dyDescent="0.3">
      <c r="A228" s="18">
        <v>1182</v>
      </c>
      <c r="B228" s="37">
        <v>4</v>
      </c>
      <c r="C228" s="14"/>
      <c r="D228" s="18">
        <v>1182</v>
      </c>
      <c r="E228" s="20">
        <v>13704</v>
      </c>
      <c r="F228" s="14"/>
      <c r="G228" s="14"/>
      <c r="H228" s="14"/>
      <c r="I228" s="14"/>
      <c r="J228" s="14"/>
      <c r="K228" s="14"/>
      <c r="L228" s="14"/>
      <c r="M228" s="14"/>
      <c r="N228" s="14"/>
      <c r="O228" s="14"/>
      <c r="P228" s="14"/>
      <c r="Q228" s="14"/>
      <c r="R228" s="14"/>
    </row>
    <row r="229" spans="1:18" x14ac:dyDescent="0.3">
      <c r="A229" s="18">
        <v>1183</v>
      </c>
      <c r="B229" s="37">
        <v>6</v>
      </c>
      <c r="C229" s="14"/>
      <c r="D229" s="18">
        <v>1183</v>
      </c>
      <c r="E229" s="20">
        <v>38448</v>
      </c>
      <c r="F229" s="14"/>
      <c r="G229" s="14"/>
      <c r="H229" s="14"/>
      <c r="I229" s="14"/>
      <c r="J229" s="14"/>
      <c r="K229" s="14"/>
      <c r="L229" s="14"/>
      <c r="M229" s="14"/>
      <c r="N229" s="14"/>
      <c r="O229" s="14"/>
      <c r="P229" s="14"/>
      <c r="Q229" s="14"/>
      <c r="R229" s="14"/>
    </row>
    <row r="230" spans="1:18" x14ac:dyDescent="0.3">
      <c r="A230" s="18">
        <v>1184</v>
      </c>
      <c r="B230" s="37">
        <v>3</v>
      </c>
      <c r="C230" s="14"/>
      <c r="D230" s="18">
        <v>1184</v>
      </c>
      <c r="E230" s="20">
        <v>278130</v>
      </c>
      <c r="F230" s="14"/>
      <c r="G230" s="14"/>
      <c r="H230" s="14"/>
      <c r="I230" s="14"/>
      <c r="J230" s="14"/>
      <c r="K230" s="14"/>
      <c r="L230" s="14"/>
      <c r="M230" s="14"/>
      <c r="N230" s="14"/>
      <c r="O230" s="14"/>
      <c r="P230" s="14"/>
      <c r="Q230" s="14"/>
      <c r="R230" s="14"/>
    </row>
    <row r="231" spans="1:18" x14ac:dyDescent="0.3">
      <c r="A231" s="18">
        <v>1185</v>
      </c>
      <c r="B231" s="37">
        <v>5</v>
      </c>
      <c r="C231" s="14"/>
      <c r="D231" s="18">
        <v>1185</v>
      </c>
      <c r="E231" s="20">
        <v>2605</v>
      </c>
      <c r="F231" s="14"/>
      <c r="G231" s="14"/>
      <c r="H231" s="14"/>
      <c r="I231" s="14"/>
      <c r="J231" s="14"/>
      <c r="K231" s="14"/>
      <c r="L231" s="14"/>
      <c r="M231" s="14"/>
      <c r="N231" s="14"/>
      <c r="O231" s="14"/>
      <c r="P231" s="14"/>
      <c r="Q231" s="14"/>
      <c r="R231" s="14"/>
    </row>
    <row r="232" spans="1:18" x14ac:dyDescent="0.3">
      <c r="A232" s="18">
        <v>1186</v>
      </c>
      <c r="B232" s="37">
        <v>6</v>
      </c>
      <c r="C232" s="14"/>
      <c r="D232" s="18">
        <v>1186</v>
      </c>
      <c r="E232" s="20">
        <v>79308</v>
      </c>
      <c r="F232" s="14"/>
      <c r="G232" s="14"/>
      <c r="H232" s="14"/>
      <c r="I232" s="14"/>
      <c r="J232" s="14"/>
      <c r="K232" s="14"/>
      <c r="L232" s="14"/>
      <c r="M232" s="14"/>
      <c r="N232" s="14"/>
      <c r="O232" s="14"/>
      <c r="P232" s="14"/>
      <c r="Q232" s="14"/>
      <c r="R232" s="14"/>
    </row>
    <row r="233" spans="1:18" x14ac:dyDescent="0.3">
      <c r="A233" s="18">
        <v>1187</v>
      </c>
      <c r="B233" s="37">
        <v>5</v>
      </c>
      <c r="C233" s="14"/>
      <c r="D233" s="18">
        <v>1187</v>
      </c>
      <c r="E233" s="20">
        <v>2480</v>
      </c>
      <c r="F233" s="14"/>
      <c r="G233" s="14"/>
      <c r="H233" s="14"/>
      <c r="I233" s="14"/>
      <c r="J233" s="14"/>
      <c r="K233" s="14"/>
      <c r="L233" s="14"/>
      <c r="M233" s="14"/>
      <c r="N233" s="14"/>
      <c r="O233" s="14"/>
      <c r="P233" s="14"/>
      <c r="Q233" s="14"/>
      <c r="R233" s="14"/>
    </row>
    <row r="234" spans="1:18" x14ac:dyDescent="0.3">
      <c r="A234" s="18">
        <v>1188</v>
      </c>
      <c r="B234" s="37">
        <v>6</v>
      </c>
      <c r="C234" s="14"/>
      <c r="D234" s="18">
        <v>1188</v>
      </c>
      <c r="E234" s="20">
        <v>32472</v>
      </c>
      <c r="F234" s="14"/>
      <c r="G234" s="14"/>
      <c r="H234" s="14"/>
      <c r="I234" s="14"/>
      <c r="J234" s="14"/>
      <c r="K234" s="14"/>
      <c r="L234" s="14"/>
      <c r="M234" s="14"/>
      <c r="N234" s="14"/>
      <c r="O234" s="14"/>
      <c r="P234" s="14"/>
      <c r="Q234" s="14"/>
      <c r="R234" s="14"/>
    </row>
    <row r="235" spans="1:18" x14ac:dyDescent="0.3">
      <c r="A235" s="18">
        <v>1189</v>
      </c>
      <c r="B235" s="37">
        <v>2</v>
      </c>
      <c r="C235" s="14"/>
      <c r="D235" s="18">
        <v>1189</v>
      </c>
      <c r="E235" s="20">
        <v>53848</v>
      </c>
      <c r="F235" s="14"/>
      <c r="G235" s="14"/>
      <c r="H235" s="14"/>
      <c r="I235" s="14"/>
      <c r="J235" s="14"/>
      <c r="K235" s="14"/>
      <c r="L235" s="14"/>
      <c r="M235" s="14"/>
      <c r="N235" s="14"/>
      <c r="O235" s="14"/>
      <c r="P235" s="14"/>
      <c r="Q235" s="14"/>
      <c r="R235" s="14"/>
    </row>
    <row r="236" spans="1:18" x14ac:dyDescent="0.3">
      <c r="A236" s="18">
        <v>1190</v>
      </c>
      <c r="B236" s="37">
        <v>4</v>
      </c>
      <c r="C236" s="14"/>
      <c r="D236" s="18">
        <v>1190</v>
      </c>
      <c r="E236" s="20">
        <v>8080</v>
      </c>
      <c r="F236" s="14"/>
      <c r="G236" s="14"/>
      <c r="H236" s="14"/>
      <c r="I236" s="14"/>
      <c r="J236" s="14"/>
      <c r="K236" s="14"/>
      <c r="L236" s="14"/>
      <c r="M236" s="14"/>
      <c r="N236" s="14"/>
      <c r="O236" s="14"/>
      <c r="P236" s="14"/>
      <c r="Q236" s="14"/>
      <c r="R236" s="14"/>
    </row>
    <row r="237" spans="1:18" x14ac:dyDescent="0.3">
      <c r="A237" s="18">
        <v>1191</v>
      </c>
      <c r="B237" s="37">
        <v>6</v>
      </c>
      <c r="C237" s="14"/>
      <c r="D237" s="18">
        <v>1191</v>
      </c>
      <c r="E237" s="20">
        <v>358800</v>
      </c>
      <c r="F237" s="14"/>
      <c r="G237" s="14"/>
      <c r="H237" s="14"/>
      <c r="I237" s="14"/>
      <c r="J237" s="14"/>
      <c r="K237" s="14"/>
      <c r="L237" s="14"/>
      <c r="M237" s="14"/>
      <c r="N237" s="14"/>
      <c r="O237" s="14"/>
      <c r="P237" s="14"/>
      <c r="Q237" s="14"/>
      <c r="R237" s="14"/>
    </row>
    <row r="238" spans="1:18" x14ac:dyDescent="0.3">
      <c r="A238" s="18">
        <v>1192</v>
      </c>
      <c r="B238" s="37">
        <v>3</v>
      </c>
      <c r="C238" s="14"/>
      <c r="D238" s="18">
        <v>1192</v>
      </c>
      <c r="E238" s="20">
        <v>15834</v>
      </c>
      <c r="F238" s="14"/>
      <c r="G238" s="14"/>
      <c r="H238" s="14"/>
      <c r="I238" s="14"/>
      <c r="J238" s="14"/>
      <c r="K238" s="14"/>
      <c r="L238" s="14"/>
      <c r="M238" s="14"/>
      <c r="N238" s="14"/>
      <c r="O238" s="14"/>
      <c r="P238" s="14"/>
      <c r="Q238" s="14"/>
      <c r="R238" s="14"/>
    </row>
    <row r="239" spans="1:18" x14ac:dyDescent="0.3">
      <c r="A239" s="18">
        <v>1193</v>
      </c>
      <c r="B239" s="37">
        <v>2</v>
      </c>
      <c r="C239" s="14"/>
      <c r="D239" s="18">
        <v>1193</v>
      </c>
      <c r="E239" s="20">
        <v>4334</v>
      </c>
      <c r="F239" s="14"/>
      <c r="G239" s="14"/>
      <c r="H239" s="14"/>
      <c r="I239" s="14"/>
      <c r="J239" s="14"/>
      <c r="K239" s="14"/>
      <c r="L239" s="14"/>
      <c r="M239" s="14"/>
      <c r="N239" s="14"/>
      <c r="O239" s="14"/>
      <c r="P239" s="14"/>
      <c r="Q239" s="14"/>
      <c r="R239" s="14"/>
    </row>
    <row r="240" spans="1:18" x14ac:dyDescent="0.3">
      <c r="A240" s="18">
        <v>1194</v>
      </c>
      <c r="B240" s="37">
        <v>2</v>
      </c>
      <c r="C240" s="14"/>
      <c r="D240" s="18">
        <v>1194</v>
      </c>
      <c r="E240" s="20">
        <v>49074</v>
      </c>
      <c r="F240" s="14"/>
      <c r="G240" s="14"/>
      <c r="H240" s="14"/>
      <c r="I240" s="14"/>
      <c r="J240" s="14"/>
      <c r="K240" s="14"/>
      <c r="L240" s="14"/>
      <c r="M240" s="14"/>
      <c r="N240" s="14"/>
      <c r="O240" s="14"/>
      <c r="P240" s="14"/>
      <c r="Q240" s="14"/>
      <c r="R240" s="14"/>
    </row>
    <row r="241" spans="1:18" x14ac:dyDescent="0.3">
      <c r="A241" s="18">
        <v>1195</v>
      </c>
      <c r="B241" s="37">
        <v>5</v>
      </c>
      <c r="C241" s="14"/>
      <c r="D241" s="18">
        <v>1195</v>
      </c>
      <c r="E241" s="20">
        <v>1870</v>
      </c>
      <c r="F241" s="14"/>
      <c r="G241" s="14"/>
      <c r="H241" s="14"/>
      <c r="I241" s="14"/>
      <c r="J241" s="14"/>
      <c r="K241" s="14"/>
      <c r="L241" s="14"/>
      <c r="M241" s="14"/>
      <c r="N241" s="14"/>
      <c r="O241" s="14"/>
      <c r="P241" s="14"/>
      <c r="Q241" s="14"/>
      <c r="R241" s="14"/>
    </row>
    <row r="242" spans="1:18" x14ac:dyDescent="0.3">
      <c r="A242" s="18">
        <v>1196</v>
      </c>
      <c r="B242" s="37">
        <v>3</v>
      </c>
      <c r="C242" s="14"/>
      <c r="D242" s="18">
        <v>1196</v>
      </c>
      <c r="E242" s="20">
        <v>109785</v>
      </c>
      <c r="F242" s="14"/>
      <c r="G242" s="14"/>
      <c r="H242" s="14"/>
      <c r="I242" s="14"/>
      <c r="J242" s="14"/>
      <c r="K242" s="14"/>
      <c r="L242" s="14"/>
      <c r="M242" s="14"/>
      <c r="N242" s="14"/>
      <c r="O242" s="14"/>
      <c r="P242" s="14"/>
      <c r="Q242" s="14"/>
      <c r="R242" s="14"/>
    </row>
    <row r="243" spans="1:18" x14ac:dyDescent="0.3">
      <c r="A243" s="18">
        <v>1197</v>
      </c>
      <c r="B243" s="37">
        <v>6</v>
      </c>
      <c r="C243" s="14"/>
      <c r="D243" s="18">
        <v>1197</v>
      </c>
      <c r="E243" s="20">
        <v>17100</v>
      </c>
      <c r="F243" s="14"/>
      <c r="G243" s="14"/>
      <c r="H243" s="14"/>
      <c r="I243" s="14"/>
      <c r="J243" s="14"/>
      <c r="K243" s="14"/>
      <c r="L243" s="14"/>
      <c r="M243" s="14"/>
      <c r="N243" s="14"/>
      <c r="O243" s="14"/>
      <c r="P243" s="14"/>
      <c r="Q243" s="14"/>
      <c r="R243" s="14"/>
    </row>
    <row r="244" spans="1:18" x14ac:dyDescent="0.3">
      <c r="A244" s="18">
        <v>1198</v>
      </c>
      <c r="B244" s="37">
        <v>2</v>
      </c>
      <c r="C244" s="14"/>
      <c r="D244" s="18">
        <v>1198</v>
      </c>
      <c r="E244" s="20">
        <v>6030</v>
      </c>
      <c r="F244" s="14"/>
      <c r="G244" s="14"/>
      <c r="H244" s="14"/>
      <c r="I244" s="14"/>
      <c r="J244" s="14"/>
      <c r="K244" s="14"/>
      <c r="L244" s="14"/>
      <c r="M244" s="14"/>
      <c r="N244" s="14"/>
      <c r="O244" s="14"/>
      <c r="P244" s="14"/>
      <c r="Q244" s="14"/>
      <c r="R244" s="14"/>
    </row>
    <row r="245" spans="1:18" x14ac:dyDescent="0.3">
      <c r="A245" s="18">
        <v>1199</v>
      </c>
      <c r="B245" s="37">
        <v>3</v>
      </c>
      <c r="C245" s="14"/>
      <c r="D245" s="18">
        <v>1199</v>
      </c>
      <c r="E245" s="20">
        <v>86610</v>
      </c>
      <c r="F245" s="14"/>
      <c r="G245" s="14"/>
      <c r="H245" s="14"/>
      <c r="I245" s="14"/>
      <c r="J245" s="14"/>
      <c r="K245" s="14"/>
      <c r="L245" s="14"/>
      <c r="M245" s="14"/>
      <c r="N245" s="14"/>
      <c r="O245" s="14"/>
      <c r="P245" s="14"/>
      <c r="Q245" s="14"/>
      <c r="R245" s="14"/>
    </row>
    <row r="246" spans="1:18" x14ac:dyDescent="0.3">
      <c r="A246" s="18">
        <v>1200</v>
      </c>
      <c r="B246" s="37">
        <v>1</v>
      </c>
      <c r="C246" s="14"/>
      <c r="D246" s="18">
        <v>1200</v>
      </c>
      <c r="E246" s="20">
        <v>1755</v>
      </c>
      <c r="F246" s="14"/>
      <c r="G246" s="14"/>
      <c r="H246" s="14"/>
      <c r="I246" s="14"/>
      <c r="J246" s="14"/>
      <c r="K246" s="14"/>
      <c r="L246" s="14"/>
      <c r="M246" s="14"/>
      <c r="N246" s="14"/>
      <c r="O246" s="14"/>
      <c r="P246" s="14"/>
      <c r="Q246" s="14"/>
      <c r="R246" s="14"/>
    </row>
    <row r="247" spans="1:18" x14ac:dyDescent="0.3">
      <c r="A247" s="18">
        <v>1201</v>
      </c>
      <c r="B247" s="37">
        <v>9</v>
      </c>
      <c r="C247" s="14"/>
      <c r="D247" s="18">
        <v>1201</v>
      </c>
      <c r="E247" s="20">
        <v>1090458</v>
      </c>
      <c r="F247" s="14"/>
      <c r="G247" s="14"/>
      <c r="H247" s="14"/>
      <c r="I247" s="14"/>
      <c r="J247" s="14"/>
      <c r="K247" s="14"/>
      <c r="L247" s="14"/>
      <c r="M247" s="14"/>
      <c r="N247" s="14"/>
      <c r="O247" s="14"/>
      <c r="P247" s="14"/>
      <c r="Q247" s="14"/>
      <c r="R247" s="14"/>
    </row>
    <row r="248" spans="1:18" x14ac:dyDescent="0.3">
      <c r="A248" s="18">
        <v>1202</v>
      </c>
      <c r="B248" s="37">
        <v>6</v>
      </c>
      <c r="C248" s="14"/>
      <c r="D248" s="18">
        <v>1202</v>
      </c>
      <c r="E248" s="20">
        <v>16452</v>
      </c>
      <c r="F248" s="14"/>
      <c r="G248" s="14"/>
      <c r="H248" s="14"/>
      <c r="I248" s="14"/>
      <c r="J248" s="14"/>
      <c r="K248" s="14"/>
      <c r="L248" s="14"/>
      <c r="M248" s="14"/>
      <c r="N248" s="14"/>
      <c r="O248" s="14"/>
      <c r="P248" s="14"/>
      <c r="Q248" s="14"/>
      <c r="R248" s="14"/>
    </row>
    <row r="249" spans="1:18" x14ac:dyDescent="0.3">
      <c r="A249" s="18">
        <v>1203</v>
      </c>
      <c r="B249" s="37">
        <v>5</v>
      </c>
      <c r="C249" s="14"/>
      <c r="D249" s="18">
        <v>1203</v>
      </c>
      <c r="E249" s="20">
        <v>53640</v>
      </c>
      <c r="F249" s="14"/>
      <c r="G249" s="14"/>
      <c r="H249" s="14"/>
      <c r="I249" s="14"/>
      <c r="J249" s="14"/>
      <c r="K249" s="14"/>
      <c r="L249" s="14"/>
      <c r="M249" s="14"/>
      <c r="N249" s="14"/>
      <c r="O249" s="14"/>
      <c r="P249" s="14"/>
      <c r="Q249" s="14"/>
      <c r="R249" s="14"/>
    </row>
    <row r="250" spans="1:18" x14ac:dyDescent="0.3">
      <c r="A250" s="18">
        <v>1204</v>
      </c>
      <c r="B250" s="37">
        <v>3</v>
      </c>
      <c r="C250" s="14"/>
      <c r="D250" s="18">
        <v>1204</v>
      </c>
      <c r="E250" s="20">
        <v>186288</v>
      </c>
      <c r="F250" s="14"/>
      <c r="G250" s="14"/>
      <c r="H250" s="14"/>
      <c r="I250" s="14"/>
      <c r="J250" s="14"/>
      <c r="K250" s="14"/>
      <c r="L250" s="14"/>
      <c r="M250" s="14"/>
      <c r="N250" s="14"/>
      <c r="O250" s="14"/>
      <c r="P250" s="14"/>
      <c r="Q250" s="14"/>
      <c r="R250" s="14"/>
    </row>
    <row r="251" spans="1:18" x14ac:dyDescent="0.3">
      <c r="A251" s="18">
        <v>1205</v>
      </c>
      <c r="B251" s="37">
        <v>7</v>
      </c>
      <c r="C251" s="14"/>
      <c r="D251" s="18">
        <v>1205</v>
      </c>
      <c r="E251" s="20">
        <v>20433</v>
      </c>
      <c r="F251" s="14"/>
      <c r="G251" s="14"/>
      <c r="H251" s="14"/>
      <c r="I251" s="14"/>
      <c r="J251" s="14"/>
      <c r="K251" s="14"/>
      <c r="L251" s="14"/>
      <c r="M251" s="14"/>
      <c r="N251" s="14"/>
      <c r="O251" s="14"/>
      <c r="P251" s="14"/>
      <c r="Q251" s="14"/>
      <c r="R251" s="14"/>
    </row>
    <row r="252" spans="1:18" x14ac:dyDescent="0.3">
      <c r="A252" s="18">
        <v>1206</v>
      </c>
      <c r="B252" s="37">
        <v>5</v>
      </c>
      <c r="C252" s="14"/>
      <c r="D252" s="18">
        <v>1206</v>
      </c>
      <c r="E252" s="20">
        <v>192230</v>
      </c>
      <c r="F252" s="14"/>
      <c r="G252" s="14"/>
      <c r="H252" s="14"/>
      <c r="I252" s="14"/>
      <c r="J252" s="14"/>
      <c r="K252" s="14"/>
      <c r="L252" s="14"/>
      <c r="M252" s="14"/>
      <c r="N252" s="14"/>
      <c r="O252" s="14"/>
      <c r="P252" s="14"/>
      <c r="Q252" s="14"/>
      <c r="R252" s="14"/>
    </row>
    <row r="253" spans="1:18" x14ac:dyDescent="0.3">
      <c r="A253" s="18">
        <v>1207</v>
      </c>
      <c r="B253" s="37">
        <v>2</v>
      </c>
      <c r="C253" s="14"/>
      <c r="D253" s="18">
        <v>1207</v>
      </c>
      <c r="E253" s="20">
        <v>1182</v>
      </c>
      <c r="F253" s="14"/>
      <c r="G253" s="14"/>
      <c r="H253" s="14"/>
      <c r="I253" s="14"/>
      <c r="J253" s="14"/>
      <c r="K253" s="14"/>
      <c r="L253" s="14"/>
      <c r="M253" s="14"/>
      <c r="N253" s="14"/>
      <c r="O253" s="14"/>
      <c r="P253" s="14"/>
      <c r="Q253" s="14"/>
      <c r="R253" s="14"/>
    </row>
    <row r="254" spans="1:18" x14ac:dyDescent="0.3">
      <c r="A254" s="18">
        <v>1208</v>
      </c>
      <c r="B254" s="37">
        <v>3</v>
      </c>
      <c r="C254" s="14"/>
      <c r="D254" s="18">
        <v>1208</v>
      </c>
      <c r="E254" s="20">
        <v>22344</v>
      </c>
      <c r="F254" s="14"/>
      <c r="G254" s="14"/>
      <c r="H254" s="14"/>
      <c r="I254" s="14"/>
      <c r="J254" s="14"/>
      <c r="K254" s="14"/>
      <c r="L254" s="14"/>
      <c r="M254" s="14"/>
      <c r="N254" s="14"/>
      <c r="O254" s="14"/>
      <c r="P254" s="14"/>
      <c r="Q254" s="14"/>
      <c r="R254" s="14"/>
    </row>
    <row r="255" spans="1:18" x14ac:dyDescent="0.3">
      <c r="A255" s="18">
        <v>1209</v>
      </c>
      <c r="B255" s="37">
        <v>6</v>
      </c>
      <c r="C255" s="14"/>
      <c r="D255" s="18">
        <v>1209</v>
      </c>
      <c r="E255" s="20">
        <v>92784</v>
      </c>
      <c r="F255" s="14"/>
      <c r="G255" s="14"/>
      <c r="H255" s="14"/>
      <c r="I255" s="14"/>
      <c r="J255" s="14"/>
      <c r="K255" s="14"/>
      <c r="L255" s="14"/>
      <c r="M255" s="14"/>
      <c r="N255" s="14"/>
      <c r="O255" s="14"/>
      <c r="P255" s="14"/>
      <c r="Q255" s="14"/>
      <c r="R255" s="14"/>
    </row>
    <row r="256" spans="1:18" x14ac:dyDescent="0.3">
      <c r="A256" s="18">
        <v>1210</v>
      </c>
      <c r="B256" s="37">
        <v>6</v>
      </c>
      <c r="C256" s="14"/>
      <c r="D256" s="18">
        <v>1210</v>
      </c>
      <c r="E256" s="20">
        <v>9144</v>
      </c>
      <c r="F256" s="14"/>
      <c r="G256" s="14"/>
      <c r="H256" s="14"/>
      <c r="I256" s="14"/>
      <c r="J256" s="14"/>
      <c r="K256" s="14"/>
      <c r="L256" s="14"/>
      <c r="M256" s="14"/>
      <c r="N256" s="14"/>
      <c r="O256" s="14"/>
      <c r="P256" s="14"/>
      <c r="Q256" s="14"/>
      <c r="R256" s="14"/>
    </row>
    <row r="257" spans="1:18" x14ac:dyDescent="0.3">
      <c r="A257" s="18">
        <v>1211</v>
      </c>
      <c r="B257" s="37">
        <v>3</v>
      </c>
      <c r="C257" s="14"/>
      <c r="D257" s="18">
        <v>1211</v>
      </c>
      <c r="E257" s="20">
        <v>167910</v>
      </c>
      <c r="F257" s="14"/>
      <c r="G257" s="14"/>
      <c r="H257" s="14"/>
      <c r="I257" s="14"/>
      <c r="J257" s="14"/>
      <c r="K257" s="14"/>
      <c r="L257" s="14"/>
      <c r="M257" s="14"/>
      <c r="N257" s="14"/>
      <c r="O257" s="14"/>
      <c r="P257" s="14"/>
      <c r="Q257" s="14"/>
      <c r="R257" s="14"/>
    </row>
    <row r="258" spans="1:18" x14ac:dyDescent="0.3">
      <c r="A258" s="18">
        <v>1212</v>
      </c>
      <c r="B258" s="37">
        <v>4</v>
      </c>
      <c r="C258" s="14"/>
      <c r="D258" s="18">
        <v>1212</v>
      </c>
      <c r="E258" s="20">
        <v>17032</v>
      </c>
      <c r="F258" s="14"/>
      <c r="G258" s="14"/>
      <c r="H258" s="14"/>
      <c r="I258" s="14"/>
      <c r="J258" s="14"/>
      <c r="K258" s="14"/>
      <c r="L258" s="14"/>
      <c r="M258" s="14"/>
      <c r="N258" s="14"/>
      <c r="O258" s="14"/>
      <c r="P258" s="14"/>
      <c r="Q258" s="14"/>
      <c r="R258" s="14"/>
    </row>
    <row r="259" spans="1:18" x14ac:dyDescent="0.3">
      <c r="A259" s="18">
        <v>1213</v>
      </c>
      <c r="B259" s="37">
        <v>2</v>
      </c>
      <c r="C259" s="14"/>
      <c r="D259" s="18">
        <v>1213</v>
      </c>
      <c r="E259" s="20">
        <v>13680</v>
      </c>
      <c r="F259" s="14"/>
      <c r="G259" s="14"/>
      <c r="H259" s="14"/>
      <c r="I259" s="14"/>
      <c r="J259" s="14"/>
      <c r="K259" s="14"/>
      <c r="L259" s="14"/>
      <c r="M259" s="14"/>
      <c r="N259" s="14"/>
      <c r="O259" s="14"/>
      <c r="P259" s="14"/>
      <c r="Q259" s="14"/>
      <c r="R259" s="14"/>
    </row>
    <row r="260" spans="1:18" x14ac:dyDescent="0.3">
      <c r="A260" s="18">
        <v>1214</v>
      </c>
      <c r="B260" s="37">
        <v>3</v>
      </c>
      <c r="C260" s="14"/>
      <c r="D260" s="18">
        <v>1214</v>
      </c>
      <c r="E260" s="20">
        <v>6780</v>
      </c>
      <c r="F260" s="14"/>
      <c r="G260" s="14"/>
      <c r="H260" s="14"/>
      <c r="I260" s="14"/>
      <c r="J260" s="14"/>
      <c r="K260" s="14"/>
      <c r="L260" s="14"/>
      <c r="M260" s="14"/>
      <c r="N260" s="14"/>
      <c r="O260" s="14"/>
      <c r="P260" s="14"/>
      <c r="Q260" s="14"/>
      <c r="R260" s="14"/>
    </row>
    <row r="261" spans="1:18" x14ac:dyDescent="0.3">
      <c r="A261" s="18">
        <v>1215</v>
      </c>
      <c r="B261" s="37">
        <v>5</v>
      </c>
      <c r="C261" s="14"/>
      <c r="D261" s="18">
        <v>1215</v>
      </c>
      <c r="E261" s="20">
        <v>19240</v>
      </c>
      <c r="F261" s="14"/>
      <c r="G261" s="14"/>
      <c r="H261" s="14"/>
      <c r="I261" s="14"/>
      <c r="J261" s="14"/>
      <c r="K261" s="14"/>
      <c r="L261" s="14"/>
      <c r="M261" s="14"/>
      <c r="N261" s="14"/>
      <c r="O261" s="14"/>
      <c r="P261" s="14"/>
      <c r="Q261" s="14"/>
      <c r="R261" s="14"/>
    </row>
    <row r="262" spans="1:18" x14ac:dyDescent="0.3">
      <c r="A262" s="18">
        <v>1216</v>
      </c>
      <c r="B262" s="37">
        <v>9</v>
      </c>
      <c r="C262" s="14"/>
      <c r="D262" s="18">
        <v>1216</v>
      </c>
      <c r="E262" s="20">
        <v>229950</v>
      </c>
      <c r="F262" s="14"/>
      <c r="G262" s="14"/>
      <c r="H262" s="14"/>
      <c r="I262" s="14"/>
      <c r="J262" s="14"/>
      <c r="K262" s="14"/>
      <c r="L262" s="14"/>
      <c r="M262" s="14"/>
      <c r="N262" s="14"/>
      <c r="O262" s="14"/>
      <c r="P262" s="14"/>
      <c r="Q262" s="14"/>
      <c r="R262" s="14"/>
    </row>
    <row r="263" spans="1:18" x14ac:dyDescent="0.3">
      <c r="A263" s="18">
        <v>1217</v>
      </c>
      <c r="B263" s="37">
        <v>3</v>
      </c>
      <c r="C263" s="14"/>
      <c r="D263" s="18">
        <v>1217</v>
      </c>
      <c r="E263" s="20">
        <v>4110</v>
      </c>
      <c r="F263" s="14"/>
      <c r="G263" s="14"/>
      <c r="H263" s="14"/>
      <c r="I263" s="14"/>
      <c r="J263" s="14"/>
      <c r="K263" s="14"/>
      <c r="L263" s="14"/>
      <c r="M263" s="14"/>
      <c r="N263" s="14"/>
      <c r="O263" s="14"/>
      <c r="P263" s="14"/>
      <c r="Q263" s="14"/>
      <c r="R263" s="14"/>
    </row>
    <row r="264" spans="1:18" x14ac:dyDescent="0.3">
      <c r="A264" s="18">
        <v>1218</v>
      </c>
      <c r="B264" s="37">
        <v>5</v>
      </c>
      <c r="C264" s="14"/>
      <c r="D264" s="18">
        <v>1218</v>
      </c>
      <c r="E264" s="20">
        <v>24360</v>
      </c>
      <c r="F264" s="14"/>
      <c r="G264" s="14"/>
      <c r="H264" s="14"/>
      <c r="I264" s="14"/>
      <c r="J264" s="14"/>
      <c r="K264" s="14"/>
      <c r="L264" s="14"/>
      <c r="M264" s="14"/>
      <c r="N264" s="14"/>
      <c r="O264" s="14"/>
      <c r="P264" s="14"/>
      <c r="Q264" s="14"/>
      <c r="R264" s="14"/>
    </row>
    <row r="265" spans="1:18" x14ac:dyDescent="0.3">
      <c r="A265" s="18">
        <v>1219</v>
      </c>
      <c r="B265" s="37">
        <v>4</v>
      </c>
      <c r="C265" s="14"/>
      <c r="D265" s="18">
        <v>1219</v>
      </c>
      <c r="E265" s="20">
        <v>16124</v>
      </c>
      <c r="F265" s="14"/>
      <c r="G265" s="14"/>
      <c r="H265" s="14"/>
      <c r="I265" s="14"/>
      <c r="J265" s="14"/>
      <c r="K265" s="14"/>
      <c r="L265" s="14"/>
      <c r="M265" s="14"/>
      <c r="N265" s="14"/>
      <c r="O265" s="14"/>
      <c r="P265" s="14"/>
      <c r="Q265" s="14"/>
      <c r="R265" s="14"/>
    </row>
    <row r="266" spans="1:18" x14ac:dyDescent="0.3">
      <c r="A266" s="18">
        <v>1220</v>
      </c>
      <c r="B266" s="37">
        <v>3</v>
      </c>
      <c r="C266" s="14"/>
      <c r="D266" s="18">
        <v>1220</v>
      </c>
      <c r="E266" s="20">
        <v>840</v>
      </c>
      <c r="F266" s="14"/>
      <c r="G266" s="14"/>
      <c r="H266" s="14"/>
      <c r="I266" s="14"/>
      <c r="J266" s="14"/>
      <c r="K266" s="14"/>
      <c r="L266" s="14"/>
      <c r="M266" s="14"/>
      <c r="N266" s="14"/>
      <c r="O266" s="14"/>
      <c r="P266" s="14"/>
      <c r="Q266" s="14"/>
      <c r="R266" s="14"/>
    </row>
    <row r="267" spans="1:18" x14ac:dyDescent="0.3">
      <c r="A267" s="18">
        <v>1221</v>
      </c>
      <c r="B267" s="37">
        <v>3</v>
      </c>
      <c r="C267" s="14"/>
      <c r="D267" s="18">
        <v>1221</v>
      </c>
      <c r="E267" s="20">
        <v>327342</v>
      </c>
      <c r="F267" s="14"/>
      <c r="G267" s="14"/>
      <c r="H267" s="14"/>
      <c r="I267" s="14"/>
      <c r="J267" s="14"/>
      <c r="K267" s="14"/>
      <c r="L267" s="14"/>
      <c r="M267" s="14"/>
      <c r="N267" s="14"/>
      <c r="O267" s="14"/>
      <c r="P267" s="14"/>
      <c r="Q267" s="14"/>
      <c r="R267" s="14"/>
    </row>
    <row r="268" spans="1:18" x14ac:dyDescent="0.3">
      <c r="A268" s="18">
        <v>1222</v>
      </c>
      <c r="B268" s="37">
        <v>3</v>
      </c>
      <c r="C268" s="14"/>
      <c r="D268" s="18">
        <v>1222</v>
      </c>
      <c r="E268" s="20">
        <v>11352</v>
      </c>
      <c r="F268" s="14"/>
      <c r="G268" s="14"/>
      <c r="H268" s="14"/>
      <c r="I268" s="14"/>
      <c r="J268" s="14"/>
      <c r="K268" s="14"/>
      <c r="L268" s="14"/>
      <c r="M268" s="14"/>
      <c r="N268" s="14"/>
      <c r="O268" s="14"/>
      <c r="P268" s="14"/>
      <c r="Q268" s="14"/>
      <c r="R268" s="14"/>
    </row>
    <row r="269" spans="1:18" x14ac:dyDescent="0.3">
      <c r="A269" s="18">
        <v>1223</v>
      </c>
      <c r="B269" s="37">
        <v>5</v>
      </c>
      <c r="C269" s="14"/>
      <c r="D269" s="18">
        <v>1223</v>
      </c>
      <c r="E269" s="20">
        <v>47955</v>
      </c>
      <c r="F269" s="14"/>
      <c r="G269" s="14"/>
      <c r="H269" s="14"/>
      <c r="I269" s="14"/>
      <c r="J269" s="14"/>
      <c r="K269" s="14"/>
      <c r="L269" s="14"/>
      <c r="M269" s="14"/>
      <c r="N269" s="14"/>
      <c r="O269" s="14"/>
      <c r="P269" s="14"/>
      <c r="Q269" s="14"/>
      <c r="R269" s="14"/>
    </row>
    <row r="270" spans="1:18" x14ac:dyDescent="0.3">
      <c r="A270" s="18">
        <v>1224</v>
      </c>
      <c r="B270" s="37">
        <v>8</v>
      </c>
      <c r="C270" s="14"/>
      <c r="D270" s="18">
        <v>1224</v>
      </c>
      <c r="E270" s="20">
        <v>409000</v>
      </c>
      <c r="F270" s="14"/>
      <c r="G270" s="14"/>
      <c r="H270" s="14"/>
      <c r="I270" s="14"/>
      <c r="J270" s="14"/>
      <c r="K270" s="14"/>
      <c r="L270" s="14"/>
      <c r="M270" s="14"/>
      <c r="N270" s="14"/>
      <c r="O270" s="14"/>
      <c r="P270" s="14"/>
      <c r="Q270" s="14"/>
      <c r="R270" s="14"/>
    </row>
    <row r="271" spans="1:18" x14ac:dyDescent="0.3">
      <c r="A271" s="18">
        <v>1225</v>
      </c>
      <c r="B271" s="37">
        <v>4</v>
      </c>
      <c r="C271" s="14"/>
      <c r="D271" s="18">
        <v>1225</v>
      </c>
      <c r="E271" s="20">
        <v>7192</v>
      </c>
      <c r="F271" s="14"/>
      <c r="G271" s="14"/>
      <c r="H271" s="14"/>
      <c r="I271" s="14"/>
      <c r="J271" s="14"/>
      <c r="K271" s="14"/>
      <c r="L271" s="14"/>
      <c r="M271" s="14"/>
      <c r="N271" s="14"/>
      <c r="O271" s="14"/>
      <c r="P271" s="14"/>
      <c r="Q271" s="14"/>
      <c r="R271" s="14"/>
    </row>
    <row r="272" spans="1:18" x14ac:dyDescent="0.3">
      <c r="A272" s="18">
        <v>1226</v>
      </c>
      <c r="B272" s="37">
        <v>1</v>
      </c>
      <c r="C272" s="14"/>
      <c r="D272" s="18">
        <v>1226</v>
      </c>
      <c r="E272" s="20">
        <v>32743</v>
      </c>
      <c r="F272" s="14"/>
      <c r="G272" s="14"/>
      <c r="H272" s="14"/>
      <c r="I272" s="14"/>
      <c r="J272" s="14"/>
      <c r="K272" s="14"/>
      <c r="L272" s="14"/>
      <c r="M272" s="14"/>
      <c r="N272" s="14"/>
      <c r="O272" s="14"/>
      <c r="P272" s="14"/>
      <c r="Q272" s="14"/>
      <c r="R272" s="14"/>
    </row>
    <row r="273" spans="1:18" x14ac:dyDescent="0.3">
      <c r="A273" s="18">
        <v>1227</v>
      </c>
      <c r="B273" s="37">
        <v>4</v>
      </c>
      <c r="C273" s="14"/>
      <c r="D273" s="18">
        <v>1227</v>
      </c>
      <c r="E273" s="20">
        <v>8832</v>
      </c>
      <c r="F273" s="14"/>
      <c r="G273" s="14"/>
      <c r="H273" s="14"/>
      <c r="I273" s="14"/>
      <c r="J273" s="14"/>
      <c r="K273" s="14"/>
      <c r="L273" s="14"/>
      <c r="M273" s="14"/>
      <c r="N273" s="14"/>
      <c r="O273" s="14"/>
      <c r="P273" s="14"/>
      <c r="Q273" s="14"/>
      <c r="R273" s="14"/>
    </row>
    <row r="274" spans="1:18" x14ac:dyDescent="0.3">
      <c r="A274" s="18">
        <v>1228</v>
      </c>
      <c r="B274" s="37">
        <v>3</v>
      </c>
      <c r="C274" s="14"/>
      <c r="D274" s="18">
        <v>1228</v>
      </c>
      <c r="E274" s="20">
        <v>18048</v>
      </c>
      <c r="F274" s="14"/>
      <c r="G274" s="14"/>
      <c r="H274" s="14"/>
      <c r="I274" s="14"/>
      <c r="J274" s="14"/>
      <c r="K274" s="14"/>
      <c r="L274" s="14"/>
      <c r="M274" s="14"/>
      <c r="N274" s="14"/>
      <c r="O274" s="14"/>
      <c r="P274" s="14"/>
      <c r="Q274" s="14"/>
      <c r="R274" s="14"/>
    </row>
    <row r="275" spans="1:18" x14ac:dyDescent="0.3">
      <c r="A275" s="18">
        <v>1229</v>
      </c>
      <c r="B275" s="37">
        <v>3</v>
      </c>
      <c r="C275" s="14"/>
      <c r="D275" s="18">
        <v>1229</v>
      </c>
      <c r="E275" s="20">
        <v>42516</v>
      </c>
      <c r="F275" s="14"/>
      <c r="G275" s="14"/>
      <c r="H275" s="14"/>
      <c r="I275" s="14"/>
      <c r="J275" s="14"/>
      <c r="K275" s="14"/>
      <c r="L275" s="14"/>
      <c r="M275" s="14"/>
      <c r="N275" s="14"/>
      <c r="O275" s="14"/>
      <c r="P275" s="14"/>
      <c r="Q275" s="14"/>
      <c r="R275" s="14"/>
    </row>
    <row r="276" spans="1:18" x14ac:dyDescent="0.3">
      <c r="A276" s="18">
        <v>1230</v>
      </c>
      <c r="B276" s="37">
        <v>10</v>
      </c>
      <c r="C276" s="14"/>
      <c r="D276" s="18">
        <v>1230</v>
      </c>
      <c r="E276" s="20">
        <v>7830</v>
      </c>
    </row>
    <row r="277" spans="1:18" x14ac:dyDescent="0.3">
      <c r="A277" s="18">
        <v>1231</v>
      </c>
      <c r="B277" s="37">
        <v>6</v>
      </c>
      <c r="C277" s="14"/>
      <c r="D277" s="18">
        <v>1231</v>
      </c>
      <c r="E277" s="20">
        <v>402966</v>
      </c>
    </row>
    <row r="278" spans="1:18" x14ac:dyDescent="0.3">
      <c r="A278" s="18">
        <v>1232</v>
      </c>
      <c r="B278" s="37">
        <v>5</v>
      </c>
      <c r="C278" s="14"/>
      <c r="D278" s="18">
        <v>1232</v>
      </c>
      <c r="E278" s="20">
        <v>41610</v>
      </c>
    </row>
    <row r="279" spans="1:18" x14ac:dyDescent="0.3">
      <c r="A279" s="18">
        <v>1233</v>
      </c>
      <c r="B279" s="37">
        <v>3</v>
      </c>
      <c r="C279" s="14"/>
      <c r="D279" s="18">
        <v>1233</v>
      </c>
      <c r="E279" s="20">
        <v>11766</v>
      </c>
    </row>
    <row r="280" spans="1:18" x14ac:dyDescent="0.3">
      <c r="A280" s="18">
        <v>1234</v>
      </c>
      <c r="B280" s="37">
        <v>3</v>
      </c>
      <c r="C280" s="14"/>
      <c r="D280" s="18">
        <v>1234</v>
      </c>
      <c r="E280" s="20">
        <v>34587</v>
      </c>
    </row>
    <row r="281" spans="1:18" x14ac:dyDescent="0.3">
      <c r="A281" s="18">
        <v>1235</v>
      </c>
      <c r="B281" s="37">
        <v>4</v>
      </c>
      <c r="C281" s="14"/>
      <c r="D281" s="18">
        <v>1235</v>
      </c>
      <c r="E281" s="20">
        <v>4120</v>
      </c>
    </row>
    <row r="282" spans="1:18" x14ac:dyDescent="0.3">
      <c r="A282" s="18">
        <v>1236</v>
      </c>
      <c r="B282" s="37">
        <v>4</v>
      </c>
      <c r="C282" s="14"/>
      <c r="D282" s="18">
        <v>1236</v>
      </c>
      <c r="E282" s="20">
        <v>150184</v>
      </c>
    </row>
    <row r="283" spans="1:18" x14ac:dyDescent="0.3">
      <c r="A283" s="18">
        <v>1237</v>
      </c>
      <c r="B283" s="37">
        <v>1</v>
      </c>
      <c r="C283" s="14"/>
      <c r="D283" s="18">
        <v>1237</v>
      </c>
      <c r="E283" s="20">
        <v>836</v>
      </c>
    </row>
    <row r="284" spans="1:18" x14ac:dyDescent="0.3">
      <c r="A284" s="18">
        <v>1238</v>
      </c>
      <c r="B284" s="37">
        <v>2</v>
      </c>
      <c r="C284" s="14"/>
      <c r="D284" s="18">
        <v>1238</v>
      </c>
      <c r="E284" s="20">
        <v>3984</v>
      </c>
    </row>
    <row r="285" spans="1:18" x14ac:dyDescent="0.3">
      <c r="A285" s="18">
        <v>1239</v>
      </c>
      <c r="B285" s="37">
        <v>7</v>
      </c>
      <c r="C285" s="14"/>
      <c r="D285" s="18">
        <v>1239</v>
      </c>
      <c r="E285" s="20">
        <v>175966</v>
      </c>
    </row>
    <row r="286" spans="1:18" x14ac:dyDescent="0.3">
      <c r="A286" s="18">
        <v>1240</v>
      </c>
      <c r="B286" s="37">
        <v>4</v>
      </c>
      <c r="C286" s="14"/>
      <c r="D286" s="18">
        <v>1240</v>
      </c>
      <c r="E286" s="20">
        <v>2892</v>
      </c>
    </row>
    <row r="287" spans="1:18" x14ac:dyDescent="0.3">
      <c r="A287" s="18">
        <v>1241</v>
      </c>
      <c r="B287" s="37">
        <v>3</v>
      </c>
      <c r="C287" s="14"/>
      <c r="D287" s="18">
        <v>1241</v>
      </c>
      <c r="E287" s="20">
        <v>154683</v>
      </c>
    </row>
    <row r="288" spans="1:18" x14ac:dyDescent="0.3">
      <c r="A288" s="18">
        <v>1242</v>
      </c>
      <c r="B288" s="37">
        <v>1</v>
      </c>
      <c r="C288" s="14"/>
      <c r="D288" s="18">
        <v>1242</v>
      </c>
      <c r="E288" s="20">
        <v>8538</v>
      </c>
    </row>
    <row r="289" spans="1:5" x14ac:dyDescent="0.3">
      <c r="A289" s="18">
        <v>1243</v>
      </c>
      <c r="B289" s="37">
        <v>3</v>
      </c>
      <c r="C289" s="14"/>
      <c r="D289" s="18">
        <v>1243</v>
      </c>
      <c r="E289" s="20">
        <v>10752</v>
      </c>
    </row>
    <row r="290" spans="1:5" x14ac:dyDescent="0.3">
      <c r="A290" s="18">
        <v>1244</v>
      </c>
      <c r="B290" s="37">
        <v>3</v>
      </c>
      <c r="C290" s="14"/>
      <c r="D290" s="18">
        <v>1244</v>
      </c>
      <c r="E290" s="20">
        <v>52242</v>
      </c>
    </row>
    <row r="291" spans="1:5" x14ac:dyDescent="0.3">
      <c r="A291" s="18">
        <v>1245</v>
      </c>
      <c r="B291" s="37">
        <v>2</v>
      </c>
      <c r="C291" s="14"/>
      <c r="D291" s="18">
        <v>1245</v>
      </c>
      <c r="E291" s="20">
        <v>4170</v>
      </c>
    </row>
    <row r="292" spans="1:5" x14ac:dyDescent="0.3">
      <c r="A292" s="18">
        <v>1246</v>
      </c>
      <c r="B292" s="37">
        <v>5</v>
      </c>
      <c r="C292" s="14"/>
      <c r="D292" s="18">
        <v>1246</v>
      </c>
      <c r="E292" s="20">
        <v>161465</v>
      </c>
    </row>
    <row r="293" spans="1:5" x14ac:dyDescent="0.3">
      <c r="A293" s="18">
        <v>1247</v>
      </c>
      <c r="B293" s="37">
        <v>4</v>
      </c>
      <c r="C293" s="14"/>
      <c r="D293" s="18">
        <v>1247</v>
      </c>
      <c r="E293" s="20">
        <v>6000</v>
      </c>
    </row>
    <row r="294" spans="1:5" x14ac:dyDescent="0.3">
      <c r="A294" s="18">
        <v>1248</v>
      </c>
      <c r="B294" s="37">
        <v>4</v>
      </c>
      <c r="C294" s="14"/>
      <c r="D294" s="18">
        <v>1248</v>
      </c>
      <c r="E294" s="20">
        <v>20424</v>
      </c>
    </row>
    <row r="295" spans="1:5" x14ac:dyDescent="0.3">
      <c r="A295" s="18">
        <v>1249</v>
      </c>
      <c r="B295" s="37">
        <v>2</v>
      </c>
      <c r="C295" s="14"/>
      <c r="D295" s="18">
        <v>1249</v>
      </c>
      <c r="E295" s="20">
        <v>21396</v>
      </c>
    </row>
    <row r="296" spans="1:5" x14ac:dyDescent="0.3">
      <c r="A296" s="18">
        <v>1250</v>
      </c>
      <c r="B296" s="37">
        <v>5</v>
      </c>
      <c r="C296" s="14"/>
      <c r="D296" s="18">
        <v>1250</v>
      </c>
      <c r="E296" s="20">
        <v>7020</v>
      </c>
    </row>
    <row r="297" spans="1:5" x14ac:dyDescent="0.3">
      <c r="A297" s="18">
        <v>1251</v>
      </c>
      <c r="B297" s="37">
        <v>5</v>
      </c>
      <c r="C297" s="14"/>
      <c r="D297" s="18">
        <v>1251</v>
      </c>
      <c r="E297" s="20">
        <v>573100</v>
      </c>
    </row>
    <row r="298" spans="1:5" x14ac:dyDescent="0.3">
      <c r="A298" s="18">
        <v>1252</v>
      </c>
      <c r="B298" s="37">
        <v>6</v>
      </c>
      <c r="C298" s="14"/>
      <c r="D298" s="18">
        <v>1252</v>
      </c>
      <c r="E298" s="20">
        <v>6930</v>
      </c>
    </row>
    <row r="299" spans="1:5" x14ac:dyDescent="0.3">
      <c r="A299" s="18">
        <v>1253</v>
      </c>
      <c r="B299" s="37">
        <v>1</v>
      </c>
      <c r="C299" s="14"/>
      <c r="D299" s="18">
        <v>1253</v>
      </c>
      <c r="E299" s="20">
        <v>3955</v>
      </c>
    </row>
    <row r="300" spans="1:5" x14ac:dyDescent="0.3">
      <c r="A300" s="18">
        <v>1254</v>
      </c>
      <c r="B300" s="37">
        <v>6</v>
      </c>
      <c r="C300" s="14"/>
      <c r="D300" s="18">
        <v>1254</v>
      </c>
      <c r="E300" s="20">
        <v>138720</v>
      </c>
    </row>
    <row r="301" spans="1:5" x14ac:dyDescent="0.3">
      <c r="A301" s="18">
        <v>1255</v>
      </c>
      <c r="B301" s="37">
        <v>4</v>
      </c>
      <c r="C301" s="14"/>
      <c r="D301" s="18">
        <v>1255</v>
      </c>
      <c r="E301" s="20">
        <v>5484</v>
      </c>
    </row>
    <row r="302" spans="1:5" x14ac:dyDescent="0.3">
      <c r="A302" s="18">
        <v>1256</v>
      </c>
      <c r="B302" s="37">
        <v>4</v>
      </c>
      <c r="C302" s="14"/>
      <c r="D302" s="18">
        <v>1256</v>
      </c>
      <c r="E302" s="20">
        <v>178696</v>
      </c>
    </row>
    <row r="303" spans="1:5" x14ac:dyDescent="0.3">
      <c r="A303" s="18">
        <v>1257</v>
      </c>
      <c r="B303" s="37">
        <v>4</v>
      </c>
      <c r="C303" s="14"/>
      <c r="D303" s="18">
        <v>1257</v>
      </c>
      <c r="E303" s="20">
        <v>7580</v>
      </c>
    </row>
    <row r="304" spans="1:5" x14ac:dyDescent="0.3">
      <c r="A304" s="18">
        <v>1258</v>
      </c>
      <c r="B304" s="37">
        <v>1</v>
      </c>
      <c r="C304" s="14"/>
      <c r="D304" s="18">
        <v>1258</v>
      </c>
      <c r="E304" s="20">
        <v>3335</v>
      </c>
    </row>
    <row r="305" spans="1:5" x14ac:dyDescent="0.3">
      <c r="A305" s="18">
        <v>1259</v>
      </c>
      <c r="B305" s="37">
        <v>3</v>
      </c>
      <c r="C305" s="14"/>
      <c r="D305" s="18">
        <v>1259</v>
      </c>
      <c r="E305" s="20">
        <v>79578</v>
      </c>
    </row>
    <row r="306" spans="1:5" x14ac:dyDescent="0.3">
      <c r="A306" s="18">
        <v>1260</v>
      </c>
      <c r="B306" s="37">
        <v>5</v>
      </c>
      <c r="C306" s="14"/>
      <c r="D306" s="18">
        <v>1260</v>
      </c>
      <c r="E306" s="20">
        <v>10060</v>
      </c>
    </row>
    <row r="307" spans="1:5" x14ac:dyDescent="0.3">
      <c r="A307" s="18">
        <v>1261</v>
      </c>
      <c r="B307" s="37">
        <v>6</v>
      </c>
      <c r="C307" s="14"/>
      <c r="D307" s="18">
        <v>1261</v>
      </c>
      <c r="E307" s="20">
        <v>320994</v>
      </c>
    </row>
    <row r="308" spans="1:5" x14ac:dyDescent="0.3">
      <c r="A308" s="18">
        <v>1262</v>
      </c>
      <c r="B308" s="37">
        <v>6</v>
      </c>
      <c r="C308" s="14"/>
      <c r="D308" s="18">
        <v>1262</v>
      </c>
      <c r="E308" s="20">
        <v>23460</v>
      </c>
    </row>
    <row r="309" spans="1:5" x14ac:dyDescent="0.3">
      <c r="A309" s="18">
        <v>1263</v>
      </c>
      <c r="B309" s="37">
        <v>5</v>
      </c>
      <c r="C309" s="14"/>
      <c r="D309" s="18">
        <v>1263</v>
      </c>
      <c r="E309" s="20">
        <v>17950</v>
      </c>
    </row>
    <row r="310" spans="1:5" x14ac:dyDescent="0.3">
      <c r="A310" s="18">
        <v>1264</v>
      </c>
      <c r="B310" s="37">
        <v>4</v>
      </c>
      <c r="C310" s="14"/>
      <c r="D310" s="18">
        <v>1264</v>
      </c>
      <c r="E310" s="20">
        <v>87080</v>
      </c>
    </row>
    <row r="311" spans="1:5" x14ac:dyDescent="0.3">
      <c r="A311" s="18">
        <v>1265</v>
      </c>
      <c r="B311" s="37">
        <v>5</v>
      </c>
      <c r="C311" s="14"/>
      <c r="D311" s="18">
        <v>1265</v>
      </c>
      <c r="E311" s="20">
        <v>4390</v>
      </c>
    </row>
    <row r="312" spans="1:5" x14ac:dyDescent="0.3">
      <c r="A312" s="18">
        <v>1266</v>
      </c>
      <c r="B312" s="37">
        <v>3</v>
      </c>
      <c r="C312" s="14"/>
      <c r="D312" s="18">
        <v>1266</v>
      </c>
      <c r="E312" s="20">
        <v>85971</v>
      </c>
    </row>
    <row r="313" spans="1:5" x14ac:dyDescent="0.3">
      <c r="A313" s="18">
        <v>1267</v>
      </c>
      <c r="B313" s="37">
        <v>4</v>
      </c>
      <c r="C313" s="14"/>
      <c r="D313" s="18">
        <v>1267</v>
      </c>
      <c r="E313" s="20">
        <v>1576</v>
      </c>
    </row>
    <row r="314" spans="1:5" x14ac:dyDescent="0.3">
      <c r="A314" s="18">
        <v>1268</v>
      </c>
      <c r="B314" s="37">
        <v>4</v>
      </c>
      <c r="C314" s="14"/>
      <c r="D314" s="18">
        <v>1268</v>
      </c>
      <c r="E314" s="20">
        <v>18648</v>
      </c>
    </row>
    <row r="315" spans="1:5" x14ac:dyDescent="0.3">
      <c r="A315" s="18">
        <v>1269</v>
      </c>
      <c r="B315" s="37">
        <v>4</v>
      </c>
      <c r="C315" s="14"/>
      <c r="D315" s="18">
        <v>1269</v>
      </c>
      <c r="E315" s="20">
        <v>16264</v>
      </c>
    </row>
    <row r="316" spans="1:5" x14ac:dyDescent="0.3">
      <c r="A316" s="18">
        <v>1270</v>
      </c>
      <c r="B316" s="37">
        <v>7</v>
      </c>
      <c r="C316" s="14"/>
      <c r="D316" s="18">
        <v>1270</v>
      </c>
      <c r="E316" s="20">
        <v>7350</v>
      </c>
    </row>
    <row r="317" spans="1:5" x14ac:dyDescent="0.3">
      <c r="A317" s="18">
        <v>1271</v>
      </c>
      <c r="B317" s="37">
        <v>2</v>
      </c>
      <c r="C317" s="14"/>
      <c r="D317" s="18">
        <v>1271</v>
      </c>
      <c r="E317" s="20">
        <v>81584</v>
      </c>
    </row>
    <row r="318" spans="1:5" x14ac:dyDescent="0.3">
      <c r="A318" s="18">
        <v>1272</v>
      </c>
      <c r="B318" s="37">
        <v>3</v>
      </c>
      <c r="C318" s="14"/>
      <c r="D318" s="18">
        <v>1272</v>
      </c>
      <c r="E318" s="20">
        <v>20280</v>
      </c>
    </row>
    <row r="319" spans="1:5" x14ac:dyDescent="0.3">
      <c r="A319" s="18">
        <v>1273</v>
      </c>
      <c r="B319" s="37">
        <v>3</v>
      </c>
      <c r="C319" s="14"/>
      <c r="D319" s="18">
        <v>1273</v>
      </c>
      <c r="E319" s="20">
        <v>6366</v>
      </c>
    </row>
    <row r="320" spans="1:5" x14ac:dyDescent="0.3">
      <c r="A320" s="18">
        <v>1274</v>
      </c>
      <c r="B320" s="37">
        <v>2</v>
      </c>
      <c r="C320" s="14"/>
      <c r="D320" s="18">
        <v>1274</v>
      </c>
      <c r="E320" s="20">
        <v>96100</v>
      </c>
    </row>
    <row r="321" spans="1:5" x14ac:dyDescent="0.3">
      <c r="A321" s="18">
        <v>1275</v>
      </c>
      <c r="B321" s="37">
        <v>4</v>
      </c>
      <c r="C321" s="14"/>
      <c r="D321" s="18">
        <v>1275</v>
      </c>
      <c r="E321" s="20">
        <v>3604</v>
      </c>
    </row>
    <row r="322" spans="1:5" x14ac:dyDescent="0.3">
      <c r="A322" s="18">
        <v>1276</v>
      </c>
      <c r="B322" s="37">
        <v>7</v>
      </c>
      <c r="C322" s="14"/>
      <c r="D322" s="18">
        <v>1276</v>
      </c>
      <c r="E322" s="20">
        <v>262528</v>
      </c>
    </row>
    <row r="323" spans="1:5" x14ac:dyDescent="0.3">
      <c r="A323" s="18">
        <v>1277</v>
      </c>
      <c r="B323" s="37">
        <v>4</v>
      </c>
      <c r="C323" s="14"/>
      <c r="D323" s="18">
        <v>1277</v>
      </c>
      <c r="E323" s="20">
        <v>516</v>
      </c>
    </row>
    <row r="324" spans="1:5" x14ac:dyDescent="0.3">
      <c r="A324" s="18">
        <v>1278</v>
      </c>
      <c r="B324" s="37">
        <v>3</v>
      </c>
      <c r="C324" s="14"/>
      <c r="D324" s="18">
        <v>1278</v>
      </c>
      <c r="E324" s="20">
        <v>2484</v>
      </c>
    </row>
    <row r="325" spans="1:5" x14ac:dyDescent="0.3">
      <c r="A325" s="18">
        <v>1279</v>
      </c>
      <c r="B325" s="37">
        <v>5</v>
      </c>
      <c r="C325" s="14"/>
      <c r="D325" s="18">
        <v>1279</v>
      </c>
      <c r="E325" s="20">
        <v>49990</v>
      </c>
    </row>
    <row r="326" spans="1:5" x14ac:dyDescent="0.3">
      <c r="A326" s="18">
        <v>1280</v>
      </c>
      <c r="B326" s="37">
        <v>4</v>
      </c>
      <c r="C326" s="14"/>
      <c r="D326" s="18">
        <v>1280</v>
      </c>
      <c r="E326" s="20">
        <v>10832</v>
      </c>
    </row>
    <row r="327" spans="1:5" x14ac:dyDescent="0.3">
      <c r="A327" s="18">
        <v>1281</v>
      </c>
      <c r="B327" s="37">
        <v>4</v>
      </c>
      <c r="C327" s="14"/>
      <c r="D327" s="18">
        <v>1281</v>
      </c>
      <c r="E327" s="20">
        <v>189164</v>
      </c>
    </row>
    <row r="328" spans="1:5" x14ac:dyDescent="0.3">
      <c r="A328" s="18">
        <v>1282</v>
      </c>
      <c r="B328" s="37">
        <v>4</v>
      </c>
      <c r="C328" s="14"/>
      <c r="D328" s="18">
        <v>1282</v>
      </c>
      <c r="E328" s="20">
        <v>25524</v>
      </c>
    </row>
    <row r="329" spans="1:5" x14ac:dyDescent="0.3">
      <c r="A329" s="18">
        <v>1283</v>
      </c>
      <c r="B329" s="37">
        <v>6</v>
      </c>
      <c r="C329" s="14"/>
      <c r="D329" s="18">
        <v>1283</v>
      </c>
      <c r="E329" s="20">
        <v>51642</v>
      </c>
    </row>
    <row r="330" spans="1:5" x14ac:dyDescent="0.3">
      <c r="A330" s="18">
        <v>1284</v>
      </c>
      <c r="B330" s="37">
        <v>5</v>
      </c>
      <c r="C330" s="14"/>
      <c r="D330" s="18">
        <v>1284</v>
      </c>
      <c r="E330" s="20">
        <v>110415</v>
      </c>
    </row>
    <row r="331" spans="1:5" x14ac:dyDescent="0.3">
      <c r="A331" s="18">
        <v>1285</v>
      </c>
      <c r="B331" s="37">
        <v>1</v>
      </c>
      <c r="C331" s="14"/>
      <c r="D331" s="18">
        <v>1285</v>
      </c>
      <c r="E331" s="20">
        <v>4140</v>
      </c>
    </row>
    <row r="332" spans="1:5" x14ac:dyDescent="0.3">
      <c r="A332" s="18">
        <v>1286</v>
      </c>
      <c r="B332" s="37">
        <v>5</v>
      </c>
      <c r="C332" s="14"/>
      <c r="D332" s="18">
        <v>1286</v>
      </c>
      <c r="E332" s="20">
        <v>81685</v>
      </c>
    </row>
    <row r="333" spans="1:5" x14ac:dyDescent="0.3">
      <c r="A333" s="18">
        <v>1287</v>
      </c>
      <c r="B333" s="37">
        <v>6</v>
      </c>
      <c r="C333" s="14"/>
      <c r="D333" s="18">
        <v>1287</v>
      </c>
      <c r="E333" s="20">
        <v>5310</v>
      </c>
    </row>
    <row r="334" spans="1:5" x14ac:dyDescent="0.3">
      <c r="A334" s="18">
        <v>1288</v>
      </c>
      <c r="B334" s="37">
        <v>2</v>
      </c>
      <c r="C334" s="14"/>
      <c r="D334" s="18">
        <v>1288</v>
      </c>
      <c r="E334" s="20">
        <v>5944</v>
      </c>
    </row>
    <row r="335" spans="1:5" x14ac:dyDescent="0.3">
      <c r="A335" s="18">
        <v>1289</v>
      </c>
      <c r="B335" s="37">
        <v>5</v>
      </c>
      <c r="C335" s="14"/>
      <c r="D335" s="18">
        <v>1289</v>
      </c>
      <c r="E335" s="20">
        <v>128720</v>
      </c>
    </row>
    <row r="336" spans="1:5" x14ac:dyDescent="0.3">
      <c r="A336" s="18">
        <v>1290</v>
      </c>
      <c r="B336" s="37">
        <v>4</v>
      </c>
      <c r="C336" s="14"/>
      <c r="D336" s="18">
        <v>1290</v>
      </c>
      <c r="E336" s="20">
        <v>8880</v>
      </c>
    </row>
    <row r="337" spans="1:5" x14ac:dyDescent="0.3">
      <c r="A337" s="18">
        <v>1291</v>
      </c>
      <c r="B337" s="37">
        <v>5</v>
      </c>
      <c r="C337" s="14"/>
      <c r="D337" s="18">
        <v>1291</v>
      </c>
      <c r="E337" s="20">
        <v>346480</v>
      </c>
    </row>
    <row r="338" spans="1:5" x14ac:dyDescent="0.3">
      <c r="A338" s="18">
        <v>1292</v>
      </c>
      <c r="B338" s="37">
        <v>7</v>
      </c>
      <c r="C338" s="14"/>
      <c r="D338" s="18">
        <v>1292</v>
      </c>
      <c r="E338" s="20">
        <v>27720</v>
      </c>
    </row>
    <row r="339" spans="1:5" x14ac:dyDescent="0.3">
      <c r="A339" s="18">
        <v>1293</v>
      </c>
      <c r="B339" s="37">
        <v>3</v>
      </c>
      <c r="C339" s="14"/>
      <c r="D339" s="18">
        <v>1293</v>
      </c>
      <c r="E339" s="20">
        <v>40374</v>
      </c>
    </row>
    <row r="340" spans="1:5" x14ac:dyDescent="0.3">
      <c r="A340" s="18">
        <v>1294</v>
      </c>
      <c r="B340" s="37">
        <v>5</v>
      </c>
      <c r="C340" s="14"/>
      <c r="D340" s="18">
        <v>1294</v>
      </c>
      <c r="E340" s="20">
        <v>90730</v>
      </c>
    </row>
    <row r="341" spans="1:5" x14ac:dyDescent="0.3">
      <c r="A341" s="18">
        <v>1295</v>
      </c>
      <c r="B341" s="37">
        <v>1</v>
      </c>
      <c r="C341" s="14"/>
      <c r="D341" s="18">
        <v>1295</v>
      </c>
      <c r="E341" s="20">
        <v>274</v>
      </c>
    </row>
    <row r="342" spans="1:5" x14ac:dyDescent="0.3">
      <c r="A342" s="18">
        <v>1296</v>
      </c>
      <c r="B342" s="37">
        <v>5</v>
      </c>
      <c r="C342" s="14"/>
      <c r="D342" s="18">
        <v>1296</v>
      </c>
      <c r="E342" s="20">
        <v>172740</v>
      </c>
    </row>
    <row r="343" spans="1:5" x14ac:dyDescent="0.3">
      <c r="A343" s="18">
        <v>1297</v>
      </c>
      <c r="B343" s="37">
        <v>2</v>
      </c>
      <c r="C343" s="14"/>
      <c r="D343" s="18">
        <v>1297</v>
      </c>
      <c r="E343" s="20">
        <v>1850</v>
      </c>
    </row>
    <row r="344" spans="1:5" x14ac:dyDescent="0.3">
      <c r="A344" s="18">
        <v>1298</v>
      </c>
      <c r="B344" s="37">
        <v>2</v>
      </c>
      <c r="C344" s="14"/>
      <c r="D344" s="18">
        <v>1298</v>
      </c>
      <c r="E344" s="20">
        <v>7192</v>
      </c>
    </row>
    <row r="345" spans="1:5" x14ac:dyDescent="0.3">
      <c r="A345" s="18">
        <v>1299</v>
      </c>
      <c r="B345" s="37">
        <v>4</v>
      </c>
      <c r="C345" s="14"/>
      <c r="D345" s="18">
        <v>1299</v>
      </c>
      <c r="E345" s="20">
        <v>95104</v>
      </c>
    </row>
    <row r="346" spans="1:5" x14ac:dyDescent="0.3">
      <c r="A346" s="18">
        <v>1300</v>
      </c>
      <c r="B346" s="37">
        <v>1</v>
      </c>
      <c r="C346" s="14"/>
      <c r="D346" s="18">
        <v>1300</v>
      </c>
      <c r="E346" s="20">
        <v>1653</v>
      </c>
    </row>
    <row r="347" spans="1:5" x14ac:dyDescent="0.3">
      <c r="A347" s="18">
        <v>1301</v>
      </c>
      <c r="B347" s="37">
        <v>2</v>
      </c>
      <c r="C347" s="14"/>
      <c r="D347" s="18">
        <v>1301</v>
      </c>
      <c r="E347" s="20">
        <v>115290</v>
      </c>
    </row>
    <row r="348" spans="1:5" x14ac:dyDescent="0.3">
      <c r="A348" s="18">
        <v>1302</v>
      </c>
      <c r="B348" s="37">
        <v>3</v>
      </c>
      <c r="C348" s="14"/>
      <c r="D348" s="18">
        <v>1302</v>
      </c>
      <c r="E348" s="20">
        <v>23802</v>
      </c>
    </row>
    <row r="349" spans="1:5" x14ac:dyDescent="0.3">
      <c r="A349" s="18">
        <v>1303</v>
      </c>
      <c r="B349" s="37">
        <v>3</v>
      </c>
      <c r="C349" s="14"/>
      <c r="D349" s="18">
        <v>1303</v>
      </c>
      <c r="E349" s="20">
        <v>13779</v>
      </c>
    </row>
    <row r="350" spans="1:5" x14ac:dyDescent="0.3">
      <c r="A350" s="18">
        <v>1304</v>
      </c>
      <c r="B350" s="37">
        <v>5</v>
      </c>
      <c r="C350" s="14"/>
      <c r="D350" s="18">
        <v>1304</v>
      </c>
      <c r="E350" s="20">
        <v>114560</v>
      </c>
    </row>
    <row r="351" spans="1:5" x14ac:dyDescent="0.3">
      <c r="A351" s="18">
        <v>1305</v>
      </c>
      <c r="B351" s="37">
        <v>4</v>
      </c>
      <c r="C351" s="14"/>
      <c r="D351" s="18">
        <v>1305</v>
      </c>
      <c r="E351" s="20">
        <v>3984</v>
      </c>
    </row>
    <row r="352" spans="1:5" x14ac:dyDescent="0.3">
      <c r="A352" s="18">
        <v>1306</v>
      </c>
      <c r="B352" s="37">
        <v>2</v>
      </c>
      <c r="C352" s="14"/>
      <c r="D352" s="18">
        <v>1306</v>
      </c>
      <c r="E352" s="20">
        <v>158840</v>
      </c>
    </row>
    <row r="353" spans="1:5" x14ac:dyDescent="0.3">
      <c r="A353" s="18">
        <v>1307</v>
      </c>
      <c r="B353" s="37">
        <v>5</v>
      </c>
      <c r="C353" s="14"/>
      <c r="D353" s="18">
        <v>1307</v>
      </c>
      <c r="E353" s="20">
        <v>2955</v>
      </c>
    </row>
    <row r="354" spans="1:5" x14ac:dyDescent="0.3">
      <c r="A354" s="18">
        <v>1308</v>
      </c>
      <c r="B354" s="37">
        <v>2</v>
      </c>
      <c r="C354" s="14"/>
      <c r="D354" s="18">
        <v>1308</v>
      </c>
      <c r="E354" s="20">
        <v>7260</v>
      </c>
    </row>
    <row r="355" spans="1:5" x14ac:dyDescent="0.3">
      <c r="A355" s="18">
        <v>1309</v>
      </c>
      <c r="B355" s="37">
        <v>2</v>
      </c>
      <c r="C355" s="14"/>
      <c r="D355" s="18">
        <v>1309</v>
      </c>
      <c r="E355" s="20">
        <v>15796</v>
      </c>
    </row>
    <row r="356" spans="1:5" x14ac:dyDescent="0.3">
      <c r="A356" s="18">
        <v>1310</v>
      </c>
      <c r="B356" s="37">
        <v>3</v>
      </c>
      <c r="C356" s="14"/>
      <c r="D356" s="18">
        <v>1310</v>
      </c>
      <c r="E356" s="20">
        <v>624</v>
      </c>
    </row>
    <row r="357" spans="1:5" x14ac:dyDescent="0.3">
      <c r="A357" s="18">
        <v>1311</v>
      </c>
      <c r="B357" s="37">
        <v>2</v>
      </c>
      <c r="C357" s="14"/>
      <c r="D357" s="18">
        <v>1311</v>
      </c>
      <c r="E357" s="20">
        <v>101210</v>
      </c>
    </row>
    <row r="358" spans="1:5" x14ac:dyDescent="0.3">
      <c r="A358" s="18">
        <v>1312</v>
      </c>
      <c r="B358" s="37">
        <v>10</v>
      </c>
      <c r="C358" s="14"/>
      <c r="D358" s="18">
        <v>1312</v>
      </c>
      <c r="E358" s="20">
        <v>129570</v>
      </c>
    </row>
    <row r="359" spans="1:5" x14ac:dyDescent="0.3">
      <c r="A359" s="18">
        <v>1313</v>
      </c>
      <c r="B359" s="37">
        <v>3</v>
      </c>
      <c r="C359" s="14"/>
      <c r="D359" s="18">
        <v>1313</v>
      </c>
      <c r="E359" s="20">
        <v>11163</v>
      </c>
    </row>
    <row r="360" spans="1:5" x14ac:dyDescent="0.3">
      <c r="A360" s="18">
        <v>1314</v>
      </c>
      <c r="B360" s="37">
        <v>8</v>
      </c>
      <c r="C360" s="14"/>
      <c r="D360" s="18">
        <v>1314</v>
      </c>
      <c r="E360" s="20">
        <v>206880</v>
      </c>
    </row>
    <row r="361" spans="1:5" x14ac:dyDescent="0.3">
      <c r="A361" s="18">
        <v>1315</v>
      </c>
      <c r="B361" s="37">
        <v>3</v>
      </c>
      <c r="C361" s="14"/>
      <c r="D361" s="18">
        <v>1315</v>
      </c>
      <c r="E361" s="20">
        <v>8484</v>
      </c>
    </row>
    <row r="362" spans="1:5" x14ac:dyDescent="0.3">
      <c r="A362" s="18">
        <v>1316</v>
      </c>
      <c r="B362" s="37">
        <v>6</v>
      </c>
      <c r="C362" s="14"/>
      <c r="D362" s="18">
        <v>1316</v>
      </c>
      <c r="E362" s="20">
        <v>442884</v>
      </c>
    </row>
    <row r="363" spans="1:5" x14ac:dyDescent="0.3">
      <c r="A363" s="18">
        <v>1317</v>
      </c>
      <c r="B363" s="37">
        <v>3</v>
      </c>
      <c r="C363" s="14"/>
      <c r="D363" s="18">
        <v>1317</v>
      </c>
      <c r="E363" s="20">
        <v>2826</v>
      </c>
    </row>
    <row r="364" spans="1:5" x14ac:dyDescent="0.3">
      <c r="A364" s="18">
        <v>1318</v>
      </c>
      <c r="B364" s="37">
        <v>3</v>
      </c>
      <c r="C364" s="14"/>
      <c r="D364" s="18">
        <v>1318</v>
      </c>
      <c r="E364" s="20">
        <v>7434</v>
      </c>
    </row>
    <row r="365" spans="1:5" x14ac:dyDescent="0.3">
      <c r="A365" s="18">
        <v>1319</v>
      </c>
      <c r="B365" s="37">
        <v>5</v>
      </c>
      <c r="C365" s="14"/>
      <c r="D365" s="18">
        <v>1319</v>
      </c>
      <c r="E365" s="20">
        <v>19705</v>
      </c>
    </row>
    <row r="366" spans="1:5" x14ac:dyDescent="0.3">
      <c r="A366" s="18">
        <v>1320</v>
      </c>
      <c r="B366" s="37">
        <v>4</v>
      </c>
      <c r="C366" s="14"/>
      <c r="D366" s="18">
        <v>1320</v>
      </c>
      <c r="E366" s="20">
        <v>3808</v>
      </c>
    </row>
    <row r="367" spans="1:5" x14ac:dyDescent="0.3">
      <c r="A367" s="18">
        <v>1321</v>
      </c>
      <c r="B367" s="37">
        <v>1</v>
      </c>
      <c r="C367" s="14"/>
      <c r="D367" s="18">
        <v>1321</v>
      </c>
      <c r="E367" s="20">
        <v>83316</v>
      </c>
    </row>
    <row r="368" spans="1:5" x14ac:dyDescent="0.3">
      <c r="A368" s="18">
        <v>1322</v>
      </c>
      <c r="B368" s="37">
        <v>4</v>
      </c>
      <c r="C368" s="14"/>
      <c r="D368" s="18">
        <v>1322</v>
      </c>
      <c r="E368" s="20">
        <v>16336</v>
      </c>
    </row>
    <row r="369" spans="1:5" x14ac:dyDescent="0.3">
      <c r="A369" s="18">
        <v>1323</v>
      </c>
      <c r="B369" s="37">
        <v>2</v>
      </c>
      <c r="C369" s="14"/>
      <c r="D369" s="18">
        <v>1323</v>
      </c>
      <c r="E369" s="20">
        <v>18588</v>
      </c>
    </row>
    <row r="370" spans="1:5" x14ac:dyDescent="0.3">
      <c r="A370" s="18">
        <v>1324</v>
      </c>
      <c r="B370" s="37">
        <v>5</v>
      </c>
      <c r="C370" s="14"/>
      <c r="D370" s="18">
        <v>1324</v>
      </c>
      <c r="E370" s="20">
        <v>455650</v>
      </c>
    </row>
    <row r="371" spans="1:5" x14ac:dyDescent="0.3">
      <c r="A371" s="18">
        <v>1325</v>
      </c>
      <c r="B371" s="37">
        <v>5</v>
      </c>
      <c r="C371" s="14"/>
      <c r="D371" s="18">
        <v>1325</v>
      </c>
      <c r="E371" s="20">
        <v>7450</v>
      </c>
    </row>
    <row r="372" spans="1:5" x14ac:dyDescent="0.3">
      <c r="A372" s="18">
        <v>1326</v>
      </c>
      <c r="B372" s="37">
        <v>3</v>
      </c>
      <c r="C372" s="14"/>
      <c r="D372" s="18">
        <v>1326</v>
      </c>
      <c r="E372" s="20">
        <v>77952</v>
      </c>
    </row>
    <row r="373" spans="1:5" x14ac:dyDescent="0.3">
      <c r="A373" s="18">
        <v>1327</v>
      </c>
      <c r="B373" s="37">
        <v>7</v>
      </c>
      <c r="C373" s="14"/>
      <c r="D373" s="18">
        <v>1327</v>
      </c>
      <c r="E373" s="20">
        <v>34440</v>
      </c>
    </row>
    <row r="374" spans="1:5" x14ac:dyDescent="0.3">
      <c r="A374" s="18">
        <v>1328</v>
      </c>
      <c r="B374" s="37">
        <v>6</v>
      </c>
      <c r="C374" s="14"/>
      <c r="D374" s="18">
        <v>1328</v>
      </c>
      <c r="E374" s="20">
        <v>42960</v>
      </c>
    </row>
    <row r="375" spans="1:5" x14ac:dyDescent="0.3">
      <c r="A375" s="18">
        <v>1329</v>
      </c>
      <c r="B375" s="37">
        <v>3</v>
      </c>
      <c r="C375" s="14"/>
      <c r="D375" s="18">
        <v>1329</v>
      </c>
      <c r="E375" s="20">
        <v>73944</v>
      </c>
    </row>
    <row r="376" spans="1:5" x14ac:dyDescent="0.3">
      <c r="A376" s="18">
        <v>1330</v>
      </c>
      <c r="B376" s="37">
        <v>6</v>
      </c>
      <c r="C376" s="14"/>
      <c r="D376" s="18">
        <v>1330</v>
      </c>
      <c r="E376" s="20">
        <v>16920</v>
      </c>
    </row>
    <row r="377" spans="1:5" x14ac:dyDescent="0.3">
      <c r="A377" s="18">
        <v>1331</v>
      </c>
      <c r="B377" s="37">
        <v>4</v>
      </c>
      <c r="C377" s="14"/>
      <c r="D377" s="18">
        <v>1331</v>
      </c>
      <c r="E377" s="20">
        <v>533624</v>
      </c>
    </row>
    <row r="378" spans="1:5" x14ac:dyDescent="0.3">
      <c r="A378" s="18">
        <v>1332</v>
      </c>
      <c r="B378" s="37">
        <v>3</v>
      </c>
      <c r="C378" s="14"/>
      <c r="D378" s="18">
        <v>1332</v>
      </c>
      <c r="E378" s="20">
        <v>6726</v>
      </c>
    </row>
    <row r="379" spans="1:5" x14ac:dyDescent="0.3">
      <c r="A379" s="18">
        <v>1333</v>
      </c>
      <c r="B379" s="37">
        <v>3</v>
      </c>
      <c r="C379" s="14"/>
      <c r="D379" s="18">
        <v>1333</v>
      </c>
      <c r="E379" s="20">
        <v>27855</v>
      </c>
    </row>
    <row r="380" spans="1:5" x14ac:dyDescent="0.3">
      <c r="A380" s="18">
        <v>1334</v>
      </c>
      <c r="B380" s="37">
        <v>2</v>
      </c>
      <c r="C380" s="14"/>
      <c r="D380" s="18">
        <v>1334</v>
      </c>
      <c r="E380" s="20">
        <v>24096</v>
      </c>
    </row>
    <row r="381" spans="1:5" x14ac:dyDescent="0.3">
      <c r="A381" s="18">
        <v>1335</v>
      </c>
      <c r="B381" s="37">
        <v>6</v>
      </c>
      <c r="C381" s="14"/>
      <c r="D381" s="18">
        <v>1335</v>
      </c>
      <c r="E381" s="20">
        <v>6192</v>
      </c>
    </row>
    <row r="382" spans="1:5" x14ac:dyDescent="0.3">
      <c r="A382" s="18">
        <v>1336</v>
      </c>
      <c r="B382" s="37">
        <v>4</v>
      </c>
      <c r="C382" s="14"/>
      <c r="D382" s="18">
        <v>1336</v>
      </c>
      <c r="E382" s="20">
        <v>152244</v>
      </c>
    </row>
    <row r="383" spans="1:5" x14ac:dyDescent="0.3">
      <c r="A383" s="18">
        <v>1337</v>
      </c>
      <c r="B383" s="37">
        <v>5</v>
      </c>
      <c r="C383" s="14"/>
      <c r="D383" s="18">
        <v>1337</v>
      </c>
      <c r="E383" s="20">
        <v>3660</v>
      </c>
    </row>
    <row r="384" spans="1:5" x14ac:dyDescent="0.3">
      <c r="A384" s="18">
        <v>1338</v>
      </c>
      <c r="B384" s="37">
        <v>4</v>
      </c>
      <c r="C384" s="14"/>
      <c r="D384" s="18">
        <v>1338</v>
      </c>
      <c r="E384" s="20">
        <v>7308</v>
      </c>
    </row>
    <row r="385" spans="1:5" x14ac:dyDescent="0.3">
      <c r="A385" s="18">
        <v>1339</v>
      </c>
      <c r="B385" s="37">
        <v>3</v>
      </c>
      <c r="C385" s="14"/>
      <c r="D385" s="18">
        <v>1339</v>
      </c>
      <c r="E385" s="20">
        <v>18588</v>
      </c>
    </row>
    <row r="386" spans="1:5" x14ac:dyDescent="0.3">
      <c r="A386" s="18">
        <v>1340</v>
      </c>
      <c r="B386" s="37">
        <v>1</v>
      </c>
      <c r="C386" s="14"/>
      <c r="D386" s="18">
        <v>1340</v>
      </c>
      <c r="E386" s="20">
        <v>1270</v>
      </c>
    </row>
    <row r="387" spans="1:5" x14ac:dyDescent="0.3">
      <c r="A387" s="18">
        <v>1341</v>
      </c>
      <c r="B387" s="37">
        <v>4</v>
      </c>
      <c r="C387" s="14"/>
      <c r="D387" s="18">
        <v>1341</v>
      </c>
      <c r="E387" s="20">
        <v>462264</v>
      </c>
    </row>
    <row r="388" spans="1:5" x14ac:dyDescent="0.3">
      <c r="A388" s="18">
        <v>1342</v>
      </c>
      <c r="B388" s="37">
        <v>1</v>
      </c>
      <c r="C388" s="14"/>
      <c r="D388" s="18">
        <v>1342</v>
      </c>
      <c r="E388" s="20">
        <v>3906</v>
      </c>
    </row>
    <row r="389" spans="1:5" x14ac:dyDescent="0.3">
      <c r="A389" s="18">
        <v>1343</v>
      </c>
      <c r="B389" s="37">
        <v>1</v>
      </c>
      <c r="C389" s="14"/>
      <c r="D389" s="18">
        <v>1343</v>
      </c>
      <c r="E389" s="20">
        <v>1283</v>
      </c>
    </row>
    <row r="390" spans="1:5" x14ac:dyDescent="0.3">
      <c r="A390" s="18">
        <v>1344</v>
      </c>
      <c r="B390" s="37">
        <v>1</v>
      </c>
      <c r="C390" s="14"/>
      <c r="D390" s="18">
        <v>1344</v>
      </c>
      <c r="E390" s="20">
        <v>21676</v>
      </c>
    </row>
    <row r="391" spans="1:5" x14ac:dyDescent="0.3">
      <c r="A391" s="18">
        <v>1345</v>
      </c>
      <c r="B391" s="37">
        <v>1</v>
      </c>
      <c r="C391" s="14"/>
      <c r="D391" s="18">
        <v>1345</v>
      </c>
      <c r="E391" s="20">
        <v>895</v>
      </c>
    </row>
    <row r="392" spans="1:5" x14ac:dyDescent="0.3">
      <c r="A392" s="18">
        <v>1346</v>
      </c>
      <c r="B392" s="37">
        <v>1</v>
      </c>
      <c r="C392" s="14"/>
      <c r="D392" s="18">
        <v>1346</v>
      </c>
      <c r="E392" s="20">
        <v>29148</v>
      </c>
    </row>
    <row r="393" spans="1:5" x14ac:dyDescent="0.3">
      <c r="A393" s="18">
        <v>1347</v>
      </c>
      <c r="B393" s="37">
        <v>1</v>
      </c>
      <c r="C393" s="14"/>
      <c r="D393" s="18">
        <v>1347</v>
      </c>
      <c r="E393" s="20">
        <v>696</v>
      </c>
    </row>
    <row r="394" spans="1:5" x14ac:dyDescent="0.3">
      <c r="A394" s="18">
        <v>1348</v>
      </c>
      <c r="B394" s="37">
        <v>1</v>
      </c>
      <c r="C394" s="14"/>
      <c r="D394" s="18">
        <v>1348</v>
      </c>
      <c r="E394" s="20">
        <v>2176</v>
      </c>
    </row>
    <row r="395" spans="1:5" x14ac:dyDescent="0.3">
      <c r="A395" s="18">
        <v>1349</v>
      </c>
      <c r="B395" s="37">
        <v>1</v>
      </c>
      <c r="C395" s="14"/>
      <c r="D395" s="18">
        <v>1349</v>
      </c>
      <c r="E395" s="20">
        <v>13858</v>
      </c>
    </row>
    <row r="396" spans="1:5" x14ac:dyDescent="0.3">
      <c r="A396" s="18">
        <v>1350</v>
      </c>
      <c r="B396" s="37">
        <v>1</v>
      </c>
      <c r="C396" s="14"/>
      <c r="D396" s="18">
        <v>1350</v>
      </c>
      <c r="E396" s="20">
        <v>645</v>
      </c>
    </row>
    <row r="397" spans="1:5" x14ac:dyDescent="0.3">
      <c r="A397" s="18">
        <v>1351</v>
      </c>
      <c r="B397" s="37">
        <v>1</v>
      </c>
      <c r="C397" s="14"/>
      <c r="D397" s="18">
        <v>1351</v>
      </c>
      <c r="E397" s="20">
        <v>115662</v>
      </c>
    </row>
    <row r="398" spans="1:5" x14ac:dyDescent="0.3">
      <c r="A398" s="18">
        <v>1352</v>
      </c>
      <c r="B398" s="37">
        <v>1</v>
      </c>
      <c r="C398" s="14"/>
      <c r="D398" s="18">
        <v>1352</v>
      </c>
      <c r="E398" s="20">
        <v>2608</v>
      </c>
    </row>
    <row r="399" spans="1:5" x14ac:dyDescent="0.3">
      <c r="A399" s="18">
        <v>1353</v>
      </c>
      <c r="B399" s="37">
        <v>1</v>
      </c>
      <c r="C399" s="14"/>
      <c r="D399" s="18">
        <v>1353</v>
      </c>
      <c r="E399" s="20">
        <v>3751</v>
      </c>
    </row>
    <row r="400" spans="1:5" x14ac:dyDescent="0.3">
      <c r="A400" s="18">
        <v>1354</v>
      </c>
      <c r="B400" s="37">
        <v>1</v>
      </c>
      <c r="C400" s="14"/>
      <c r="D400" s="18">
        <v>1354</v>
      </c>
      <c r="E400" s="20">
        <v>59880</v>
      </c>
    </row>
    <row r="401" spans="1:5" x14ac:dyDescent="0.3">
      <c r="A401" s="18">
        <v>1355</v>
      </c>
      <c r="B401" s="37">
        <v>1</v>
      </c>
      <c r="C401" s="14"/>
      <c r="D401" s="18">
        <v>1355</v>
      </c>
      <c r="E401" s="20">
        <v>542</v>
      </c>
    </row>
    <row r="402" spans="1:5" x14ac:dyDescent="0.3">
      <c r="A402" s="18">
        <v>1356</v>
      </c>
      <c r="B402" s="37">
        <v>1</v>
      </c>
      <c r="C402" s="14"/>
      <c r="D402" s="18">
        <v>1356</v>
      </c>
      <c r="E402" s="20">
        <v>69708</v>
      </c>
    </row>
    <row r="403" spans="1:5" x14ac:dyDescent="0.3">
      <c r="A403" s="18">
        <v>1357</v>
      </c>
      <c r="B403" s="37">
        <v>1</v>
      </c>
      <c r="C403" s="14"/>
      <c r="D403" s="18">
        <v>1357</v>
      </c>
      <c r="E403" s="20">
        <v>3284</v>
      </c>
    </row>
    <row r="404" spans="1:5" x14ac:dyDescent="0.3">
      <c r="A404" s="18">
        <v>1358</v>
      </c>
      <c r="B404" s="37">
        <v>1</v>
      </c>
      <c r="C404" s="14"/>
      <c r="D404" s="18">
        <v>1358</v>
      </c>
      <c r="E404" s="20">
        <v>5015</v>
      </c>
    </row>
    <row r="405" spans="1:5" x14ac:dyDescent="0.3">
      <c r="A405" s="18">
        <v>1359</v>
      </c>
      <c r="B405" s="37">
        <v>1</v>
      </c>
      <c r="C405" s="14"/>
      <c r="D405" s="18">
        <v>1359</v>
      </c>
      <c r="E405" s="20">
        <v>9526</v>
      </c>
    </row>
    <row r="406" spans="1:5" x14ac:dyDescent="0.3">
      <c r="A406" s="18">
        <v>1360</v>
      </c>
      <c r="B406" s="37">
        <v>1</v>
      </c>
      <c r="C406" s="14"/>
      <c r="D406" s="18">
        <v>1360</v>
      </c>
      <c r="E406" s="20">
        <v>1585</v>
      </c>
    </row>
    <row r="407" spans="1:5" x14ac:dyDescent="0.3">
      <c r="A407" s="18">
        <v>1361</v>
      </c>
      <c r="B407" s="37">
        <v>1</v>
      </c>
      <c r="C407" s="14"/>
      <c r="D407" s="18">
        <v>1361</v>
      </c>
      <c r="E407" s="20">
        <v>53373</v>
      </c>
    </row>
    <row r="408" spans="1:5" x14ac:dyDescent="0.3">
      <c r="A408" s="18">
        <v>1362</v>
      </c>
      <c r="B408" s="37">
        <v>1</v>
      </c>
      <c r="C408" s="14"/>
      <c r="D408" s="18">
        <v>1362</v>
      </c>
      <c r="E408" s="20">
        <v>9706</v>
      </c>
    </row>
    <row r="409" spans="1:5" x14ac:dyDescent="0.3">
      <c r="A409" s="18">
        <v>1363</v>
      </c>
      <c r="B409" s="37">
        <v>1</v>
      </c>
      <c r="C409" s="14"/>
      <c r="D409" s="18">
        <v>1363</v>
      </c>
      <c r="E409" s="20">
        <v>9576</v>
      </c>
    </row>
    <row r="410" spans="1:5" x14ac:dyDescent="0.3">
      <c r="A410" s="18">
        <v>1364</v>
      </c>
      <c r="B410" s="37">
        <v>1</v>
      </c>
      <c r="C410" s="14"/>
      <c r="D410" s="18">
        <v>1364</v>
      </c>
      <c r="E410" s="20">
        <v>86260</v>
      </c>
    </row>
    <row r="411" spans="1:5" x14ac:dyDescent="0.3">
      <c r="A411" s="18">
        <v>1365</v>
      </c>
      <c r="B411" s="37">
        <v>1</v>
      </c>
      <c r="C411" s="14"/>
      <c r="D411" s="18">
        <v>1365</v>
      </c>
      <c r="E411" s="20">
        <v>895</v>
      </c>
    </row>
    <row r="412" spans="1:5" x14ac:dyDescent="0.3">
      <c r="A412" s="18">
        <v>1366</v>
      </c>
      <c r="B412" s="37">
        <v>1</v>
      </c>
      <c r="C412" s="14"/>
      <c r="D412" s="18">
        <v>1366</v>
      </c>
      <c r="E412" s="20">
        <v>29151</v>
      </c>
    </row>
    <row r="413" spans="1:5" x14ac:dyDescent="0.3">
      <c r="A413" s="18">
        <v>1367</v>
      </c>
      <c r="B413" s="37">
        <v>1</v>
      </c>
      <c r="C413" s="14"/>
      <c r="D413" s="18">
        <v>1367</v>
      </c>
      <c r="E413" s="20">
        <v>1896</v>
      </c>
    </row>
    <row r="414" spans="1:5" x14ac:dyDescent="0.3">
      <c r="A414" s="18">
        <v>1368</v>
      </c>
      <c r="B414" s="37">
        <v>1</v>
      </c>
      <c r="C414" s="14"/>
      <c r="D414" s="18">
        <v>1368</v>
      </c>
      <c r="E414" s="20">
        <v>1670</v>
      </c>
    </row>
    <row r="415" spans="1:5" x14ac:dyDescent="0.3">
      <c r="A415" s="18">
        <v>1369</v>
      </c>
      <c r="B415" s="37">
        <v>1</v>
      </c>
      <c r="C415" s="14"/>
      <c r="D415" s="18">
        <v>1369</v>
      </c>
      <c r="E415" s="20">
        <v>29352</v>
      </c>
    </row>
    <row r="416" spans="1:5" x14ac:dyDescent="0.3">
      <c r="A416" s="18">
        <v>1370</v>
      </c>
      <c r="B416" s="37">
        <v>1</v>
      </c>
      <c r="C416" s="14"/>
      <c r="D416" s="18">
        <v>1370</v>
      </c>
      <c r="E416" s="20">
        <v>1905</v>
      </c>
    </row>
    <row r="417" spans="1:5" x14ac:dyDescent="0.3">
      <c r="A417" s="18">
        <v>1371</v>
      </c>
      <c r="B417" s="37">
        <v>1</v>
      </c>
      <c r="C417" s="14"/>
      <c r="D417" s="18">
        <v>1371</v>
      </c>
      <c r="E417" s="20">
        <v>122180</v>
      </c>
    </row>
    <row r="418" spans="1:5" x14ac:dyDescent="0.3">
      <c r="A418" s="18">
        <v>1372</v>
      </c>
      <c r="B418" s="37">
        <v>1</v>
      </c>
      <c r="C418" s="14"/>
      <c r="D418" s="18">
        <v>1372</v>
      </c>
      <c r="E418" s="20">
        <v>2093</v>
      </c>
    </row>
    <row r="419" spans="1:5" x14ac:dyDescent="0.3">
      <c r="A419" s="18">
        <v>1373</v>
      </c>
      <c r="B419" s="37">
        <v>1</v>
      </c>
      <c r="C419" s="14"/>
      <c r="D419" s="18">
        <v>1373</v>
      </c>
      <c r="E419" s="20">
        <v>14856</v>
      </c>
    </row>
    <row r="420" spans="1:5" x14ac:dyDescent="0.3">
      <c r="A420" s="18">
        <v>1374</v>
      </c>
      <c r="B420" s="37">
        <v>1</v>
      </c>
      <c r="C420" s="14"/>
      <c r="D420" s="18">
        <v>1374</v>
      </c>
      <c r="E420" s="20">
        <v>46328</v>
      </c>
    </row>
    <row r="421" spans="1:5" x14ac:dyDescent="0.3">
      <c r="A421" s="18">
        <v>1375</v>
      </c>
      <c r="B421" s="37">
        <v>1</v>
      </c>
      <c r="C421" s="14"/>
      <c r="D421" s="18">
        <v>1375</v>
      </c>
      <c r="E421" s="20">
        <v>267</v>
      </c>
    </row>
    <row r="422" spans="1:5" x14ac:dyDescent="0.3">
      <c r="A422" s="18">
        <v>1376</v>
      </c>
      <c r="B422" s="37">
        <v>1</v>
      </c>
      <c r="C422" s="14"/>
      <c r="D422" s="18">
        <v>1376</v>
      </c>
      <c r="E422" s="20">
        <v>36468</v>
      </c>
    </row>
    <row r="423" spans="1:5" x14ac:dyDescent="0.3">
      <c r="A423" s="18">
        <v>1377</v>
      </c>
      <c r="B423" s="37">
        <v>1</v>
      </c>
      <c r="C423" s="14"/>
      <c r="D423" s="18">
        <v>1377</v>
      </c>
      <c r="E423" s="20">
        <v>2024</v>
      </c>
    </row>
    <row r="424" spans="1:5" x14ac:dyDescent="0.3">
      <c r="A424" s="18">
        <v>1378</v>
      </c>
      <c r="B424" s="37">
        <v>1</v>
      </c>
      <c r="C424" s="14"/>
      <c r="D424" s="18">
        <v>1378</v>
      </c>
      <c r="E424" s="20">
        <v>640</v>
      </c>
    </row>
    <row r="425" spans="1:5" x14ac:dyDescent="0.3">
      <c r="A425" s="18">
        <v>1379</v>
      </c>
      <c r="B425" s="37">
        <v>1</v>
      </c>
      <c r="C425" s="14"/>
      <c r="D425" s="18">
        <v>1379</v>
      </c>
      <c r="E425" s="20">
        <v>15902</v>
      </c>
    </row>
    <row r="426" spans="1:5" x14ac:dyDescent="0.3">
      <c r="A426" s="18">
        <v>1380</v>
      </c>
      <c r="B426" s="37">
        <v>1</v>
      </c>
      <c r="C426" s="14"/>
      <c r="D426" s="18">
        <v>1380</v>
      </c>
      <c r="E426" s="20">
        <v>1094</v>
      </c>
    </row>
    <row r="427" spans="1:5" x14ac:dyDescent="0.3">
      <c r="A427" s="18">
        <v>1381</v>
      </c>
      <c r="B427" s="37">
        <v>1</v>
      </c>
      <c r="C427" s="14"/>
      <c r="D427" s="18">
        <v>1381</v>
      </c>
      <c r="E427" s="20">
        <v>88256</v>
      </c>
    </row>
    <row r="428" spans="1:5" x14ac:dyDescent="0.3">
      <c r="A428" s="18">
        <v>1382</v>
      </c>
      <c r="B428" s="37">
        <v>1</v>
      </c>
      <c r="C428" s="14"/>
      <c r="D428" s="18">
        <v>1382</v>
      </c>
      <c r="E428" s="20">
        <v>2236</v>
      </c>
    </row>
    <row r="429" spans="1:5" x14ac:dyDescent="0.3">
      <c r="A429" s="18">
        <v>1383</v>
      </c>
      <c r="B429" s="37">
        <v>1</v>
      </c>
      <c r="C429" s="14"/>
      <c r="D429" s="18">
        <v>1383</v>
      </c>
      <c r="E429" s="20">
        <v>2086</v>
      </c>
    </row>
    <row r="430" spans="1:5" x14ac:dyDescent="0.3">
      <c r="A430" s="18">
        <v>1384</v>
      </c>
      <c r="B430" s="37">
        <v>1</v>
      </c>
      <c r="C430" s="14"/>
      <c r="D430" s="18">
        <v>1384</v>
      </c>
      <c r="E430" s="20">
        <v>13880</v>
      </c>
    </row>
    <row r="431" spans="1:5" x14ac:dyDescent="0.3">
      <c r="A431" s="18">
        <v>1385</v>
      </c>
      <c r="B431" s="37">
        <v>1</v>
      </c>
      <c r="C431" s="14"/>
      <c r="D431" s="18">
        <v>1385</v>
      </c>
      <c r="E431" s="20">
        <v>2850</v>
      </c>
    </row>
    <row r="432" spans="1:5" x14ac:dyDescent="0.3">
      <c r="A432" s="18">
        <v>1386</v>
      </c>
      <c r="B432" s="37">
        <v>1</v>
      </c>
      <c r="C432" s="14"/>
      <c r="D432" s="18">
        <v>1386</v>
      </c>
      <c r="E432" s="20">
        <v>70524</v>
      </c>
    </row>
    <row r="433" spans="1:5" x14ac:dyDescent="0.3">
      <c r="A433" s="18">
        <v>1387</v>
      </c>
      <c r="B433" s="37">
        <v>1</v>
      </c>
      <c r="C433" s="14"/>
      <c r="D433" s="18">
        <v>1387</v>
      </c>
      <c r="E433" s="20">
        <v>1974</v>
      </c>
    </row>
    <row r="434" spans="1:5" x14ac:dyDescent="0.3">
      <c r="A434" s="18">
        <v>1388</v>
      </c>
      <c r="B434" s="37">
        <v>1</v>
      </c>
      <c r="C434" s="14"/>
      <c r="D434" s="18">
        <v>1388</v>
      </c>
      <c r="E434" s="20">
        <v>6952</v>
      </c>
    </row>
    <row r="435" spans="1:5" x14ac:dyDescent="0.3">
      <c r="A435" s="18">
        <v>1389</v>
      </c>
      <c r="B435" s="37">
        <v>1</v>
      </c>
      <c r="C435" s="14"/>
      <c r="D435" s="18">
        <v>1389</v>
      </c>
      <c r="E435" s="20">
        <v>24978</v>
      </c>
    </row>
    <row r="436" spans="1:5" x14ac:dyDescent="0.3">
      <c r="A436" s="18">
        <v>1390</v>
      </c>
      <c r="B436" s="37">
        <v>1</v>
      </c>
      <c r="C436" s="14"/>
      <c r="D436" s="18">
        <v>1390</v>
      </c>
      <c r="E436" s="20">
        <v>655</v>
      </c>
    </row>
    <row r="437" spans="1:5" x14ac:dyDescent="0.3">
      <c r="A437" s="18">
        <v>1391</v>
      </c>
      <c r="B437" s="37">
        <v>1</v>
      </c>
      <c r="C437" s="14"/>
      <c r="D437" s="18">
        <v>1391</v>
      </c>
      <c r="E437" s="20">
        <v>43749</v>
      </c>
    </row>
    <row r="438" spans="1:5" x14ac:dyDescent="0.3">
      <c r="A438" s="18">
        <v>1392</v>
      </c>
      <c r="B438" s="37">
        <v>1</v>
      </c>
      <c r="C438" s="14"/>
      <c r="D438" s="18">
        <v>1392</v>
      </c>
      <c r="E438" s="20">
        <v>5622</v>
      </c>
    </row>
    <row r="439" spans="1:5" x14ac:dyDescent="0.3">
      <c r="A439" s="18">
        <v>1393</v>
      </c>
      <c r="B439" s="37">
        <v>1</v>
      </c>
      <c r="C439" s="14"/>
      <c r="D439" s="18">
        <v>1393</v>
      </c>
      <c r="E439" s="20">
        <v>6048</v>
      </c>
    </row>
    <row r="440" spans="1:5" x14ac:dyDescent="0.3">
      <c r="A440" s="18">
        <v>1394</v>
      </c>
      <c r="B440" s="37">
        <v>1</v>
      </c>
      <c r="C440" s="14"/>
      <c r="D440" s="18">
        <v>1394</v>
      </c>
      <c r="E440" s="20">
        <v>6912</v>
      </c>
    </row>
    <row r="441" spans="1:5" x14ac:dyDescent="0.3">
      <c r="A441" s="18">
        <v>1395</v>
      </c>
      <c r="B441" s="37">
        <v>1</v>
      </c>
      <c r="C441" s="14"/>
      <c r="D441" s="18">
        <v>1395</v>
      </c>
      <c r="E441" s="20">
        <v>202</v>
      </c>
    </row>
    <row r="442" spans="1:5" x14ac:dyDescent="0.3">
      <c r="A442" s="18">
        <v>1396</v>
      </c>
      <c r="B442" s="37">
        <v>1</v>
      </c>
      <c r="C442" s="14"/>
      <c r="D442" s="18">
        <v>1396</v>
      </c>
      <c r="E442" s="20">
        <v>12460</v>
      </c>
    </row>
    <row r="443" spans="1:5" x14ac:dyDescent="0.3">
      <c r="A443" s="18">
        <v>1397</v>
      </c>
      <c r="B443" s="37">
        <v>1</v>
      </c>
      <c r="C443" s="14"/>
      <c r="D443" s="18">
        <v>1397</v>
      </c>
      <c r="E443" s="20">
        <v>510</v>
      </c>
    </row>
    <row r="444" spans="1:5" x14ac:dyDescent="0.3">
      <c r="A444" s="18">
        <v>1398</v>
      </c>
      <c r="B444" s="37">
        <v>1</v>
      </c>
      <c r="C444" s="14"/>
      <c r="D444" s="18">
        <v>1398</v>
      </c>
      <c r="E444" s="20">
        <v>2752</v>
      </c>
    </row>
    <row r="445" spans="1:5" x14ac:dyDescent="0.3">
      <c r="A445" s="18">
        <v>1399</v>
      </c>
      <c r="B445" s="37">
        <v>1</v>
      </c>
      <c r="C445" s="14"/>
      <c r="D445" s="18">
        <v>1399</v>
      </c>
      <c r="E445" s="20">
        <v>8218</v>
      </c>
    </row>
    <row r="446" spans="1:5" x14ac:dyDescent="0.3">
      <c r="A446" s="18">
        <v>1400</v>
      </c>
      <c r="B446" s="37">
        <v>1</v>
      </c>
      <c r="C446" s="14"/>
      <c r="D446" s="18">
        <v>1400</v>
      </c>
      <c r="E446" s="20">
        <v>578</v>
      </c>
    </row>
    <row r="447" spans="1:5" x14ac:dyDescent="0.3">
      <c r="A447" s="18">
        <v>1401</v>
      </c>
      <c r="B447" s="37">
        <v>1</v>
      </c>
      <c r="C447" s="14"/>
      <c r="D447" s="18">
        <v>1401</v>
      </c>
      <c r="E447" s="20">
        <v>56349</v>
      </c>
    </row>
    <row r="448" spans="1:5" x14ac:dyDescent="0.3">
      <c r="A448" s="18">
        <v>1402</v>
      </c>
      <c r="B448" s="37">
        <v>1</v>
      </c>
      <c r="C448" s="14"/>
      <c r="D448" s="18">
        <v>1402</v>
      </c>
      <c r="E448" s="20">
        <v>6225</v>
      </c>
    </row>
    <row r="449" spans="1:5" x14ac:dyDescent="0.3">
      <c r="A449" s="18">
        <v>1403</v>
      </c>
      <c r="B449" s="37">
        <v>1</v>
      </c>
      <c r="C449" s="14"/>
      <c r="D449" s="18">
        <v>1403</v>
      </c>
      <c r="E449" s="20">
        <v>10932</v>
      </c>
    </row>
    <row r="450" spans="1:5" x14ac:dyDescent="0.3">
      <c r="A450" s="18">
        <v>1404</v>
      </c>
      <c r="B450" s="37">
        <v>1</v>
      </c>
      <c r="C450" s="14"/>
      <c r="D450" s="18">
        <v>1404</v>
      </c>
      <c r="E450" s="20">
        <v>5904</v>
      </c>
    </row>
    <row r="451" spans="1:5" x14ac:dyDescent="0.3">
      <c r="A451" s="18">
        <v>1405</v>
      </c>
      <c r="B451" s="37">
        <v>1</v>
      </c>
      <c r="C451" s="14"/>
      <c r="D451" s="18">
        <v>1405</v>
      </c>
      <c r="E451" s="20">
        <v>885</v>
      </c>
    </row>
    <row r="452" spans="1:5" x14ac:dyDescent="0.3">
      <c r="A452" s="18">
        <v>1406</v>
      </c>
      <c r="B452" s="37">
        <v>1</v>
      </c>
      <c r="C452" s="14"/>
      <c r="D452" s="18">
        <v>1406</v>
      </c>
      <c r="E452" s="20">
        <v>27414</v>
      </c>
    </row>
    <row r="453" spans="1:5" x14ac:dyDescent="0.3">
      <c r="A453" s="18">
        <v>1407</v>
      </c>
      <c r="B453" s="37">
        <v>1</v>
      </c>
      <c r="C453" s="14"/>
      <c r="D453" s="18">
        <v>1407</v>
      </c>
      <c r="E453" s="20">
        <v>367</v>
      </c>
    </row>
    <row r="454" spans="1:5" x14ac:dyDescent="0.3">
      <c r="A454" s="18">
        <v>1408</v>
      </c>
      <c r="B454" s="37">
        <v>1</v>
      </c>
      <c r="C454" s="14"/>
      <c r="D454" s="18">
        <v>1408</v>
      </c>
      <c r="E454" s="20">
        <v>1396</v>
      </c>
    </row>
    <row r="455" spans="1:5" x14ac:dyDescent="0.3">
      <c r="A455" s="18">
        <v>1409</v>
      </c>
      <c r="B455" s="37">
        <v>1</v>
      </c>
      <c r="C455" s="14"/>
      <c r="D455" s="18">
        <v>1409</v>
      </c>
      <c r="E455" s="20">
        <v>27426</v>
      </c>
    </row>
    <row r="456" spans="1:5" x14ac:dyDescent="0.3">
      <c r="A456" s="18">
        <v>1410</v>
      </c>
      <c r="B456" s="37">
        <v>1</v>
      </c>
      <c r="C456" s="14"/>
      <c r="D456" s="18">
        <v>1410</v>
      </c>
      <c r="E456" s="20">
        <v>2504</v>
      </c>
    </row>
    <row r="457" spans="1:5" x14ac:dyDescent="0.3">
      <c r="A457" s="18">
        <v>1411</v>
      </c>
      <c r="B457" s="37">
        <v>1</v>
      </c>
      <c r="C457" s="14"/>
      <c r="D457" s="18">
        <v>1411</v>
      </c>
      <c r="E457" s="20">
        <v>113826</v>
      </c>
    </row>
    <row r="458" spans="1:5" x14ac:dyDescent="0.3">
      <c r="A458" s="18">
        <v>1412</v>
      </c>
      <c r="B458" s="37">
        <v>1</v>
      </c>
      <c r="C458" s="14"/>
      <c r="D458" s="18">
        <v>1412</v>
      </c>
      <c r="E458" s="20">
        <v>4959</v>
      </c>
    </row>
    <row r="459" spans="1:5" x14ac:dyDescent="0.3">
      <c r="A459" s="18">
        <v>1413</v>
      </c>
      <c r="B459" s="37">
        <v>1</v>
      </c>
      <c r="C459" s="14"/>
      <c r="D459" s="18">
        <v>1413</v>
      </c>
      <c r="E459" s="20">
        <v>5682</v>
      </c>
    </row>
    <row r="460" spans="1:5" x14ac:dyDescent="0.3">
      <c r="A460" s="18">
        <v>1414</v>
      </c>
      <c r="B460" s="37">
        <v>1</v>
      </c>
      <c r="C460" s="14"/>
      <c r="D460" s="18">
        <v>1414</v>
      </c>
      <c r="E460" s="20">
        <v>55664</v>
      </c>
    </row>
    <row r="461" spans="1:5" x14ac:dyDescent="0.3">
      <c r="A461" s="18">
        <v>1415</v>
      </c>
      <c r="B461" s="37">
        <v>1</v>
      </c>
      <c r="C461" s="14"/>
      <c r="D461" s="18">
        <v>1415</v>
      </c>
      <c r="E461" s="20">
        <v>604</v>
      </c>
    </row>
    <row r="462" spans="1:5" x14ac:dyDescent="0.3">
      <c r="A462" s="18">
        <v>1416</v>
      </c>
      <c r="B462" s="37">
        <v>1</v>
      </c>
      <c r="C462" s="14"/>
      <c r="D462" s="18">
        <v>1416</v>
      </c>
      <c r="E462" s="20">
        <v>17923</v>
      </c>
    </row>
    <row r="463" spans="1:5" x14ac:dyDescent="0.3">
      <c r="A463" s="18">
        <v>1417</v>
      </c>
      <c r="B463" s="37">
        <v>1</v>
      </c>
      <c r="C463" s="14"/>
      <c r="D463" s="18">
        <v>1417</v>
      </c>
      <c r="E463" s="20">
        <v>2529</v>
      </c>
    </row>
    <row r="464" spans="1:5" x14ac:dyDescent="0.3">
      <c r="A464" s="18">
        <v>1418</v>
      </c>
      <c r="B464" s="37">
        <v>1</v>
      </c>
      <c r="C464" s="14"/>
      <c r="D464" s="18">
        <v>1418</v>
      </c>
      <c r="E464" s="20">
        <v>3472</v>
      </c>
    </row>
    <row r="465" spans="1:5" x14ac:dyDescent="0.3">
      <c r="A465" s="18">
        <v>1419</v>
      </c>
      <c r="B465" s="37">
        <v>1</v>
      </c>
      <c r="C465" s="14"/>
      <c r="D465" s="18">
        <v>1419</v>
      </c>
      <c r="E465" s="20">
        <v>13704</v>
      </c>
    </row>
    <row r="466" spans="1:5" x14ac:dyDescent="0.3">
      <c r="A466" s="18">
        <v>1420</v>
      </c>
      <c r="B466" s="37">
        <v>1</v>
      </c>
      <c r="C466" s="14"/>
      <c r="D466" s="18">
        <v>1420</v>
      </c>
      <c r="E466" s="20">
        <v>1485</v>
      </c>
    </row>
    <row r="467" spans="1:5" x14ac:dyDescent="0.3">
      <c r="A467" s="18">
        <v>1421</v>
      </c>
      <c r="B467" s="37">
        <v>1</v>
      </c>
      <c r="C467" s="14"/>
      <c r="D467" s="18">
        <v>1421</v>
      </c>
      <c r="E467" s="20">
        <v>118060</v>
      </c>
    </row>
    <row r="468" spans="1:5" x14ac:dyDescent="0.3">
      <c r="A468" s="18">
        <v>1422</v>
      </c>
      <c r="B468" s="37">
        <v>1</v>
      </c>
      <c r="C468" s="14"/>
      <c r="D468" s="18">
        <v>1422</v>
      </c>
      <c r="E468" s="20">
        <v>1043</v>
      </c>
    </row>
    <row r="469" spans="1:5" x14ac:dyDescent="0.3">
      <c r="A469" s="18">
        <v>1423</v>
      </c>
      <c r="B469" s="37">
        <v>1</v>
      </c>
      <c r="C469" s="14"/>
      <c r="D469" s="18">
        <v>1423</v>
      </c>
      <c r="E469" s="20">
        <v>7428</v>
      </c>
    </row>
    <row r="470" spans="1:5" x14ac:dyDescent="0.3">
      <c r="A470" s="18">
        <v>1424</v>
      </c>
      <c r="B470" s="37">
        <v>1</v>
      </c>
      <c r="C470" s="14"/>
      <c r="D470" s="18">
        <v>1424</v>
      </c>
      <c r="E470" s="20">
        <v>9620</v>
      </c>
    </row>
    <row r="471" spans="1:5" x14ac:dyDescent="0.3">
      <c r="A471" s="18">
        <v>1425</v>
      </c>
      <c r="B471" s="37">
        <v>1</v>
      </c>
      <c r="C471" s="14"/>
      <c r="D471" s="18">
        <v>1425</v>
      </c>
      <c r="E471" s="20">
        <v>2619</v>
      </c>
    </row>
    <row r="472" spans="1:5" x14ac:dyDescent="0.3">
      <c r="A472" s="18">
        <v>1426</v>
      </c>
      <c r="B472" s="37">
        <v>1</v>
      </c>
      <c r="C472" s="14"/>
      <c r="D472" s="18">
        <v>1426</v>
      </c>
      <c r="E472" s="20">
        <v>16801</v>
      </c>
    </row>
    <row r="473" spans="1:5" x14ac:dyDescent="0.3">
      <c r="A473" s="18">
        <v>1427</v>
      </c>
      <c r="B473" s="37">
        <v>1</v>
      </c>
      <c r="C473" s="14"/>
      <c r="D473" s="18">
        <v>1427</v>
      </c>
      <c r="E473" s="20">
        <v>1762</v>
      </c>
    </row>
    <row r="474" spans="1:5" x14ac:dyDescent="0.3">
      <c r="A474" s="18">
        <v>1428</v>
      </c>
      <c r="B474" s="37">
        <v>1</v>
      </c>
      <c r="C474" s="14"/>
      <c r="D474" s="18">
        <v>1428</v>
      </c>
      <c r="E474" s="20">
        <v>1334</v>
      </c>
    </row>
    <row r="475" spans="1:5" x14ac:dyDescent="0.3">
      <c r="A475" s="18">
        <v>1429</v>
      </c>
      <c r="B475" s="37">
        <v>1</v>
      </c>
      <c r="C475" s="14"/>
      <c r="D475" s="18">
        <v>1429</v>
      </c>
      <c r="E475" s="20">
        <v>5467</v>
      </c>
    </row>
    <row r="476" spans="1:5" x14ac:dyDescent="0.3">
      <c r="A476" s="18">
        <v>1430</v>
      </c>
      <c r="B476" s="37">
        <v>1</v>
      </c>
      <c r="C476" s="14"/>
      <c r="D476" s="18">
        <v>1430</v>
      </c>
      <c r="E476" s="20">
        <v>3835</v>
      </c>
    </row>
    <row r="477" spans="1:5" x14ac:dyDescent="0.3">
      <c r="A477" s="18">
        <v>1431</v>
      </c>
      <c r="B477" s="37">
        <v>1</v>
      </c>
      <c r="C477" s="14"/>
      <c r="D477" s="18">
        <v>1431</v>
      </c>
      <c r="E477" s="20">
        <v>91360</v>
      </c>
    </row>
    <row r="478" spans="1:5" x14ac:dyDescent="0.3">
      <c r="A478" s="18">
        <v>1432</v>
      </c>
      <c r="B478" s="37">
        <v>1</v>
      </c>
      <c r="C478" s="14"/>
      <c r="D478" s="18">
        <v>1432</v>
      </c>
      <c r="E478" s="20">
        <v>3500</v>
      </c>
    </row>
    <row r="479" spans="1:5" x14ac:dyDescent="0.3">
      <c r="A479" s="18">
        <v>1433</v>
      </c>
      <c r="B479" s="37">
        <v>1</v>
      </c>
      <c r="C479" s="14"/>
      <c r="D479" s="18">
        <v>1433</v>
      </c>
      <c r="E479" s="20">
        <v>2356</v>
      </c>
    </row>
    <row r="480" spans="1:5" x14ac:dyDescent="0.3">
      <c r="A480" s="18">
        <v>1434</v>
      </c>
      <c r="B480" s="37">
        <v>1</v>
      </c>
      <c r="C480" s="14"/>
      <c r="D480" s="18">
        <v>1434</v>
      </c>
      <c r="E480" s="20">
        <v>37290</v>
      </c>
    </row>
    <row r="481" spans="1:5" x14ac:dyDescent="0.3">
      <c r="A481" s="18">
        <v>1435</v>
      </c>
      <c r="B481" s="37">
        <v>1</v>
      </c>
      <c r="C481" s="14"/>
      <c r="D481" s="18">
        <v>1435</v>
      </c>
      <c r="E481" s="20">
        <v>1095</v>
      </c>
    </row>
    <row r="482" spans="1:5" x14ac:dyDescent="0.3">
      <c r="A482" s="18">
        <v>1436</v>
      </c>
      <c r="B482" s="37">
        <v>1</v>
      </c>
      <c r="C482" s="14"/>
      <c r="D482" s="18">
        <v>1436</v>
      </c>
      <c r="E482" s="20">
        <v>41744</v>
      </c>
    </row>
    <row r="483" spans="1:5" x14ac:dyDescent="0.3">
      <c r="A483" s="18">
        <v>1437</v>
      </c>
      <c r="B483" s="37">
        <v>1</v>
      </c>
      <c r="C483" s="14"/>
      <c r="D483" s="18">
        <v>1437</v>
      </c>
      <c r="E483" s="20">
        <v>4935</v>
      </c>
    </row>
    <row r="484" spans="1:5" x14ac:dyDescent="0.3">
      <c r="A484" s="18">
        <v>1438</v>
      </c>
      <c r="B484" s="37">
        <v>1</v>
      </c>
      <c r="C484" s="14"/>
      <c r="D484" s="18">
        <v>1438</v>
      </c>
      <c r="E484" s="20">
        <v>3722</v>
      </c>
    </row>
    <row r="485" spans="1:5" x14ac:dyDescent="0.3">
      <c r="A485" s="18">
        <v>1439</v>
      </c>
      <c r="B485" s="37">
        <v>1</v>
      </c>
      <c r="C485" s="14"/>
      <c r="D485" s="18">
        <v>1439</v>
      </c>
      <c r="E485" s="20">
        <v>15216</v>
      </c>
    </row>
    <row r="486" spans="1:5" x14ac:dyDescent="0.3">
      <c r="A486" s="18">
        <v>1440</v>
      </c>
      <c r="B486" s="37">
        <v>1</v>
      </c>
      <c r="C486" s="14"/>
      <c r="D486" s="18">
        <v>1440</v>
      </c>
      <c r="E486" s="20">
        <v>2016</v>
      </c>
    </row>
    <row r="487" spans="1:5" x14ac:dyDescent="0.3">
      <c r="A487" s="18">
        <v>1441</v>
      </c>
      <c r="B487" s="37">
        <v>1</v>
      </c>
      <c r="C487" s="14"/>
      <c r="D487" s="18">
        <v>1441</v>
      </c>
      <c r="E487" s="20">
        <v>107804</v>
      </c>
    </row>
    <row r="488" spans="1:5" x14ac:dyDescent="0.3">
      <c r="A488" s="18">
        <v>1442</v>
      </c>
      <c r="B488" s="37">
        <v>1</v>
      </c>
      <c r="C488" s="14"/>
      <c r="D488" s="18">
        <v>1442</v>
      </c>
      <c r="E488" s="20">
        <v>10143</v>
      </c>
    </row>
    <row r="489" spans="1:5" x14ac:dyDescent="0.3">
      <c r="A489" s="18">
        <v>1443</v>
      </c>
      <c r="B489" s="37">
        <v>1</v>
      </c>
      <c r="C489" s="14"/>
      <c r="D489" s="18">
        <v>1443</v>
      </c>
      <c r="E489" s="20">
        <v>7392</v>
      </c>
    </row>
    <row r="490" spans="1:5" x14ac:dyDescent="0.3">
      <c r="A490" s="18">
        <v>1444</v>
      </c>
      <c r="B490" s="37">
        <v>1</v>
      </c>
      <c r="C490" s="14"/>
      <c r="D490" s="18">
        <v>1444</v>
      </c>
      <c r="E490" s="20">
        <v>78236</v>
      </c>
    </row>
    <row r="491" spans="1:5" x14ac:dyDescent="0.3">
      <c r="A491" s="18">
        <v>1445</v>
      </c>
      <c r="B491" s="37">
        <v>1</v>
      </c>
      <c r="C491" s="14"/>
      <c r="D491" s="18">
        <v>1445</v>
      </c>
      <c r="E491" s="20">
        <v>2515</v>
      </c>
    </row>
    <row r="492" spans="1:5" x14ac:dyDescent="0.3">
      <c r="A492" s="18">
        <v>1446</v>
      </c>
      <c r="B492" s="37">
        <v>1</v>
      </c>
      <c r="C492" s="14"/>
      <c r="D492" s="18">
        <v>1446</v>
      </c>
      <c r="E492" s="20">
        <v>38392</v>
      </c>
    </row>
    <row r="493" spans="1:5" x14ac:dyDescent="0.3">
      <c r="A493" s="18">
        <v>1447</v>
      </c>
      <c r="B493" s="37">
        <v>1</v>
      </c>
      <c r="C493" s="14"/>
      <c r="D493" s="18">
        <v>1447</v>
      </c>
      <c r="E493" s="20">
        <v>452</v>
      </c>
    </row>
    <row r="494" spans="1:5" x14ac:dyDescent="0.3">
      <c r="A494" s="18">
        <v>1448</v>
      </c>
      <c r="B494" s="37">
        <v>1</v>
      </c>
      <c r="C494" s="14"/>
      <c r="D494" s="18">
        <v>1448</v>
      </c>
      <c r="E494" s="20">
        <v>3420</v>
      </c>
    </row>
    <row r="495" spans="1:5" x14ac:dyDescent="0.3">
      <c r="A495" s="18">
        <v>1449</v>
      </c>
      <c r="B495" s="37">
        <v>1</v>
      </c>
      <c r="C495" s="14"/>
      <c r="D495" s="18">
        <v>1449</v>
      </c>
      <c r="E495" s="20">
        <v>3574</v>
      </c>
    </row>
    <row r="496" spans="1:5" x14ac:dyDescent="0.3">
      <c r="A496" s="18">
        <v>1450</v>
      </c>
      <c r="B496" s="37">
        <v>1</v>
      </c>
      <c r="C496" s="14"/>
      <c r="D496" s="18">
        <v>1450</v>
      </c>
      <c r="E496" s="20">
        <v>3895</v>
      </c>
    </row>
    <row r="497" spans="1:5" x14ac:dyDescent="0.3">
      <c r="A497" s="18">
        <v>1451</v>
      </c>
      <c r="B497" s="37">
        <v>1</v>
      </c>
      <c r="C497" s="14"/>
      <c r="D497" s="18">
        <v>1451</v>
      </c>
      <c r="E497" s="20">
        <v>40358</v>
      </c>
    </row>
    <row r="498" spans="1:5" x14ac:dyDescent="0.3">
      <c r="A498" s="18">
        <v>1452</v>
      </c>
      <c r="B498" s="37">
        <v>1</v>
      </c>
      <c r="C498" s="14"/>
      <c r="D498" s="18">
        <v>1452</v>
      </c>
      <c r="E498" s="20">
        <v>9807</v>
      </c>
    </row>
    <row r="499" spans="1:5" x14ac:dyDescent="0.3">
      <c r="A499" s="18">
        <v>1453</v>
      </c>
      <c r="B499" s="37">
        <v>1</v>
      </c>
      <c r="C499" s="14"/>
      <c r="D499" s="18">
        <v>1453</v>
      </c>
      <c r="E499" s="20">
        <v>2592</v>
      </c>
    </row>
    <row r="500" spans="1:5" x14ac:dyDescent="0.3">
      <c r="A500" s="18">
        <v>1454</v>
      </c>
      <c r="B500" s="37">
        <v>1</v>
      </c>
      <c r="C500" s="14"/>
      <c r="D500" s="18">
        <v>1454</v>
      </c>
      <c r="E500" s="20">
        <v>55587</v>
      </c>
    </row>
    <row r="501" spans="1:5" x14ac:dyDescent="0.3">
      <c r="A501" s="18">
        <v>1455</v>
      </c>
      <c r="B501" s="37">
        <v>1</v>
      </c>
      <c r="C501" s="14"/>
      <c r="D501" s="18">
        <v>1455</v>
      </c>
      <c r="E501" s="20">
        <v>1880</v>
      </c>
    </row>
    <row r="502" spans="1:5" x14ac:dyDescent="0.3">
      <c r="A502" s="18">
        <v>1456</v>
      </c>
      <c r="B502" s="37">
        <v>1</v>
      </c>
      <c r="C502" s="14"/>
      <c r="D502" s="18">
        <v>1456</v>
      </c>
      <c r="E502" s="20">
        <v>47374</v>
      </c>
    </row>
    <row r="503" spans="1:5" x14ac:dyDescent="0.3">
      <c r="A503" s="18">
        <v>1457</v>
      </c>
      <c r="B503" s="37">
        <v>1</v>
      </c>
      <c r="C503" s="14"/>
      <c r="D503" s="18">
        <v>1457</v>
      </c>
      <c r="E503" s="20">
        <v>450</v>
      </c>
    </row>
    <row r="504" spans="1:5" x14ac:dyDescent="0.3">
      <c r="A504" s="18">
        <v>1458</v>
      </c>
      <c r="B504" s="37">
        <v>1</v>
      </c>
      <c r="C504" s="14"/>
      <c r="D504" s="18">
        <v>1458</v>
      </c>
      <c r="E504" s="20">
        <v>4410</v>
      </c>
    </row>
    <row r="505" spans="1:5" x14ac:dyDescent="0.3">
      <c r="A505" s="18">
        <v>1459</v>
      </c>
      <c r="B505" s="37">
        <v>1</v>
      </c>
      <c r="C505" s="14"/>
      <c r="D505" s="18">
        <v>1459</v>
      </c>
      <c r="E505" s="20">
        <v>14428</v>
      </c>
    </row>
    <row r="506" spans="1:5" x14ac:dyDescent="0.3">
      <c r="A506" s="18">
        <v>1460</v>
      </c>
      <c r="B506" s="37">
        <v>1</v>
      </c>
      <c r="C506" s="14"/>
      <c r="D506" s="18">
        <v>1460</v>
      </c>
      <c r="E506" s="20">
        <v>1205</v>
      </c>
    </row>
    <row r="507" spans="1:5" x14ac:dyDescent="0.3">
      <c r="A507" s="18">
        <v>1461</v>
      </c>
      <c r="B507" s="37">
        <v>1</v>
      </c>
      <c r="C507" s="14"/>
      <c r="D507" s="18">
        <v>1461</v>
      </c>
      <c r="E507" s="20">
        <v>122980</v>
      </c>
    </row>
    <row r="508" spans="1:5" x14ac:dyDescent="0.3">
      <c r="A508" s="18">
        <v>1462</v>
      </c>
      <c r="B508" s="37">
        <v>1</v>
      </c>
      <c r="C508" s="14"/>
      <c r="D508" s="18">
        <v>1462</v>
      </c>
      <c r="E508" s="20">
        <v>12360</v>
      </c>
    </row>
    <row r="509" spans="1:5" x14ac:dyDescent="0.3">
      <c r="A509" s="18">
        <v>1463</v>
      </c>
      <c r="B509" s="37">
        <v>1</v>
      </c>
      <c r="C509" s="14"/>
      <c r="D509" s="18">
        <v>1463</v>
      </c>
      <c r="E509" s="20">
        <v>1206</v>
      </c>
    </row>
    <row r="510" spans="1:5" x14ac:dyDescent="0.3">
      <c r="A510" s="18">
        <v>1464</v>
      </c>
      <c r="B510" s="37">
        <v>1</v>
      </c>
      <c r="C510" s="14"/>
      <c r="D510" s="18">
        <v>1464</v>
      </c>
      <c r="E510" s="20">
        <v>43736</v>
      </c>
    </row>
    <row r="511" spans="1:5" x14ac:dyDescent="0.3">
      <c r="A511" s="18">
        <v>1465</v>
      </c>
      <c r="B511" s="37">
        <v>1</v>
      </c>
      <c r="C511" s="14"/>
      <c r="D511" s="18">
        <v>1465</v>
      </c>
      <c r="E511" s="20">
        <v>326</v>
      </c>
    </row>
    <row r="512" spans="1:5" x14ac:dyDescent="0.3">
      <c r="A512" s="18">
        <v>1466</v>
      </c>
      <c r="B512" s="37">
        <v>1</v>
      </c>
      <c r="C512" s="14"/>
      <c r="D512" s="18">
        <v>1466</v>
      </c>
      <c r="E512" s="20">
        <v>74292</v>
      </c>
    </row>
    <row r="513" spans="1:5" x14ac:dyDescent="0.3">
      <c r="A513" s="18">
        <v>1467</v>
      </c>
      <c r="B513" s="37">
        <v>1</v>
      </c>
      <c r="C513" s="14"/>
      <c r="D513" s="18">
        <v>1467</v>
      </c>
      <c r="E513" s="20">
        <v>235</v>
      </c>
    </row>
    <row r="514" spans="1:5" x14ac:dyDescent="0.3">
      <c r="A514" s="18">
        <v>1468</v>
      </c>
      <c r="B514" s="37">
        <v>1</v>
      </c>
      <c r="C514" s="14"/>
      <c r="D514" s="18">
        <v>1468</v>
      </c>
      <c r="E514" s="20">
        <v>5590</v>
      </c>
    </row>
    <row r="515" spans="1:5" x14ac:dyDescent="0.3">
      <c r="A515" s="18">
        <v>1469</v>
      </c>
      <c r="B515" s="37">
        <v>1</v>
      </c>
      <c r="C515" s="14"/>
      <c r="D515" s="18">
        <v>1469</v>
      </c>
      <c r="E515" s="20">
        <v>14220</v>
      </c>
    </row>
    <row r="516" spans="1:5" x14ac:dyDescent="0.3">
      <c r="A516" s="18">
        <v>1470</v>
      </c>
      <c r="B516" s="37">
        <v>1</v>
      </c>
      <c r="C516" s="14"/>
      <c r="D516" s="18">
        <v>1470</v>
      </c>
      <c r="E516" s="20">
        <v>333</v>
      </c>
    </row>
    <row r="517" spans="1:5" x14ac:dyDescent="0.3">
      <c r="A517" s="18">
        <v>1471</v>
      </c>
      <c r="B517" s="37">
        <v>1</v>
      </c>
      <c r="C517" s="14"/>
      <c r="D517" s="18">
        <v>1471</v>
      </c>
      <c r="E517" s="20">
        <v>62505</v>
      </c>
    </row>
    <row r="518" spans="1:5" x14ac:dyDescent="0.3">
      <c r="A518" s="18">
        <v>1472</v>
      </c>
      <c r="B518" s="37">
        <v>1</v>
      </c>
      <c r="C518" s="14"/>
      <c r="D518" s="18">
        <v>1472</v>
      </c>
      <c r="E518" s="20">
        <v>3269</v>
      </c>
    </row>
    <row r="519" spans="1:5" x14ac:dyDescent="0.3">
      <c r="A519" s="18">
        <v>1473</v>
      </c>
      <c r="B519" s="37">
        <v>1</v>
      </c>
      <c r="C519" s="14"/>
      <c r="D519" s="18">
        <v>1473</v>
      </c>
      <c r="E519" s="20">
        <v>3182</v>
      </c>
    </row>
    <row r="520" spans="1:5" x14ac:dyDescent="0.3">
      <c r="A520" s="18">
        <v>1474</v>
      </c>
      <c r="B520" s="37">
        <v>1</v>
      </c>
      <c r="C520" s="14"/>
      <c r="D520" s="18">
        <v>1474</v>
      </c>
      <c r="E520" s="20">
        <v>4471</v>
      </c>
    </row>
    <row r="521" spans="1:5" x14ac:dyDescent="0.3">
      <c r="A521" s="18">
        <v>1475</v>
      </c>
      <c r="B521" s="37">
        <v>1</v>
      </c>
      <c r="C521" s="14"/>
      <c r="D521" s="18">
        <v>1475</v>
      </c>
      <c r="E521" s="20">
        <v>1464</v>
      </c>
    </row>
    <row r="522" spans="1:5" x14ac:dyDescent="0.3">
      <c r="A522" s="18">
        <v>1476</v>
      </c>
      <c r="B522" s="37">
        <v>1</v>
      </c>
      <c r="C522" s="14"/>
      <c r="D522" s="18">
        <v>1476</v>
      </c>
      <c r="E522" s="20">
        <v>29700</v>
      </c>
    </row>
    <row r="523" spans="1:5" x14ac:dyDescent="0.3">
      <c r="A523" s="18">
        <v>1477</v>
      </c>
      <c r="B523" s="37">
        <v>1</v>
      </c>
      <c r="C523" s="14"/>
      <c r="D523" s="18">
        <v>1477</v>
      </c>
      <c r="E523" s="20">
        <v>358</v>
      </c>
    </row>
    <row r="524" spans="1:5" x14ac:dyDescent="0.3">
      <c r="A524" s="18">
        <v>1478</v>
      </c>
      <c r="B524" s="37">
        <v>1</v>
      </c>
      <c r="C524" s="14"/>
      <c r="D524" s="18">
        <v>1478</v>
      </c>
      <c r="E524" s="20">
        <v>6065</v>
      </c>
    </row>
    <row r="525" spans="1:5" x14ac:dyDescent="0.3">
      <c r="A525" s="18">
        <v>1479</v>
      </c>
      <c r="B525" s="37">
        <v>1</v>
      </c>
      <c r="C525" s="14"/>
      <c r="D525" s="18">
        <v>1479</v>
      </c>
      <c r="E525" s="20">
        <v>5171</v>
      </c>
    </row>
    <row r="526" spans="1:5" x14ac:dyDescent="0.3">
      <c r="A526" s="18">
        <v>1480</v>
      </c>
      <c r="B526" s="37">
        <v>1</v>
      </c>
      <c r="C526" s="14"/>
      <c r="D526" s="18">
        <v>1480</v>
      </c>
      <c r="E526" s="20">
        <v>731</v>
      </c>
    </row>
    <row r="527" spans="1:5" x14ac:dyDescent="0.3">
      <c r="A527" s="18">
        <v>1481</v>
      </c>
      <c r="B527" s="37">
        <v>1</v>
      </c>
      <c r="C527" s="14"/>
      <c r="D527" s="18">
        <v>1481</v>
      </c>
      <c r="E527" s="20">
        <v>67499</v>
      </c>
    </row>
    <row r="528" spans="1:5" x14ac:dyDescent="0.3">
      <c r="A528" s="18">
        <v>1482</v>
      </c>
      <c r="B528" s="37">
        <v>1</v>
      </c>
      <c r="C528" s="14"/>
      <c r="D528" s="18">
        <v>1482</v>
      </c>
      <c r="E528" s="20">
        <v>4107</v>
      </c>
    </row>
    <row r="529" spans="1:5" x14ac:dyDescent="0.3">
      <c r="A529" s="18">
        <v>1483</v>
      </c>
      <c r="B529" s="37">
        <v>1</v>
      </c>
      <c r="C529" s="14"/>
      <c r="D529" s="18">
        <v>1483</v>
      </c>
      <c r="E529" s="20">
        <v>5380</v>
      </c>
    </row>
    <row r="530" spans="1:5" x14ac:dyDescent="0.3">
      <c r="A530" s="18">
        <v>1484</v>
      </c>
      <c r="B530" s="37">
        <v>1</v>
      </c>
      <c r="C530" s="14"/>
      <c r="D530" s="18">
        <v>1484</v>
      </c>
      <c r="E530" s="20">
        <v>43160</v>
      </c>
    </row>
    <row r="531" spans="1:5" x14ac:dyDescent="0.3">
      <c r="A531" s="18">
        <v>1485</v>
      </c>
      <c r="B531" s="37">
        <v>1</v>
      </c>
      <c r="C531" s="14"/>
      <c r="D531" s="18">
        <v>1485</v>
      </c>
      <c r="E531" s="20">
        <v>1492</v>
      </c>
    </row>
    <row r="532" spans="1:5" x14ac:dyDescent="0.3">
      <c r="A532" s="18">
        <v>1486</v>
      </c>
      <c r="B532" s="37">
        <v>1</v>
      </c>
      <c r="C532" s="14"/>
      <c r="D532" s="18">
        <v>1486</v>
      </c>
      <c r="E532" s="20">
        <v>38716</v>
      </c>
    </row>
    <row r="533" spans="1:5" x14ac:dyDescent="0.3">
      <c r="A533" s="18">
        <v>1487</v>
      </c>
      <c r="B533" s="37">
        <v>1</v>
      </c>
      <c r="C533" s="14"/>
      <c r="D533" s="18">
        <v>1487</v>
      </c>
      <c r="E533" s="20">
        <v>384</v>
      </c>
    </row>
    <row r="534" spans="1:5" x14ac:dyDescent="0.3">
      <c r="A534" s="18">
        <v>1488</v>
      </c>
      <c r="B534" s="37">
        <v>1</v>
      </c>
      <c r="C534" s="14"/>
      <c r="D534" s="18">
        <v>1488</v>
      </c>
      <c r="E534" s="20">
        <v>2880</v>
      </c>
    </row>
    <row r="535" spans="1:5" x14ac:dyDescent="0.3">
      <c r="A535" s="18">
        <v>1489</v>
      </c>
      <c r="B535" s="37">
        <v>1</v>
      </c>
      <c r="C535" s="14"/>
      <c r="D535" s="18">
        <v>1489</v>
      </c>
      <c r="E535" s="20">
        <v>14302</v>
      </c>
    </row>
    <row r="536" spans="1:5" x14ac:dyDescent="0.3">
      <c r="A536" s="18">
        <v>1490</v>
      </c>
      <c r="B536" s="37">
        <v>1</v>
      </c>
      <c r="C536" s="14"/>
      <c r="D536" s="18">
        <v>1490</v>
      </c>
      <c r="E536" s="20">
        <v>1480</v>
      </c>
    </row>
    <row r="537" spans="1:5" x14ac:dyDescent="0.3">
      <c r="A537" s="18">
        <v>1491</v>
      </c>
      <c r="B537" s="37">
        <v>1</v>
      </c>
      <c r="C537" s="14"/>
      <c r="D537" s="18">
        <v>1491</v>
      </c>
      <c r="E537" s="20">
        <v>127246</v>
      </c>
    </row>
    <row r="538" spans="1:5" x14ac:dyDescent="0.3">
      <c r="A538" s="18">
        <v>1492</v>
      </c>
      <c r="B538" s="37">
        <v>1</v>
      </c>
      <c r="C538" s="14"/>
      <c r="D538" s="18">
        <v>1492</v>
      </c>
      <c r="E538" s="20">
        <v>2952</v>
      </c>
    </row>
    <row r="539" spans="1:5" x14ac:dyDescent="0.3">
      <c r="A539" s="18">
        <v>1493</v>
      </c>
      <c r="B539" s="37">
        <v>1</v>
      </c>
      <c r="C539" s="14"/>
      <c r="D539" s="18">
        <v>1493</v>
      </c>
      <c r="E539" s="20">
        <v>13245</v>
      </c>
    </row>
    <row r="540" spans="1:5" x14ac:dyDescent="0.3">
      <c r="A540" s="18">
        <v>1494</v>
      </c>
      <c r="B540" s="37">
        <v>1</v>
      </c>
      <c r="C540" s="14"/>
      <c r="D540" s="18">
        <v>1494</v>
      </c>
      <c r="E540" s="20">
        <v>12572</v>
      </c>
    </row>
    <row r="541" spans="1:5" x14ac:dyDescent="0.3">
      <c r="A541" s="18">
        <v>1495</v>
      </c>
      <c r="B541" s="37">
        <v>1</v>
      </c>
      <c r="C541" s="14"/>
      <c r="D541" s="18">
        <v>1495</v>
      </c>
      <c r="E541" s="20">
        <v>3725</v>
      </c>
    </row>
    <row r="542" spans="1:5" x14ac:dyDescent="0.3">
      <c r="A542" s="18">
        <v>1496</v>
      </c>
      <c r="B542" s="37">
        <v>1</v>
      </c>
      <c r="C542" s="14"/>
      <c r="D542" s="18">
        <v>1496</v>
      </c>
      <c r="E542" s="20">
        <v>30973</v>
      </c>
    </row>
    <row r="543" spans="1:5" x14ac:dyDescent="0.3">
      <c r="A543" s="18">
        <v>1497</v>
      </c>
      <c r="B543" s="37">
        <v>1</v>
      </c>
      <c r="C543" s="14"/>
      <c r="D543" s="18">
        <v>1497</v>
      </c>
      <c r="E543" s="20">
        <v>3780</v>
      </c>
    </row>
    <row r="544" spans="1:5" x14ac:dyDescent="0.3">
      <c r="A544" s="18">
        <v>1498</v>
      </c>
      <c r="B544" s="37">
        <v>1</v>
      </c>
      <c r="C544" s="14"/>
      <c r="D544" s="18">
        <v>1498</v>
      </c>
      <c r="E544" s="20">
        <v>966</v>
      </c>
    </row>
    <row r="545" spans="1:5" x14ac:dyDescent="0.3">
      <c r="A545" s="18">
        <v>1499</v>
      </c>
      <c r="B545" s="37">
        <v>1</v>
      </c>
      <c r="C545" s="14"/>
      <c r="D545" s="18">
        <v>1499</v>
      </c>
      <c r="E545" s="20">
        <v>13343</v>
      </c>
    </row>
    <row r="546" spans="1:5" x14ac:dyDescent="0.3">
      <c r="A546" s="18" t="s">
        <v>1537</v>
      </c>
      <c r="B546" s="37">
        <v>1500</v>
      </c>
      <c r="C546" s="14"/>
      <c r="D546" s="18" t="s">
        <v>1537</v>
      </c>
      <c r="E546" s="20">
        <v>28220731</v>
      </c>
    </row>
  </sheetData>
  <mergeCells count="10">
    <mergeCell ref="A45:B45"/>
    <mergeCell ref="D45:E45"/>
    <mergeCell ref="A5:B5"/>
    <mergeCell ref="D3:E3"/>
    <mergeCell ref="J5:K5"/>
    <mergeCell ref="X6:Z6"/>
    <mergeCell ref="S13:T13"/>
    <mergeCell ref="S5:T5"/>
    <mergeCell ref="M5:P5"/>
    <mergeCell ref="G5:H5"/>
  </mergeCells>
  <pageMargins left="0.7" right="0.7" top="0.75" bottom="0.75" header="0.3" footer="0.3"/>
  <pageSetup orientation="portrait" r:id="rId16"/>
  <drawing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8148A-80F6-4666-9D30-2373812D51FB}">
  <sheetPr codeName="Sheet5">
    <pageSetUpPr fitToPage="1"/>
  </sheetPr>
  <dimension ref="A1"/>
  <sheetViews>
    <sheetView showGridLines="0" tabSelected="1" view="pageBreakPreview" zoomScale="75" zoomScaleNormal="47" zoomScaleSheetLayoutView="70" workbookViewId="0">
      <selection activeCell="AC42" sqref="AC42"/>
    </sheetView>
  </sheetViews>
  <sheetFormatPr defaultRowHeight="14.4" x14ac:dyDescent="0.3"/>
  <cols>
    <col min="5" max="5" width="9.109375" customWidth="1"/>
  </cols>
  <sheetData/>
  <pageMargins left="0.7" right="0.7" top="0.75" bottom="0.75" header="0.3" footer="0.3"/>
  <pageSetup paperSize="3" scale="77"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C9C332-E3E7-4B82-B320-316C87D446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dataset_e-commerce_sales_total</vt:lpstr>
      <vt:lpstr>dataset_e-commerce_sales_transa</vt:lpstr>
      <vt:lpstr>dataset_e-commerce_sales_tr _ta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Ester Siahaan</dc:creator>
  <cp:lastModifiedBy>Ester Siahaan</cp:lastModifiedBy>
  <cp:lastPrinted>2026-07-19T14:45:02Z</cp:lastPrinted>
  <dcterms:created xsi:type="dcterms:W3CDTF">2026-07-04T09:59:28Z</dcterms:created>
  <dcterms:modified xsi:type="dcterms:W3CDTF">2026-07-26T07:21:14Z</dcterms:modified>
</cp:coreProperties>
</file>